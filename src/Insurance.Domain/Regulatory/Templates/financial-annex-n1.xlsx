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330"/>
  <workbookPr codeName="ThisWorkbook" defaultThemeVersion="124226"/>
  <mc:AlternateContent xmlns:mc="http://schemas.openxmlformats.org/markup-compatibility/2006">
    <mc:Choice Requires="x15">
      <x15ac:absPath xmlns:x15ac="http://schemas.microsoft.com/office/spreadsheetml/2010/11/ac" url="\\172.16.48.102\share\Supervision_Department\1. Angarishgebis carieli formebi\NEW 17052018\"/>
    </mc:Choice>
  </mc:AlternateContent>
  <xr:revisionPtr revIDLastSave="0" documentId="10_ncr:8100000_{3080DF07-1872-44BD-8F94-BB51EC55E770}" xr6:coauthVersionLast="33" xr6:coauthVersionMax="33" xr10:uidLastSave="{00000000-0000-0000-0000-000000000000}"/>
  <bookViews>
    <workbookView xWindow="0" yWindow="0" windowWidth="28800" windowHeight="11925" tabRatio="959" activeTab="1" xr2:uid="{00000000-000D-0000-FFFF-FFFF00000000}"/>
  </bookViews>
  <sheets>
    <sheet name="Info" sheetId="1" r:id="rId1"/>
    <sheet name="BS" sheetId="2" r:id="rId2"/>
    <sheet name="BS-C" sheetId="3" r:id="rId3"/>
    <sheet name="BS-D" sheetId="4" r:id="rId4"/>
    <sheet name="BS-FA " sheetId="5" r:id="rId5"/>
    <sheet name="BS-IR &amp; RR" sheetId="27" r:id="rId6"/>
    <sheet name="BS-L" sheetId="11" r:id="rId7"/>
    <sheet name="BS-I" sheetId="6" r:id="rId8"/>
    <sheet name="BS-R" sheetId="7" r:id="rId9"/>
    <sheet name="BS-DC" sheetId="32" r:id="rId10"/>
    <sheet name="BS-PPE" sheetId="8" r:id="rId11"/>
    <sheet name="BS-IP &amp; OA" sheetId="10" r:id="rId12"/>
    <sheet name="BS-IA" sheetId="9" r:id="rId13"/>
    <sheet name="BS-OIL &amp; OL" sheetId="12" r:id="rId14"/>
    <sheet name="BS-FL" sheetId="13" r:id="rId15"/>
    <sheet name="BS-PL" sheetId="14" r:id="rId16"/>
    <sheet name="BS-LA" sheetId="15" r:id="rId17"/>
    <sheet name="IS" sheetId="16" r:id="rId18"/>
    <sheet name="IS-COM" sheetId="28" r:id="rId19"/>
    <sheet name="IS-D" sheetId="17" r:id="rId20"/>
    <sheet name="IS-FA" sheetId="31" r:id="rId21"/>
    <sheet name="IS-I" sheetId="30" r:id="rId22"/>
    <sheet name="IS-IP &amp; L" sheetId="29" r:id="rId23"/>
    <sheet name="IS-Ex.S &amp; Ex.Ad" sheetId="20" r:id="rId24"/>
    <sheet name="IS-Ex.T &amp; Ex.F &amp; O" sheetId="21" r:id="rId25"/>
    <sheet name="C" sheetId="24" r:id="rId26"/>
    <sheet name="P&amp;C(NL)" sheetId="36" r:id="rId27"/>
    <sheet name="P&amp;C(L)" sheetId="37" r:id="rId28"/>
    <sheet name="CF" sheetId="38" r:id="rId29"/>
  </sheets>
  <definedNames>
    <definedName name="_xlnm._FilterDatabase" localSheetId="2" hidden="1">'BS-C'!$D$1:$D$1234</definedName>
    <definedName name="_xlnm._FilterDatabase" localSheetId="3" hidden="1">'BS-D'!$D$1:$D$1042</definedName>
    <definedName name="_xlnm._FilterDatabase" localSheetId="4" hidden="1">'BS-FA '!$D$1:$D$787</definedName>
    <definedName name="_xlnm._FilterDatabase" localSheetId="14" hidden="1">'BS-FL'!$D$1:$D$295</definedName>
    <definedName name="_xlnm._FilterDatabase" localSheetId="7" hidden="1">'BS-I'!$D$1:$D$953</definedName>
    <definedName name="_xlnm._FilterDatabase" localSheetId="11" hidden="1">'BS-IP &amp; OA'!$D$1:$D$100</definedName>
    <definedName name="_xlnm._FilterDatabase" localSheetId="5" hidden="1">'BS-IR &amp; RR'!$D$1:$D$45</definedName>
    <definedName name="_xlnm._FilterDatabase" localSheetId="6" hidden="1">'BS-L'!$D$1:$D$733</definedName>
    <definedName name="_xlnm._FilterDatabase" localSheetId="16" hidden="1">'BS-LA'!$D$1:$D$658</definedName>
    <definedName name="_xlnm._FilterDatabase" localSheetId="17" hidden="1">IS!$D$1:$D$81</definedName>
    <definedName name="_xlnm._FilterDatabase" localSheetId="19" hidden="1">'IS-D'!$D$1:$D$712</definedName>
    <definedName name="_xlnm._FilterDatabase" localSheetId="24" hidden="1">'IS-Ex.T &amp; Ex.F &amp; O'!$D$1:$D$132</definedName>
    <definedName name="_xlnm._FilterDatabase" localSheetId="20" hidden="1">'IS-FA'!$D$1:$D$451</definedName>
    <definedName name="_xlnm._FilterDatabase" localSheetId="21" hidden="1">'IS-I'!$D$1:$D$408</definedName>
    <definedName name="_xlnm._FilterDatabase" localSheetId="22" hidden="1">'IS-IP &amp; L'!$D$1:$D$315</definedName>
    <definedName name="_xlnm._FilterDatabase" localSheetId="27" hidden="1">'P&amp;C(L)'!$D$1:$D$111</definedName>
    <definedName name="_xlnm._FilterDatabase" localSheetId="26" hidden="1">'P&amp;C(NL)'!$D$1:$D$380</definedName>
    <definedName name="_xlnm.Print_Area" localSheetId="1">BS!$B$1:$F$58</definedName>
    <definedName name="_xlnm.Print_Area" localSheetId="3">'BS-D'!$B$1:$F$1042</definedName>
    <definedName name="_xlnm.Print_Area" localSheetId="9">'BS-DC'!$B$1:$F$36</definedName>
    <definedName name="_xlnm.Print_Area" localSheetId="4">'BS-FA '!$B$1:$F$787</definedName>
    <definedName name="_xlnm.Print_Area" localSheetId="14">'BS-FL'!$B$1:$N$294</definedName>
    <definedName name="_xlnm.Print_Area" localSheetId="7">'BS-I'!$B$1:$F$953</definedName>
    <definedName name="_xlnm.Print_Area" localSheetId="12">'BS-IA'!$B$1:$I$27</definedName>
    <definedName name="_xlnm.Print_Area" localSheetId="11">'BS-IP &amp; OA'!$B$1:$F$100</definedName>
    <definedName name="_xlnm.Print_Area" localSheetId="5">'BS-IR &amp; RR'!$B$1:$F$43</definedName>
    <definedName name="_xlnm.Print_Area" localSheetId="6">'BS-L'!$A$1:$N$730</definedName>
    <definedName name="_xlnm.Print_Area" localSheetId="16">'BS-LA'!$B$1:$F$658</definedName>
    <definedName name="_xlnm.Print_Area" localSheetId="13">'BS-OIL &amp; OL'!$B$1:$F$38</definedName>
    <definedName name="_xlnm.Print_Area" localSheetId="15">'BS-PL'!$B$1:$F$35</definedName>
    <definedName name="_xlnm.Print_Area" localSheetId="10">'BS-PPE'!$B$1:$L$26</definedName>
    <definedName name="_xlnm.Print_Area" localSheetId="8">'BS-R'!$B$1:$F$53</definedName>
    <definedName name="_xlnm.Print_Area" localSheetId="25">'C'!$B$1:$J$32</definedName>
    <definedName name="_xlnm.Print_Area" localSheetId="0">Info!$A$1:$D$36</definedName>
    <definedName name="_xlnm.Print_Area" localSheetId="17">IS!$B$1:$F$81</definedName>
    <definedName name="_xlnm.Print_Area" localSheetId="18">'IS-COM'!$B$1:$F$54</definedName>
    <definedName name="_xlnm.Print_Area" localSheetId="23">'IS-Ex.S &amp; Ex.Ad'!$B$1:$F$49</definedName>
    <definedName name="_xlnm.Print_Area" localSheetId="24">'IS-Ex.T &amp; Ex.F &amp; O'!$B$1:$F$132</definedName>
    <definedName name="_xlnm.Print_Area" localSheetId="20">'IS-FA'!$B$1:$F$451</definedName>
    <definedName name="_xlnm.Print_Area" localSheetId="21">'IS-I'!$B$1:$F$408</definedName>
    <definedName name="_xlnm.Print_Area" localSheetId="22">'IS-IP &amp; L'!$B$1:$F$315</definedName>
    <definedName name="_xlnm.Print_Area" localSheetId="26">'P&amp;C(NL)'!$B$1:$T$379</definedName>
    <definedName name="_xlnm.Print_Titles" localSheetId="27">'P&amp;C(L)'!$1:$4</definedName>
    <definedName name="_xlnm.Print_Titles" localSheetId="26">'P&amp;C(NL)'!$1:$4</definedName>
  </definedNames>
  <calcPr calcId="162913"/>
  <customWorkbookViews>
    <customWorkbookView name="gmamatelashvili - Personal View" guid="{F18E25A1-ACAC-4BA2-9084-15C64EADD71F}" mergeInterval="0" personalView="1" maximized="1" xWindow="1" yWindow="1" windowWidth="1280" windowHeight="580" tabRatio="797" activeSheetId="17"/>
    <customWorkbookView name="ndavitaia - Personal View" guid="{42441662-3193-455A-AAAC-E0697E2ED236}" mergeInterval="0" personalView="1" maximized="1" xWindow="1" yWindow="1" windowWidth="1024" windowHeight="547" tabRatio="797" activeSheetId="7"/>
    <customWorkbookView name="Tea Lekveishvili - Personal View" guid="{AB1DC9E9-A3E4-4BE0-8A49-B02D340E9D12}" mergeInterval="0" personalView="1" maximized="1" xWindow="1" yWindow="1" windowWidth="1280" windowHeight="804" tabRatio="797" activeSheetId="1"/>
    <customWorkbookView name="tchkoidze - Personal View" guid="{BC7A4191-54CC-4009-AB21-42ED557A5091}" mergeInterval="0" personalView="1" maximized="1" windowWidth="1020" windowHeight="603" tabRatio="797" activeSheetId="5"/>
  </customWorkbookViews>
</workbook>
</file>

<file path=xl/calcChain.xml><?xml version="1.0" encoding="utf-8"?>
<calcChain xmlns="http://schemas.openxmlformats.org/spreadsheetml/2006/main">
  <c r="F118" i="21" l="1"/>
  <c r="E118" i="21"/>
  <c r="P721" i="11" l="1"/>
  <c r="R721" i="11" s="1"/>
  <c r="I721" i="11"/>
  <c r="K721" i="11" s="1"/>
  <c r="P720" i="11"/>
  <c r="R720" i="11" s="1"/>
  <c r="I720" i="11"/>
  <c r="K720" i="11" s="1"/>
  <c r="P719" i="11"/>
  <c r="R719" i="11" s="1"/>
  <c r="I719" i="11"/>
  <c r="K719" i="11" s="1"/>
  <c r="P718" i="11"/>
  <c r="R718" i="11" s="1"/>
  <c r="I718" i="11"/>
  <c r="K718" i="11" s="1"/>
  <c r="P717" i="11"/>
  <c r="R717" i="11" s="1"/>
  <c r="I717" i="11"/>
  <c r="K717" i="11" s="1"/>
  <c r="P716" i="11"/>
  <c r="R716" i="11" s="1"/>
  <c r="I716" i="11"/>
  <c r="K716" i="11" s="1"/>
  <c r="P715" i="11"/>
  <c r="R715" i="11" s="1"/>
  <c r="I715" i="11"/>
  <c r="K715" i="11" s="1"/>
  <c r="P714" i="11"/>
  <c r="R714" i="11" s="1"/>
  <c r="I714" i="11"/>
  <c r="K714" i="11" s="1"/>
  <c r="P713" i="11"/>
  <c r="R713" i="11" s="1"/>
  <c r="I713" i="11"/>
  <c r="K713" i="11" s="1"/>
  <c r="P712" i="11"/>
  <c r="R712" i="11" s="1"/>
  <c r="I712" i="11"/>
  <c r="Q711" i="11"/>
  <c r="O711" i="11"/>
  <c r="N711" i="11"/>
  <c r="M711" i="11"/>
  <c r="L711" i="11"/>
  <c r="J711" i="11"/>
  <c r="H711" i="11"/>
  <c r="G711" i="11"/>
  <c r="F711" i="11"/>
  <c r="E711" i="11"/>
  <c r="P710" i="11"/>
  <c r="R710" i="11" s="1"/>
  <c r="I710" i="11"/>
  <c r="K710" i="11" s="1"/>
  <c r="P709" i="11"/>
  <c r="R709" i="11" s="1"/>
  <c r="I709" i="11"/>
  <c r="K709" i="11" s="1"/>
  <c r="P708" i="11"/>
  <c r="R708" i="11" s="1"/>
  <c r="I708" i="11"/>
  <c r="K708" i="11" s="1"/>
  <c r="P707" i="11"/>
  <c r="R707" i="11" s="1"/>
  <c r="I707" i="11"/>
  <c r="K707" i="11" s="1"/>
  <c r="P706" i="11"/>
  <c r="R706" i="11" s="1"/>
  <c r="I706" i="11"/>
  <c r="K706" i="11" s="1"/>
  <c r="P705" i="11"/>
  <c r="R705" i="11" s="1"/>
  <c r="I705" i="11"/>
  <c r="K705" i="11" s="1"/>
  <c r="P704" i="11"/>
  <c r="R704" i="11" s="1"/>
  <c r="I704" i="11"/>
  <c r="K704" i="11" s="1"/>
  <c r="P703" i="11"/>
  <c r="R703" i="11" s="1"/>
  <c r="I703" i="11"/>
  <c r="K703" i="11" s="1"/>
  <c r="P702" i="11"/>
  <c r="R702" i="11" s="1"/>
  <c r="I702" i="11"/>
  <c r="K702" i="11" s="1"/>
  <c r="P701" i="11"/>
  <c r="R701" i="11" s="1"/>
  <c r="I701" i="11"/>
  <c r="K701" i="11" s="1"/>
  <c r="Q700" i="11"/>
  <c r="O700" i="11"/>
  <c r="N700" i="11"/>
  <c r="M700" i="11"/>
  <c r="L700" i="11"/>
  <c r="J700" i="11"/>
  <c r="H700" i="11"/>
  <c r="G700" i="11"/>
  <c r="F700" i="11"/>
  <c r="E700" i="11"/>
  <c r="P698" i="11"/>
  <c r="R698" i="11" s="1"/>
  <c r="I698" i="11"/>
  <c r="K698" i="11" s="1"/>
  <c r="P697" i="11"/>
  <c r="R697" i="11" s="1"/>
  <c r="I697" i="11"/>
  <c r="K697" i="11" s="1"/>
  <c r="P696" i="11"/>
  <c r="R696" i="11" s="1"/>
  <c r="I696" i="11"/>
  <c r="K696" i="11" s="1"/>
  <c r="P695" i="11"/>
  <c r="R695" i="11" s="1"/>
  <c r="I695" i="11"/>
  <c r="K695" i="11" s="1"/>
  <c r="P694" i="11"/>
  <c r="R694" i="11" s="1"/>
  <c r="I694" i="11"/>
  <c r="K694" i="11" s="1"/>
  <c r="P693" i="11"/>
  <c r="R693" i="11" s="1"/>
  <c r="I693" i="11"/>
  <c r="K693" i="11" s="1"/>
  <c r="P692" i="11"/>
  <c r="R692" i="11" s="1"/>
  <c r="I692" i="11"/>
  <c r="K692" i="11" s="1"/>
  <c r="P691" i="11"/>
  <c r="R691" i="11" s="1"/>
  <c r="I691" i="11"/>
  <c r="K691" i="11" s="1"/>
  <c r="P690" i="11"/>
  <c r="R690" i="11" s="1"/>
  <c r="I690" i="11"/>
  <c r="K690" i="11" s="1"/>
  <c r="P689" i="11"/>
  <c r="R689" i="11" s="1"/>
  <c r="I689" i="11"/>
  <c r="K689" i="11" s="1"/>
  <c r="P688" i="11"/>
  <c r="R688" i="11" s="1"/>
  <c r="I688" i="11"/>
  <c r="K688" i="11" s="1"/>
  <c r="P687" i="11"/>
  <c r="R687" i="11" s="1"/>
  <c r="I687" i="11"/>
  <c r="K687" i="11" s="1"/>
  <c r="P686" i="11"/>
  <c r="R686" i="11" s="1"/>
  <c r="I686" i="11"/>
  <c r="K686" i="11" s="1"/>
  <c r="P685" i="11"/>
  <c r="R685" i="11" s="1"/>
  <c r="I685" i="11"/>
  <c r="K685" i="11" s="1"/>
  <c r="P684" i="11"/>
  <c r="R684" i="11" s="1"/>
  <c r="I684" i="11"/>
  <c r="K684" i="11" s="1"/>
  <c r="P683" i="11"/>
  <c r="R683" i="11" s="1"/>
  <c r="I683" i="11"/>
  <c r="K683" i="11" s="1"/>
  <c r="P682" i="11"/>
  <c r="R682" i="11" s="1"/>
  <c r="I682" i="11"/>
  <c r="K682" i="11" s="1"/>
  <c r="P681" i="11"/>
  <c r="R681" i="11" s="1"/>
  <c r="I681" i="11"/>
  <c r="K681" i="11" s="1"/>
  <c r="P680" i="11"/>
  <c r="R680" i="11" s="1"/>
  <c r="I680" i="11"/>
  <c r="K680" i="11" s="1"/>
  <c r="P679" i="11"/>
  <c r="R679" i="11" s="1"/>
  <c r="I679" i="11"/>
  <c r="K679" i="11" s="1"/>
  <c r="P678" i="11"/>
  <c r="R678" i="11" s="1"/>
  <c r="I678" i="11"/>
  <c r="K678" i="11" s="1"/>
  <c r="P677" i="11"/>
  <c r="R677" i="11" s="1"/>
  <c r="I677" i="11"/>
  <c r="K677" i="11" s="1"/>
  <c r="P676" i="11"/>
  <c r="R676" i="11" s="1"/>
  <c r="I676" i="11"/>
  <c r="K676" i="11" s="1"/>
  <c r="P675" i="11"/>
  <c r="R675" i="11" s="1"/>
  <c r="I675" i="11"/>
  <c r="K675" i="11" s="1"/>
  <c r="P674" i="11"/>
  <c r="R674" i="11" s="1"/>
  <c r="I674" i="11"/>
  <c r="K674" i="11" s="1"/>
  <c r="P673" i="11"/>
  <c r="R673" i="11" s="1"/>
  <c r="I673" i="11"/>
  <c r="K673" i="11" s="1"/>
  <c r="P672" i="11"/>
  <c r="R672" i="11" s="1"/>
  <c r="I672" i="11"/>
  <c r="K672" i="11" s="1"/>
  <c r="P671" i="11"/>
  <c r="R671" i="11" s="1"/>
  <c r="I671" i="11"/>
  <c r="K671" i="11" s="1"/>
  <c r="P670" i="11"/>
  <c r="R670" i="11" s="1"/>
  <c r="I670" i="11"/>
  <c r="K670" i="11" s="1"/>
  <c r="P669" i="11"/>
  <c r="R669" i="11" s="1"/>
  <c r="I669" i="11"/>
  <c r="K669" i="11" s="1"/>
  <c r="P668" i="11"/>
  <c r="R668" i="11" s="1"/>
  <c r="I668" i="11"/>
  <c r="K668" i="11" s="1"/>
  <c r="P667" i="11"/>
  <c r="R667" i="11" s="1"/>
  <c r="I667" i="11"/>
  <c r="K667" i="11" s="1"/>
  <c r="P666" i="11"/>
  <c r="R666" i="11" s="1"/>
  <c r="I666" i="11"/>
  <c r="K666" i="11" s="1"/>
  <c r="P665" i="11"/>
  <c r="R665" i="11" s="1"/>
  <c r="I665" i="11"/>
  <c r="K665" i="11" s="1"/>
  <c r="P664" i="11"/>
  <c r="R664" i="11" s="1"/>
  <c r="I664" i="11"/>
  <c r="K664" i="11" s="1"/>
  <c r="P663" i="11"/>
  <c r="R663" i="11" s="1"/>
  <c r="I663" i="11"/>
  <c r="K663" i="11" s="1"/>
  <c r="P662" i="11"/>
  <c r="R662" i="11" s="1"/>
  <c r="I662" i="11"/>
  <c r="K662" i="11" s="1"/>
  <c r="P661" i="11"/>
  <c r="R661" i="11" s="1"/>
  <c r="I661" i="11"/>
  <c r="K661" i="11" s="1"/>
  <c r="P660" i="11"/>
  <c r="R660" i="11" s="1"/>
  <c r="I660" i="11"/>
  <c r="K660" i="11" s="1"/>
  <c r="P659" i="11"/>
  <c r="R659" i="11" s="1"/>
  <c r="I659" i="11"/>
  <c r="K659" i="11" s="1"/>
  <c r="P658" i="11"/>
  <c r="R658" i="11" s="1"/>
  <c r="I658" i="11"/>
  <c r="K658" i="11" s="1"/>
  <c r="P657" i="11"/>
  <c r="R657" i="11" s="1"/>
  <c r="I657" i="11"/>
  <c r="K657" i="11" s="1"/>
  <c r="P656" i="11"/>
  <c r="R656" i="11" s="1"/>
  <c r="I656" i="11"/>
  <c r="K656" i="11" s="1"/>
  <c r="P655" i="11"/>
  <c r="R655" i="11" s="1"/>
  <c r="I655" i="11"/>
  <c r="K655" i="11" s="1"/>
  <c r="P654" i="11"/>
  <c r="R654" i="11" s="1"/>
  <c r="I654" i="11"/>
  <c r="K654" i="11" s="1"/>
  <c r="P653" i="11"/>
  <c r="R653" i="11" s="1"/>
  <c r="I653" i="11"/>
  <c r="K653" i="11" s="1"/>
  <c r="P652" i="11"/>
  <c r="R652" i="11" s="1"/>
  <c r="I652" i="11"/>
  <c r="K652" i="11" s="1"/>
  <c r="P651" i="11"/>
  <c r="R651" i="11" s="1"/>
  <c r="I651" i="11"/>
  <c r="K651" i="11" s="1"/>
  <c r="P650" i="11"/>
  <c r="R650" i="11" s="1"/>
  <c r="I650" i="11"/>
  <c r="K650" i="11" s="1"/>
  <c r="P649" i="11"/>
  <c r="I649" i="11"/>
  <c r="Q648" i="11"/>
  <c r="O648" i="11"/>
  <c r="N648" i="11"/>
  <c r="M648" i="11"/>
  <c r="L648" i="11"/>
  <c r="J648" i="11"/>
  <c r="H648" i="11"/>
  <c r="G648" i="11"/>
  <c r="F648" i="11"/>
  <c r="E648" i="11"/>
  <c r="P647" i="11"/>
  <c r="R647" i="11" s="1"/>
  <c r="I647" i="11"/>
  <c r="K647" i="11" s="1"/>
  <c r="P646" i="11"/>
  <c r="R646" i="11" s="1"/>
  <c r="I646" i="11"/>
  <c r="K646" i="11" s="1"/>
  <c r="P645" i="11"/>
  <c r="R645" i="11" s="1"/>
  <c r="I645" i="11"/>
  <c r="K645" i="11" s="1"/>
  <c r="P644" i="11"/>
  <c r="R644" i="11" s="1"/>
  <c r="I644" i="11"/>
  <c r="K644" i="11" s="1"/>
  <c r="P643" i="11"/>
  <c r="R643" i="11" s="1"/>
  <c r="I643" i="11"/>
  <c r="K643" i="11" s="1"/>
  <c r="P642" i="11"/>
  <c r="R642" i="11" s="1"/>
  <c r="I642" i="11"/>
  <c r="K642" i="11" s="1"/>
  <c r="P641" i="11"/>
  <c r="R641" i="11" s="1"/>
  <c r="I641" i="11"/>
  <c r="K641" i="11" s="1"/>
  <c r="P640" i="11"/>
  <c r="R640" i="11" s="1"/>
  <c r="I640" i="11"/>
  <c r="K640" i="11" s="1"/>
  <c r="P639" i="11"/>
  <c r="R639" i="11" s="1"/>
  <c r="I639" i="11"/>
  <c r="K639" i="11" s="1"/>
  <c r="P638" i="11"/>
  <c r="R638" i="11" s="1"/>
  <c r="I638" i="11"/>
  <c r="K638" i="11" s="1"/>
  <c r="P637" i="11"/>
  <c r="R637" i="11" s="1"/>
  <c r="I637" i="11"/>
  <c r="K637" i="11" s="1"/>
  <c r="P636" i="11"/>
  <c r="R636" i="11" s="1"/>
  <c r="I636" i="11"/>
  <c r="K636" i="11" s="1"/>
  <c r="P635" i="11"/>
  <c r="R635" i="11" s="1"/>
  <c r="I635" i="11"/>
  <c r="K635" i="11" s="1"/>
  <c r="P634" i="11"/>
  <c r="R634" i="11" s="1"/>
  <c r="I634" i="11"/>
  <c r="K634" i="11" s="1"/>
  <c r="P633" i="11"/>
  <c r="R633" i="11" s="1"/>
  <c r="I633" i="11"/>
  <c r="K633" i="11" s="1"/>
  <c r="P632" i="11"/>
  <c r="R632" i="11" s="1"/>
  <c r="I632" i="11"/>
  <c r="K632" i="11" s="1"/>
  <c r="P631" i="11"/>
  <c r="R631" i="11" s="1"/>
  <c r="I631" i="11"/>
  <c r="K631" i="11" s="1"/>
  <c r="P630" i="11"/>
  <c r="R630" i="11" s="1"/>
  <c r="I630" i="11"/>
  <c r="K630" i="11" s="1"/>
  <c r="P629" i="11"/>
  <c r="R629" i="11" s="1"/>
  <c r="I629" i="11"/>
  <c r="K629" i="11" s="1"/>
  <c r="P628" i="11"/>
  <c r="R628" i="11" s="1"/>
  <c r="I628" i="11"/>
  <c r="K628" i="11" s="1"/>
  <c r="P627" i="11"/>
  <c r="R627" i="11" s="1"/>
  <c r="I627" i="11"/>
  <c r="K627" i="11" s="1"/>
  <c r="P626" i="11"/>
  <c r="R626" i="11" s="1"/>
  <c r="I626" i="11"/>
  <c r="K626" i="11" s="1"/>
  <c r="P625" i="11"/>
  <c r="R625" i="11" s="1"/>
  <c r="I625" i="11"/>
  <c r="K625" i="11" s="1"/>
  <c r="P624" i="11"/>
  <c r="R624" i="11" s="1"/>
  <c r="I624" i="11"/>
  <c r="K624" i="11" s="1"/>
  <c r="P623" i="11"/>
  <c r="R623" i="11" s="1"/>
  <c r="I623" i="11"/>
  <c r="K623" i="11" s="1"/>
  <c r="P622" i="11"/>
  <c r="R622" i="11" s="1"/>
  <c r="I622" i="11"/>
  <c r="K622" i="11" s="1"/>
  <c r="P621" i="11"/>
  <c r="R621" i="11" s="1"/>
  <c r="I621" i="11"/>
  <c r="K621" i="11" s="1"/>
  <c r="P620" i="11"/>
  <c r="R620" i="11" s="1"/>
  <c r="I620" i="11"/>
  <c r="K620" i="11" s="1"/>
  <c r="P619" i="11"/>
  <c r="R619" i="11" s="1"/>
  <c r="I619" i="11"/>
  <c r="K619" i="11" s="1"/>
  <c r="P618" i="11"/>
  <c r="R618" i="11" s="1"/>
  <c r="I618" i="11"/>
  <c r="K618" i="11" s="1"/>
  <c r="P617" i="11"/>
  <c r="R617" i="11" s="1"/>
  <c r="I617" i="11"/>
  <c r="K617" i="11" s="1"/>
  <c r="P616" i="11"/>
  <c r="R616" i="11" s="1"/>
  <c r="I616" i="11"/>
  <c r="K616" i="11" s="1"/>
  <c r="P615" i="11"/>
  <c r="R615" i="11" s="1"/>
  <c r="I615" i="11"/>
  <c r="K615" i="11" s="1"/>
  <c r="P614" i="11"/>
  <c r="R614" i="11" s="1"/>
  <c r="I614" i="11"/>
  <c r="K614" i="11" s="1"/>
  <c r="P613" i="11"/>
  <c r="R613" i="11" s="1"/>
  <c r="I613" i="11"/>
  <c r="K613" i="11" s="1"/>
  <c r="P612" i="11"/>
  <c r="R612" i="11" s="1"/>
  <c r="I612" i="11"/>
  <c r="K612" i="11" s="1"/>
  <c r="P611" i="11"/>
  <c r="R611" i="11" s="1"/>
  <c r="I611" i="11"/>
  <c r="K611" i="11" s="1"/>
  <c r="P610" i="11"/>
  <c r="R610" i="11" s="1"/>
  <c r="I610" i="11"/>
  <c r="K610" i="11" s="1"/>
  <c r="P609" i="11"/>
  <c r="R609" i="11" s="1"/>
  <c r="I609" i="11"/>
  <c r="K609" i="11" s="1"/>
  <c r="P608" i="11"/>
  <c r="R608" i="11" s="1"/>
  <c r="I608" i="11"/>
  <c r="K608" i="11" s="1"/>
  <c r="P607" i="11"/>
  <c r="R607" i="11" s="1"/>
  <c r="I607" i="11"/>
  <c r="K607" i="11" s="1"/>
  <c r="P606" i="11"/>
  <c r="R606" i="11" s="1"/>
  <c r="I606" i="11"/>
  <c r="K606" i="11" s="1"/>
  <c r="P605" i="11"/>
  <c r="R605" i="11" s="1"/>
  <c r="I605" i="11"/>
  <c r="K605" i="11" s="1"/>
  <c r="P604" i="11"/>
  <c r="R604" i="11" s="1"/>
  <c r="I604" i="11"/>
  <c r="K604" i="11" s="1"/>
  <c r="P603" i="11"/>
  <c r="R603" i="11" s="1"/>
  <c r="I603" i="11"/>
  <c r="K603" i="11" s="1"/>
  <c r="P602" i="11"/>
  <c r="R602" i="11" s="1"/>
  <c r="I602" i="11"/>
  <c r="K602" i="11" s="1"/>
  <c r="P601" i="11"/>
  <c r="R601" i="11" s="1"/>
  <c r="I601" i="11"/>
  <c r="K601" i="11" s="1"/>
  <c r="P600" i="11"/>
  <c r="R600" i="11" s="1"/>
  <c r="I600" i="11"/>
  <c r="K600" i="11" s="1"/>
  <c r="P599" i="11"/>
  <c r="R599" i="11" s="1"/>
  <c r="I599" i="11"/>
  <c r="K599" i="11" s="1"/>
  <c r="P598" i="11"/>
  <c r="I598" i="11"/>
  <c r="Q597" i="11"/>
  <c r="O597" i="11"/>
  <c r="N597" i="11"/>
  <c r="M597" i="11"/>
  <c r="L597" i="11"/>
  <c r="J597" i="11"/>
  <c r="H597" i="11"/>
  <c r="G597" i="11"/>
  <c r="F597" i="11"/>
  <c r="E597" i="11"/>
  <c r="P595" i="11"/>
  <c r="R595" i="11" s="1"/>
  <c r="I595" i="11"/>
  <c r="K595" i="11" s="1"/>
  <c r="P594" i="11"/>
  <c r="R594" i="11" s="1"/>
  <c r="I594" i="11"/>
  <c r="K594" i="11" s="1"/>
  <c r="P593" i="11"/>
  <c r="R593" i="11" s="1"/>
  <c r="I593" i="11"/>
  <c r="K593" i="11" s="1"/>
  <c r="P592" i="11"/>
  <c r="R592" i="11" s="1"/>
  <c r="I592" i="11"/>
  <c r="K592" i="11" s="1"/>
  <c r="P591" i="11"/>
  <c r="R591" i="11" s="1"/>
  <c r="I591" i="11"/>
  <c r="K591" i="11" s="1"/>
  <c r="P590" i="11"/>
  <c r="R590" i="11" s="1"/>
  <c r="I590" i="11"/>
  <c r="K590" i="11" s="1"/>
  <c r="P589" i="11"/>
  <c r="R589" i="11" s="1"/>
  <c r="I589" i="11"/>
  <c r="K589" i="11" s="1"/>
  <c r="P588" i="11"/>
  <c r="R588" i="11" s="1"/>
  <c r="I588" i="11"/>
  <c r="K588" i="11" s="1"/>
  <c r="P587" i="11"/>
  <c r="R587" i="11" s="1"/>
  <c r="I587" i="11"/>
  <c r="K587" i="11" s="1"/>
  <c r="P586" i="11"/>
  <c r="R586" i="11" s="1"/>
  <c r="I586" i="11"/>
  <c r="K586" i="11" s="1"/>
  <c r="P585" i="11"/>
  <c r="R585" i="11" s="1"/>
  <c r="I585" i="11"/>
  <c r="K585" i="11" s="1"/>
  <c r="P584" i="11"/>
  <c r="R584" i="11" s="1"/>
  <c r="I584" i="11"/>
  <c r="K584" i="11" s="1"/>
  <c r="P583" i="11"/>
  <c r="R583" i="11" s="1"/>
  <c r="I583" i="11"/>
  <c r="K583" i="11" s="1"/>
  <c r="P582" i="11"/>
  <c r="R582" i="11" s="1"/>
  <c r="I582" i="11"/>
  <c r="K582" i="11" s="1"/>
  <c r="P581" i="11"/>
  <c r="R581" i="11" s="1"/>
  <c r="I581" i="11"/>
  <c r="K581" i="11" s="1"/>
  <c r="P580" i="11"/>
  <c r="R580" i="11" s="1"/>
  <c r="I580" i="11"/>
  <c r="K580" i="11" s="1"/>
  <c r="P579" i="11"/>
  <c r="R579" i="11" s="1"/>
  <c r="I579" i="11"/>
  <c r="K579" i="11" s="1"/>
  <c r="P578" i="11"/>
  <c r="R578" i="11" s="1"/>
  <c r="I578" i="11"/>
  <c r="K578" i="11" s="1"/>
  <c r="P577" i="11"/>
  <c r="R577" i="11" s="1"/>
  <c r="I577" i="11"/>
  <c r="K577" i="11" s="1"/>
  <c r="P576" i="11"/>
  <c r="R576" i="11" s="1"/>
  <c r="I576" i="11"/>
  <c r="K576" i="11" s="1"/>
  <c r="P575" i="11"/>
  <c r="R575" i="11" s="1"/>
  <c r="I575" i="11"/>
  <c r="K575" i="11" s="1"/>
  <c r="P574" i="11"/>
  <c r="R574" i="11" s="1"/>
  <c r="I574" i="11"/>
  <c r="K574" i="11" s="1"/>
  <c r="P573" i="11"/>
  <c r="R573" i="11" s="1"/>
  <c r="I573" i="11"/>
  <c r="K573" i="11" s="1"/>
  <c r="P572" i="11"/>
  <c r="R572" i="11" s="1"/>
  <c r="I572" i="11"/>
  <c r="K572" i="11" s="1"/>
  <c r="P571" i="11"/>
  <c r="R571" i="11" s="1"/>
  <c r="I571" i="11"/>
  <c r="K571" i="11" s="1"/>
  <c r="P570" i="11"/>
  <c r="R570" i="11" s="1"/>
  <c r="I570" i="11"/>
  <c r="K570" i="11" s="1"/>
  <c r="P569" i="11"/>
  <c r="R569" i="11" s="1"/>
  <c r="I569" i="11"/>
  <c r="K569" i="11" s="1"/>
  <c r="P568" i="11"/>
  <c r="R568" i="11" s="1"/>
  <c r="I568" i="11"/>
  <c r="K568" i="11" s="1"/>
  <c r="P567" i="11"/>
  <c r="R567" i="11" s="1"/>
  <c r="I567" i="11"/>
  <c r="K567" i="11" s="1"/>
  <c r="P566" i="11"/>
  <c r="R566" i="11" s="1"/>
  <c r="I566" i="11"/>
  <c r="K566" i="11" s="1"/>
  <c r="P565" i="11"/>
  <c r="R565" i="11" s="1"/>
  <c r="I565" i="11"/>
  <c r="K565" i="11" s="1"/>
  <c r="P564" i="11"/>
  <c r="R564" i="11" s="1"/>
  <c r="I564" i="11"/>
  <c r="K564" i="11" s="1"/>
  <c r="P563" i="11"/>
  <c r="R563" i="11" s="1"/>
  <c r="I563" i="11"/>
  <c r="K563" i="11" s="1"/>
  <c r="P562" i="11"/>
  <c r="R562" i="11" s="1"/>
  <c r="I562" i="11"/>
  <c r="K562" i="11" s="1"/>
  <c r="P561" i="11"/>
  <c r="R561" i="11" s="1"/>
  <c r="I561" i="11"/>
  <c r="K561" i="11" s="1"/>
  <c r="P560" i="11"/>
  <c r="R560" i="11" s="1"/>
  <c r="I560" i="11"/>
  <c r="K560" i="11" s="1"/>
  <c r="P559" i="11"/>
  <c r="R559" i="11" s="1"/>
  <c r="I559" i="11"/>
  <c r="K559" i="11" s="1"/>
  <c r="P558" i="11"/>
  <c r="R558" i="11" s="1"/>
  <c r="I558" i="11"/>
  <c r="K558" i="11" s="1"/>
  <c r="P557" i="11"/>
  <c r="R557" i="11" s="1"/>
  <c r="I557" i="11"/>
  <c r="K557" i="11" s="1"/>
  <c r="P556" i="11"/>
  <c r="R556" i="11" s="1"/>
  <c r="I556" i="11"/>
  <c r="K556" i="11" s="1"/>
  <c r="P555" i="11"/>
  <c r="R555" i="11" s="1"/>
  <c r="I555" i="11"/>
  <c r="K555" i="11" s="1"/>
  <c r="P554" i="11"/>
  <c r="R554" i="11" s="1"/>
  <c r="I554" i="11"/>
  <c r="K554" i="11" s="1"/>
  <c r="P553" i="11"/>
  <c r="R553" i="11" s="1"/>
  <c r="I553" i="11"/>
  <c r="K553" i="11" s="1"/>
  <c r="P552" i="11"/>
  <c r="R552" i="11" s="1"/>
  <c r="I552" i="11"/>
  <c r="K552" i="11" s="1"/>
  <c r="P551" i="11"/>
  <c r="R551" i="11" s="1"/>
  <c r="I551" i="11"/>
  <c r="K551" i="11" s="1"/>
  <c r="P550" i="11"/>
  <c r="R550" i="11" s="1"/>
  <c r="I550" i="11"/>
  <c r="K550" i="11" s="1"/>
  <c r="P549" i="11"/>
  <c r="R549" i="11" s="1"/>
  <c r="I549" i="11"/>
  <c r="K549" i="11" s="1"/>
  <c r="P548" i="11"/>
  <c r="R548" i="11" s="1"/>
  <c r="I548" i="11"/>
  <c r="K548" i="11" s="1"/>
  <c r="P547" i="11"/>
  <c r="R547" i="11" s="1"/>
  <c r="I547" i="11"/>
  <c r="K547" i="11" s="1"/>
  <c r="P546" i="11"/>
  <c r="R546" i="11" s="1"/>
  <c r="I546" i="11"/>
  <c r="K546" i="11" s="1"/>
  <c r="Q545" i="11"/>
  <c r="O545" i="11"/>
  <c r="N545" i="11"/>
  <c r="M545" i="11"/>
  <c r="L545" i="11"/>
  <c r="J545" i="11"/>
  <c r="H545" i="11"/>
  <c r="G545" i="11"/>
  <c r="F545" i="11"/>
  <c r="E545" i="11"/>
  <c r="P544" i="11"/>
  <c r="R544" i="11" s="1"/>
  <c r="I544" i="11"/>
  <c r="K544" i="11" s="1"/>
  <c r="P543" i="11"/>
  <c r="R543" i="11" s="1"/>
  <c r="I543" i="11"/>
  <c r="K543" i="11" s="1"/>
  <c r="P542" i="11"/>
  <c r="R542" i="11" s="1"/>
  <c r="I542" i="11"/>
  <c r="K542" i="11" s="1"/>
  <c r="P541" i="11"/>
  <c r="R541" i="11" s="1"/>
  <c r="I541" i="11"/>
  <c r="K541" i="11" s="1"/>
  <c r="P540" i="11"/>
  <c r="R540" i="11" s="1"/>
  <c r="I540" i="11"/>
  <c r="K540" i="11" s="1"/>
  <c r="P539" i="11"/>
  <c r="R539" i="11" s="1"/>
  <c r="I539" i="11"/>
  <c r="K539" i="11" s="1"/>
  <c r="P538" i="11"/>
  <c r="R538" i="11" s="1"/>
  <c r="I538" i="11"/>
  <c r="K538" i="11" s="1"/>
  <c r="P537" i="11"/>
  <c r="R537" i="11" s="1"/>
  <c r="I537" i="11"/>
  <c r="K537" i="11" s="1"/>
  <c r="P536" i="11"/>
  <c r="R536" i="11" s="1"/>
  <c r="I536" i="11"/>
  <c r="K536" i="11" s="1"/>
  <c r="P535" i="11"/>
  <c r="R535" i="11" s="1"/>
  <c r="I535" i="11"/>
  <c r="K535" i="11" s="1"/>
  <c r="P534" i="11"/>
  <c r="R534" i="11" s="1"/>
  <c r="I534" i="11"/>
  <c r="K534" i="11" s="1"/>
  <c r="P533" i="11"/>
  <c r="R533" i="11" s="1"/>
  <c r="I533" i="11"/>
  <c r="K533" i="11" s="1"/>
  <c r="P532" i="11"/>
  <c r="R532" i="11" s="1"/>
  <c r="I532" i="11"/>
  <c r="K532" i="11" s="1"/>
  <c r="P531" i="11"/>
  <c r="R531" i="11" s="1"/>
  <c r="I531" i="11"/>
  <c r="K531" i="11" s="1"/>
  <c r="P530" i="11"/>
  <c r="R530" i="11" s="1"/>
  <c r="I530" i="11"/>
  <c r="K530" i="11" s="1"/>
  <c r="P529" i="11"/>
  <c r="R529" i="11" s="1"/>
  <c r="I529" i="11"/>
  <c r="K529" i="11" s="1"/>
  <c r="P528" i="11"/>
  <c r="R528" i="11" s="1"/>
  <c r="I528" i="11"/>
  <c r="K528" i="11" s="1"/>
  <c r="P527" i="11"/>
  <c r="R527" i="11" s="1"/>
  <c r="I527" i="11"/>
  <c r="K527" i="11" s="1"/>
  <c r="P526" i="11"/>
  <c r="R526" i="11" s="1"/>
  <c r="I526" i="11"/>
  <c r="K526" i="11" s="1"/>
  <c r="P525" i="11"/>
  <c r="R525" i="11" s="1"/>
  <c r="I525" i="11"/>
  <c r="K525" i="11" s="1"/>
  <c r="P524" i="11"/>
  <c r="R524" i="11" s="1"/>
  <c r="I524" i="11"/>
  <c r="K524" i="11" s="1"/>
  <c r="P523" i="11"/>
  <c r="R523" i="11" s="1"/>
  <c r="I523" i="11"/>
  <c r="K523" i="11" s="1"/>
  <c r="P522" i="11"/>
  <c r="R522" i="11" s="1"/>
  <c r="I522" i="11"/>
  <c r="K522" i="11" s="1"/>
  <c r="P521" i="11"/>
  <c r="R521" i="11" s="1"/>
  <c r="I521" i="11"/>
  <c r="K521" i="11" s="1"/>
  <c r="P520" i="11"/>
  <c r="R520" i="11" s="1"/>
  <c r="I520" i="11"/>
  <c r="K520" i="11" s="1"/>
  <c r="P519" i="11"/>
  <c r="R519" i="11" s="1"/>
  <c r="I519" i="11"/>
  <c r="K519" i="11" s="1"/>
  <c r="P518" i="11"/>
  <c r="R518" i="11" s="1"/>
  <c r="I518" i="11"/>
  <c r="K518" i="11" s="1"/>
  <c r="P517" i="11"/>
  <c r="R517" i="11" s="1"/>
  <c r="I517" i="11"/>
  <c r="K517" i="11" s="1"/>
  <c r="P516" i="11"/>
  <c r="R516" i="11" s="1"/>
  <c r="I516" i="11"/>
  <c r="K516" i="11" s="1"/>
  <c r="P515" i="11"/>
  <c r="R515" i="11" s="1"/>
  <c r="I515" i="11"/>
  <c r="K515" i="11" s="1"/>
  <c r="P514" i="11"/>
  <c r="R514" i="11" s="1"/>
  <c r="I514" i="11"/>
  <c r="K514" i="11" s="1"/>
  <c r="P513" i="11"/>
  <c r="R513" i="11" s="1"/>
  <c r="I513" i="11"/>
  <c r="K513" i="11" s="1"/>
  <c r="P512" i="11"/>
  <c r="R512" i="11" s="1"/>
  <c r="I512" i="11"/>
  <c r="K512" i="11" s="1"/>
  <c r="P511" i="11"/>
  <c r="R511" i="11" s="1"/>
  <c r="I511" i="11"/>
  <c r="K511" i="11" s="1"/>
  <c r="P510" i="11"/>
  <c r="R510" i="11" s="1"/>
  <c r="I510" i="11"/>
  <c r="K510" i="11" s="1"/>
  <c r="P509" i="11"/>
  <c r="R509" i="11" s="1"/>
  <c r="I509" i="11"/>
  <c r="K509" i="11" s="1"/>
  <c r="P508" i="11"/>
  <c r="R508" i="11" s="1"/>
  <c r="I508" i="11"/>
  <c r="K508" i="11" s="1"/>
  <c r="P507" i="11"/>
  <c r="R507" i="11" s="1"/>
  <c r="I507" i="11"/>
  <c r="K507" i="11" s="1"/>
  <c r="P506" i="11"/>
  <c r="R506" i="11" s="1"/>
  <c r="I506" i="11"/>
  <c r="K506" i="11" s="1"/>
  <c r="P505" i="11"/>
  <c r="R505" i="11" s="1"/>
  <c r="I505" i="11"/>
  <c r="K505" i="11" s="1"/>
  <c r="P504" i="11"/>
  <c r="R504" i="11" s="1"/>
  <c r="I504" i="11"/>
  <c r="K504" i="11" s="1"/>
  <c r="P503" i="11"/>
  <c r="R503" i="11" s="1"/>
  <c r="I503" i="11"/>
  <c r="K503" i="11" s="1"/>
  <c r="P502" i="11"/>
  <c r="R502" i="11" s="1"/>
  <c r="I502" i="11"/>
  <c r="K502" i="11" s="1"/>
  <c r="P501" i="11"/>
  <c r="R501" i="11" s="1"/>
  <c r="I501" i="11"/>
  <c r="K501" i="11" s="1"/>
  <c r="P500" i="11"/>
  <c r="R500" i="11" s="1"/>
  <c r="I500" i="11"/>
  <c r="K500" i="11" s="1"/>
  <c r="P499" i="11"/>
  <c r="R499" i="11" s="1"/>
  <c r="I499" i="11"/>
  <c r="K499" i="11" s="1"/>
  <c r="P498" i="11"/>
  <c r="R498" i="11" s="1"/>
  <c r="I498" i="11"/>
  <c r="K498" i="11" s="1"/>
  <c r="P497" i="11"/>
  <c r="R497" i="11" s="1"/>
  <c r="I497" i="11"/>
  <c r="K497" i="11" s="1"/>
  <c r="P496" i="11"/>
  <c r="R496" i="11" s="1"/>
  <c r="I496" i="11"/>
  <c r="K496" i="11" s="1"/>
  <c r="P495" i="11"/>
  <c r="R495" i="11" s="1"/>
  <c r="I495" i="11"/>
  <c r="Q494" i="11"/>
  <c r="O494" i="11"/>
  <c r="N494" i="11"/>
  <c r="M494" i="11"/>
  <c r="L494" i="11"/>
  <c r="J494" i="11"/>
  <c r="H494" i="11"/>
  <c r="G494" i="11"/>
  <c r="F494" i="11"/>
  <c r="E494" i="11"/>
  <c r="P492" i="11"/>
  <c r="R492" i="11" s="1"/>
  <c r="I492" i="11"/>
  <c r="K492" i="11" s="1"/>
  <c r="P491" i="11"/>
  <c r="R491" i="11" s="1"/>
  <c r="I491" i="11"/>
  <c r="K491" i="11" s="1"/>
  <c r="P490" i="11"/>
  <c r="R490" i="11" s="1"/>
  <c r="I490" i="11"/>
  <c r="K490" i="11" s="1"/>
  <c r="P489" i="11"/>
  <c r="R489" i="11" s="1"/>
  <c r="I489" i="11"/>
  <c r="K489" i="11" s="1"/>
  <c r="P488" i="11"/>
  <c r="R488" i="11" s="1"/>
  <c r="I488" i="11"/>
  <c r="K488" i="11" s="1"/>
  <c r="P487" i="11"/>
  <c r="R487" i="11" s="1"/>
  <c r="I487" i="11"/>
  <c r="K487" i="11" s="1"/>
  <c r="P486" i="11"/>
  <c r="R486" i="11" s="1"/>
  <c r="I486" i="11"/>
  <c r="K486" i="11" s="1"/>
  <c r="P485" i="11"/>
  <c r="R485" i="11" s="1"/>
  <c r="I485" i="11"/>
  <c r="K485" i="11" s="1"/>
  <c r="P484" i="11"/>
  <c r="R484" i="11" s="1"/>
  <c r="I484" i="11"/>
  <c r="K484" i="11" s="1"/>
  <c r="P483" i="11"/>
  <c r="R483" i="11" s="1"/>
  <c r="I483" i="11"/>
  <c r="K483" i="11" s="1"/>
  <c r="P482" i="11"/>
  <c r="R482" i="11" s="1"/>
  <c r="I482" i="11"/>
  <c r="K482" i="11" s="1"/>
  <c r="P481" i="11"/>
  <c r="R481" i="11" s="1"/>
  <c r="I481" i="11"/>
  <c r="K481" i="11" s="1"/>
  <c r="P480" i="11"/>
  <c r="R480" i="11" s="1"/>
  <c r="I480" i="11"/>
  <c r="K480" i="11" s="1"/>
  <c r="P479" i="11"/>
  <c r="R479" i="11" s="1"/>
  <c r="I479" i="11"/>
  <c r="K479" i="11" s="1"/>
  <c r="P478" i="11"/>
  <c r="R478" i="11" s="1"/>
  <c r="I478" i="11"/>
  <c r="K478" i="11" s="1"/>
  <c r="P477" i="11"/>
  <c r="R477" i="11" s="1"/>
  <c r="I477" i="11"/>
  <c r="K477" i="11" s="1"/>
  <c r="P476" i="11"/>
  <c r="R476" i="11" s="1"/>
  <c r="I476" i="11"/>
  <c r="K476" i="11" s="1"/>
  <c r="P475" i="11"/>
  <c r="R475" i="11" s="1"/>
  <c r="I475" i="11"/>
  <c r="K475" i="11" s="1"/>
  <c r="P474" i="11"/>
  <c r="R474" i="11" s="1"/>
  <c r="I474" i="11"/>
  <c r="K474" i="11" s="1"/>
  <c r="P473" i="11"/>
  <c r="R473" i="11" s="1"/>
  <c r="I473" i="11"/>
  <c r="K473" i="11" s="1"/>
  <c r="P472" i="11"/>
  <c r="R472" i="11" s="1"/>
  <c r="I472" i="11"/>
  <c r="K472" i="11" s="1"/>
  <c r="P471" i="11"/>
  <c r="R471" i="11" s="1"/>
  <c r="I471" i="11"/>
  <c r="K471" i="11" s="1"/>
  <c r="P470" i="11"/>
  <c r="R470" i="11" s="1"/>
  <c r="I470" i="11"/>
  <c r="K470" i="11" s="1"/>
  <c r="P469" i="11"/>
  <c r="R469" i="11" s="1"/>
  <c r="I469" i="11"/>
  <c r="K469" i="11" s="1"/>
  <c r="P468" i="11"/>
  <c r="R468" i="11" s="1"/>
  <c r="I468" i="11"/>
  <c r="K468" i="11" s="1"/>
  <c r="P467" i="11"/>
  <c r="R467" i="11" s="1"/>
  <c r="I467" i="11"/>
  <c r="K467" i="11" s="1"/>
  <c r="P466" i="11"/>
  <c r="R466" i="11" s="1"/>
  <c r="I466" i="11"/>
  <c r="K466" i="11" s="1"/>
  <c r="P465" i="11"/>
  <c r="R465" i="11" s="1"/>
  <c r="I465" i="11"/>
  <c r="K465" i="11" s="1"/>
  <c r="P464" i="11"/>
  <c r="R464" i="11" s="1"/>
  <c r="I464" i="11"/>
  <c r="K464" i="11" s="1"/>
  <c r="P463" i="11"/>
  <c r="R463" i="11" s="1"/>
  <c r="I463" i="11"/>
  <c r="K463" i="11" s="1"/>
  <c r="P462" i="11"/>
  <c r="R462" i="11" s="1"/>
  <c r="I462" i="11"/>
  <c r="K462" i="11" s="1"/>
  <c r="P461" i="11"/>
  <c r="R461" i="11" s="1"/>
  <c r="I461" i="11"/>
  <c r="K461" i="11" s="1"/>
  <c r="P460" i="11"/>
  <c r="R460" i="11" s="1"/>
  <c r="I460" i="11"/>
  <c r="K460" i="11" s="1"/>
  <c r="P459" i="11"/>
  <c r="R459" i="11" s="1"/>
  <c r="I459" i="11"/>
  <c r="K459" i="11" s="1"/>
  <c r="P458" i="11"/>
  <c r="R458" i="11" s="1"/>
  <c r="I458" i="11"/>
  <c r="K458" i="11" s="1"/>
  <c r="P457" i="11"/>
  <c r="R457" i="11" s="1"/>
  <c r="I457" i="11"/>
  <c r="K457" i="11" s="1"/>
  <c r="P456" i="11"/>
  <c r="R456" i="11" s="1"/>
  <c r="I456" i="11"/>
  <c r="K456" i="11" s="1"/>
  <c r="P455" i="11"/>
  <c r="R455" i="11" s="1"/>
  <c r="I455" i="11"/>
  <c r="K455" i="11" s="1"/>
  <c r="P454" i="11"/>
  <c r="R454" i="11" s="1"/>
  <c r="I454" i="11"/>
  <c r="K454" i="11" s="1"/>
  <c r="P453" i="11"/>
  <c r="R453" i="11" s="1"/>
  <c r="I453" i="11"/>
  <c r="K453" i="11" s="1"/>
  <c r="P452" i="11"/>
  <c r="R452" i="11" s="1"/>
  <c r="I452" i="11"/>
  <c r="K452" i="11" s="1"/>
  <c r="P451" i="11"/>
  <c r="R451" i="11" s="1"/>
  <c r="I451" i="11"/>
  <c r="K451" i="11" s="1"/>
  <c r="P450" i="11"/>
  <c r="R450" i="11" s="1"/>
  <c r="I450" i="11"/>
  <c r="K450" i="11" s="1"/>
  <c r="P449" i="11"/>
  <c r="R449" i="11" s="1"/>
  <c r="I449" i="11"/>
  <c r="K449" i="11" s="1"/>
  <c r="P448" i="11"/>
  <c r="R448" i="11" s="1"/>
  <c r="I448" i="11"/>
  <c r="K448" i="11" s="1"/>
  <c r="P447" i="11"/>
  <c r="R447" i="11" s="1"/>
  <c r="I447" i="11"/>
  <c r="K447" i="11" s="1"/>
  <c r="P446" i="11"/>
  <c r="R446" i="11" s="1"/>
  <c r="I446" i="11"/>
  <c r="K446" i="11" s="1"/>
  <c r="P445" i="11"/>
  <c r="R445" i="11" s="1"/>
  <c r="I445" i="11"/>
  <c r="K445" i="11" s="1"/>
  <c r="P444" i="11"/>
  <c r="R444" i="11" s="1"/>
  <c r="I444" i="11"/>
  <c r="K444" i="11" s="1"/>
  <c r="P443" i="11"/>
  <c r="I443" i="11"/>
  <c r="Q442" i="11"/>
  <c r="O442" i="11"/>
  <c r="N442" i="11"/>
  <c r="M442" i="11"/>
  <c r="L442" i="11"/>
  <c r="J442" i="11"/>
  <c r="H442" i="11"/>
  <c r="G442" i="11"/>
  <c r="F442" i="11"/>
  <c r="E442" i="11"/>
  <c r="P441" i="11"/>
  <c r="R441" i="11" s="1"/>
  <c r="I441" i="11"/>
  <c r="K441" i="11" s="1"/>
  <c r="P440" i="11"/>
  <c r="R440" i="11" s="1"/>
  <c r="I440" i="11"/>
  <c r="K440" i="11" s="1"/>
  <c r="P439" i="11"/>
  <c r="R439" i="11" s="1"/>
  <c r="I439" i="11"/>
  <c r="K439" i="11" s="1"/>
  <c r="P438" i="11"/>
  <c r="R438" i="11" s="1"/>
  <c r="I438" i="11"/>
  <c r="K438" i="11" s="1"/>
  <c r="P437" i="11"/>
  <c r="R437" i="11" s="1"/>
  <c r="I437" i="11"/>
  <c r="K437" i="11" s="1"/>
  <c r="P436" i="11"/>
  <c r="R436" i="11" s="1"/>
  <c r="I436" i="11"/>
  <c r="K436" i="11" s="1"/>
  <c r="P435" i="11"/>
  <c r="R435" i="11" s="1"/>
  <c r="I435" i="11"/>
  <c r="K435" i="11" s="1"/>
  <c r="P434" i="11"/>
  <c r="R434" i="11" s="1"/>
  <c r="I434" i="11"/>
  <c r="K434" i="11" s="1"/>
  <c r="P433" i="11"/>
  <c r="R433" i="11" s="1"/>
  <c r="I433" i="11"/>
  <c r="K433" i="11" s="1"/>
  <c r="P432" i="11"/>
  <c r="R432" i="11" s="1"/>
  <c r="I432" i="11"/>
  <c r="K432" i="11" s="1"/>
  <c r="P431" i="11"/>
  <c r="R431" i="11" s="1"/>
  <c r="I431" i="11"/>
  <c r="K431" i="11" s="1"/>
  <c r="P430" i="11"/>
  <c r="R430" i="11" s="1"/>
  <c r="I430" i="11"/>
  <c r="K430" i="11" s="1"/>
  <c r="P429" i="11"/>
  <c r="R429" i="11" s="1"/>
  <c r="I429" i="11"/>
  <c r="K429" i="11" s="1"/>
  <c r="P428" i="11"/>
  <c r="R428" i="11" s="1"/>
  <c r="I428" i="11"/>
  <c r="K428" i="11" s="1"/>
  <c r="P427" i="11"/>
  <c r="R427" i="11" s="1"/>
  <c r="I427" i="11"/>
  <c r="K427" i="11" s="1"/>
  <c r="P426" i="11"/>
  <c r="R426" i="11" s="1"/>
  <c r="I426" i="11"/>
  <c r="K426" i="11" s="1"/>
  <c r="P425" i="11"/>
  <c r="R425" i="11" s="1"/>
  <c r="I425" i="11"/>
  <c r="K425" i="11" s="1"/>
  <c r="P424" i="11"/>
  <c r="R424" i="11" s="1"/>
  <c r="I424" i="11"/>
  <c r="K424" i="11" s="1"/>
  <c r="P423" i="11"/>
  <c r="R423" i="11" s="1"/>
  <c r="I423" i="11"/>
  <c r="K423" i="11" s="1"/>
  <c r="P422" i="11"/>
  <c r="R422" i="11" s="1"/>
  <c r="I422" i="11"/>
  <c r="K422" i="11" s="1"/>
  <c r="P421" i="11"/>
  <c r="R421" i="11" s="1"/>
  <c r="I421" i="11"/>
  <c r="K421" i="11" s="1"/>
  <c r="P420" i="11"/>
  <c r="R420" i="11" s="1"/>
  <c r="I420" i="11"/>
  <c r="K420" i="11" s="1"/>
  <c r="P419" i="11"/>
  <c r="R419" i="11" s="1"/>
  <c r="I419" i="11"/>
  <c r="K419" i="11" s="1"/>
  <c r="P418" i="11"/>
  <c r="R418" i="11" s="1"/>
  <c r="I418" i="11"/>
  <c r="K418" i="11" s="1"/>
  <c r="P417" i="11"/>
  <c r="R417" i="11" s="1"/>
  <c r="I417" i="11"/>
  <c r="K417" i="11" s="1"/>
  <c r="P416" i="11"/>
  <c r="R416" i="11" s="1"/>
  <c r="I416" i="11"/>
  <c r="K416" i="11" s="1"/>
  <c r="P415" i="11"/>
  <c r="R415" i="11" s="1"/>
  <c r="I415" i="11"/>
  <c r="K415" i="11" s="1"/>
  <c r="P414" i="11"/>
  <c r="R414" i="11" s="1"/>
  <c r="I414" i="11"/>
  <c r="K414" i="11" s="1"/>
  <c r="P413" i="11"/>
  <c r="R413" i="11" s="1"/>
  <c r="I413" i="11"/>
  <c r="K413" i="11" s="1"/>
  <c r="P412" i="11"/>
  <c r="R412" i="11" s="1"/>
  <c r="I412" i="11"/>
  <c r="K412" i="11" s="1"/>
  <c r="P411" i="11"/>
  <c r="R411" i="11" s="1"/>
  <c r="I411" i="11"/>
  <c r="K411" i="11" s="1"/>
  <c r="P410" i="11"/>
  <c r="R410" i="11" s="1"/>
  <c r="I410" i="11"/>
  <c r="K410" i="11" s="1"/>
  <c r="P409" i="11"/>
  <c r="R409" i="11" s="1"/>
  <c r="I409" i="11"/>
  <c r="K409" i="11" s="1"/>
  <c r="P408" i="11"/>
  <c r="R408" i="11" s="1"/>
  <c r="I408" i="11"/>
  <c r="K408" i="11" s="1"/>
  <c r="P407" i="11"/>
  <c r="R407" i="11" s="1"/>
  <c r="I407" i="11"/>
  <c r="K407" i="11" s="1"/>
  <c r="P406" i="11"/>
  <c r="R406" i="11" s="1"/>
  <c r="I406" i="11"/>
  <c r="K406" i="11" s="1"/>
  <c r="P405" i="11"/>
  <c r="R405" i="11" s="1"/>
  <c r="I405" i="11"/>
  <c r="K405" i="11" s="1"/>
  <c r="P404" i="11"/>
  <c r="R404" i="11" s="1"/>
  <c r="I404" i="11"/>
  <c r="K404" i="11" s="1"/>
  <c r="P403" i="11"/>
  <c r="R403" i="11" s="1"/>
  <c r="I403" i="11"/>
  <c r="K403" i="11" s="1"/>
  <c r="P402" i="11"/>
  <c r="R402" i="11" s="1"/>
  <c r="I402" i="11"/>
  <c r="K402" i="11" s="1"/>
  <c r="P401" i="11"/>
  <c r="R401" i="11" s="1"/>
  <c r="I401" i="11"/>
  <c r="K401" i="11" s="1"/>
  <c r="P400" i="11"/>
  <c r="R400" i="11" s="1"/>
  <c r="I400" i="11"/>
  <c r="K400" i="11" s="1"/>
  <c r="P399" i="11"/>
  <c r="R399" i="11" s="1"/>
  <c r="I399" i="11"/>
  <c r="K399" i="11" s="1"/>
  <c r="P398" i="11"/>
  <c r="R398" i="11" s="1"/>
  <c r="I398" i="11"/>
  <c r="K398" i="11" s="1"/>
  <c r="P397" i="11"/>
  <c r="R397" i="11" s="1"/>
  <c r="I397" i="11"/>
  <c r="K397" i="11" s="1"/>
  <c r="P396" i="11"/>
  <c r="R396" i="11" s="1"/>
  <c r="I396" i="11"/>
  <c r="K396" i="11" s="1"/>
  <c r="P395" i="11"/>
  <c r="R395" i="11" s="1"/>
  <c r="I395" i="11"/>
  <c r="K395" i="11" s="1"/>
  <c r="P394" i="11"/>
  <c r="R394" i="11" s="1"/>
  <c r="I394" i="11"/>
  <c r="P393" i="11"/>
  <c r="I393" i="11"/>
  <c r="K393" i="11" s="1"/>
  <c r="P392" i="11"/>
  <c r="R392" i="11" s="1"/>
  <c r="I392" i="11"/>
  <c r="K392" i="11" s="1"/>
  <c r="Q391" i="11"/>
  <c r="O391" i="11"/>
  <c r="N391" i="11"/>
  <c r="M391" i="11"/>
  <c r="L391" i="11"/>
  <c r="J391" i="11"/>
  <c r="H391" i="11"/>
  <c r="G391" i="11"/>
  <c r="F391" i="11"/>
  <c r="E391" i="11"/>
  <c r="P389" i="11"/>
  <c r="R389" i="11" s="1"/>
  <c r="I389" i="11"/>
  <c r="K389" i="11" s="1"/>
  <c r="P388" i="11"/>
  <c r="R388" i="11" s="1"/>
  <c r="I388" i="11"/>
  <c r="K388" i="11" s="1"/>
  <c r="P387" i="11"/>
  <c r="R387" i="11" s="1"/>
  <c r="I387" i="11"/>
  <c r="K387" i="11" s="1"/>
  <c r="P386" i="11"/>
  <c r="R386" i="11" s="1"/>
  <c r="I386" i="11"/>
  <c r="K386" i="11" s="1"/>
  <c r="P385" i="11"/>
  <c r="R385" i="11" s="1"/>
  <c r="I385" i="11"/>
  <c r="K385" i="11" s="1"/>
  <c r="P384" i="11"/>
  <c r="R384" i="11" s="1"/>
  <c r="I384" i="11"/>
  <c r="K384" i="11" s="1"/>
  <c r="P383" i="11"/>
  <c r="R383" i="11" s="1"/>
  <c r="I383" i="11"/>
  <c r="K383" i="11" s="1"/>
  <c r="P382" i="11"/>
  <c r="R382" i="11" s="1"/>
  <c r="I382" i="11"/>
  <c r="K382" i="11" s="1"/>
  <c r="P381" i="11"/>
  <c r="R381" i="11" s="1"/>
  <c r="I381" i="11"/>
  <c r="K381" i="11" s="1"/>
  <c r="P380" i="11"/>
  <c r="R380" i="11" s="1"/>
  <c r="I380" i="11"/>
  <c r="K380" i="11" s="1"/>
  <c r="P379" i="11"/>
  <c r="R379" i="11" s="1"/>
  <c r="I379" i="11"/>
  <c r="K379" i="11" s="1"/>
  <c r="P378" i="11"/>
  <c r="R378" i="11" s="1"/>
  <c r="I378" i="11"/>
  <c r="K378" i="11" s="1"/>
  <c r="P377" i="11"/>
  <c r="R377" i="11" s="1"/>
  <c r="I377" i="11"/>
  <c r="K377" i="11" s="1"/>
  <c r="P376" i="11"/>
  <c r="R376" i="11" s="1"/>
  <c r="I376" i="11"/>
  <c r="K376" i="11" s="1"/>
  <c r="P375" i="11"/>
  <c r="R375" i="11" s="1"/>
  <c r="I375" i="11"/>
  <c r="K375" i="11" s="1"/>
  <c r="P374" i="11"/>
  <c r="R374" i="11" s="1"/>
  <c r="I374" i="11"/>
  <c r="K374" i="11" s="1"/>
  <c r="P373" i="11"/>
  <c r="R373" i="11" s="1"/>
  <c r="I373" i="11"/>
  <c r="K373" i="11" s="1"/>
  <c r="P372" i="11"/>
  <c r="R372" i="11" s="1"/>
  <c r="I372" i="11"/>
  <c r="K372" i="11" s="1"/>
  <c r="P371" i="11"/>
  <c r="R371" i="11" s="1"/>
  <c r="I371" i="11"/>
  <c r="K371" i="11" s="1"/>
  <c r="P370" i="11"/>
  <c r="R370" i="11" s="1"/>
  <c r="I370" i="11"/>
  <c r="K370" i="11" s="1"/>
  <c r="Q369" i="11"/>
  <c r="O369" i="11"/>
  <c r="N369" i="11"/>
  <c r="M369" i="11"/>
  <c r="L369" i="11"/>
  <c r="J369" i="11"/>
  <c r="H369" i="11"/>
  <c r="G369" i="11"/>
  <c r="F369" i="11"/>
  <c r="E369" i="11"/>
  <c r="P368" i="11"/>
  <c r="R368" i="11" s="1"/>
  <c r="I368" i="11"/>
  <c r="K368" i="11" s="1"/>
  <c r="P367" i="11"/>
  <c r="R367" i="11" s="1"/>
  <c r="I367" i="11"/>
  <c r="K367" i="11" s="1"/>
  <c r="P366" i="11"/>
  <c r="R366" i="11" s="1"/>
  <c r="I366" i="11"/>
  <c r="K366" i="11" s="1"/>
  <c r="P365" i="11"/>
  <c r="R365" i="11" s="1"/>
  <c r="I365" i="11"/>
  <c r="K365" i="11" s="1"/>
  <c r="P364" i="11"/>
  <c r="R364" i="11" s="1"/>
  <c r="I364" i="11"/>
  <c r="K364" i="11" s="1"/>
  <c r="P363" i="11"/>
  <c r="R363" i="11" s="1"/>
  <c r="I363" i="11"/>
  <c r="K363" i="11" s="1"/>
  <c r="P362" i="11"/>
  <c r="R362" i="11" s="1"/>
  <c r="I362" i="11"/>
  <c r="K362" i="11" s="1"/>
  <c r="P361" i="11"/>
  <c r="R361" i="11" s="1"/>
  <c r="I361" i="11"/>
  <c r="K361" i="11" s="1"/>
  <c r="P360" i="11"/>
  <c r="R360" i="11" s="1"/>
  <c r="I360" i="11"/>
  <c r="K360" i="11" s="1"/>
  <c r="P359" i="11"/>
  <c r="R359" i="11" s="1"/>
  <c r="I359" i="11"/>
  <c r="K359" i="11" s="1"/>
  <c r="P358" i="11"/>
  <c r="R358" i="11" s="1"/>
  <c r="I358" i="11"/>
  <c r="K358" i="11" s="1"/>
  <c r="P357" i="11"/>
  <c r="R357" i="11" s="1"/>
  <c r="I357" i="11"/>
  <c r="K357" i="11" s="1"/>
  <c r="P356" i="11"/>
  <c r="R356" i="11" s="1"/>
  <c r="I356" i="11"/>
  <c r="K356" i="11" s="1"/>
  <c r="P355" i="11"/>
  <c r="R355" i="11" s="1"/>
  <c r="I355" i="11"/>
  <c r="K355" i="11" s="1"/>
  <c r="P354" i="11"/>
  <c r="R354" i="11" s="1"/>
  <c r="I354" i="11"/>
  <c r="K354" i="11" s="1"/>
  <c r="P353" i="11"/>
  <c r="R353" i="11" s="1"/>
  <c r="I353" i="11"/>
  <c r="K353" i="11" s="1"/>
  <c r="P352" i="11"/>
  <c r="R352" i="11" s="1"/>
  <c r="I352" i="11"/>
  <c r="K352" i="11" s="1"/>
  <c r="P351" i="11"/>
  <c r="R351" i="11" s="1"/>
  <c r="I351" i="11"/>
  <c r="K351" i="11" s="1"/>
  <c r="P350" i="11"/>
  <c r="R350" i="11" s="1"/>
  <c r="I350" i="11"/>
  <c r="K350" i="11" s="1"/>
  <c r="P349" i="11"/>
  <c r="R349" i="11" s="1"/>
  <c r="I349" i="11"/>
  <c r="K349" i="11" s="1"/>
  <c r="Q348" i="11"/>
  <c r="O348" i="11"/>
  <c r="N348" i="11"/>
  <c r="M348" i="11"/>
  <c r="L348" i="11"/>
  <c r="J348" i="11"/>
  <c r="H348" i="11"/>
  <c r="G348" i="11"/>
  <c r="F348" i="11"/>
  <c r="E348" i="11"/>
  <c r="P347" i="11"/>
  <c r="R347" i="11" s="1"/>
  <c r="I347" i="11"/>
  <c r="K347" i="11" s="1"/>
  <c r="P346" i="11"/>
  <c r="R346" i="11" s="1"/>
  <c r="I346" i="11"/>
  <c r="K346" i="11" s="1"/>
  <c r="P345" i="11"/>
  <c r="R345" i="11" s="1"/>
  <c r="I345" i="11"/>
  <c r="K345" i="11" s="1"/>
  <c r="P344" i="11"/>
  <c r="R344" i="11" s="1"/>
  <c r="I344" i="11"/>
  <c r="K344" i="11" s="1"/>
  <c r="P343" i="11"/>
  <c r="R343" i="11" s="1"/>
  <c r="I343" i="11"/>
  <c r="K343" i="11" s="1"/>
  <c r="P342" i="11"/>
  <c r="R342" i="11" s="1"/>
  <c r="I342" i="11"/>
  <c r="K342" i="11" s="1"/>
  <c r="P341" i="11"/>
  <c r="R341" i="11" s="1"/>
  <c r="I341" i="11"/>
  <c r="K341" i="11" s="1"/>
  <c r="P340" i="11"/>
  <c r="R340" i="11" s="1"/>
  <c r="I340" i="11"/>
  <c r="K340" i="11" s="1"/>
  <c r="P339" i="11"/>
  <c r="R339" i="11" s="1"/>
  <c r="I339" i="11"/>
  <c r="K339" i="11" s="1"/>
  <c r="P338" i="11"/>
  <c r="R338" i="11" s="1"/>
  <c r="I338" i="11"/>
  <c r="K338" i="11" s="1"/>
  <c r="P337" i="11"/>
  <c r="R337" i="11" s="1"/>
  <c r="I337" i="11"/>
  <c r="K337" i="11" s="1"/>
  <c r="P336" i="11"/>
  <c r="R336" i="11" s="1"/>
  <c r="I336" i="11"/>
  <c r="K336" i="11" s="1"/>
  <c r="P335" i="11"/>
  <c r="R335" i="11" s="1"/>
  <c r="I335" i="11"/>
  <c r="K335" i="11" s="1"/>
  <c r="P334" i="11"/>
  <c r="R334" i="11" s="1"/>
  <c r="I334" i="11"/>
  <c r="K334" i="11" s="1"/>
  <c r="P333" i="11"/>
  <c r="R333" i="11" s="1"/>
  <c r="I333" i="11"/>
  <c r="K333" i="11" s="1"/>
  <c r="P332" i="11"/>
  <c r="R332" i="11" s="1"/>
  <c r="I332" i="11"/>
  <c r="K332" i="11" s="1"/>
  <c r="P331" i="11"/>
  <c r="R331" i="11" s="1"/>
  <c r="I331" i="11"/>
  <c r="K331" i="11" s="1"/>
  <c r="P330" i="11"/>
  <c r="R330" i="11" s="1"/>
  <c r="I330" i="11"/>
  <c r="K330" i="11" s="1"/>
  <c r="P329" i="11"/>
  <c r="R329" i="11" s="1"/>
  <c r="I329" i="11"/>
  <c r="K329" i="11" s="1"/>
  <c r="P328" i="11"/>
  <c r="R328" i="11" s="1"/>
  <c r="I328" i="11"/>
  <c r="K328" i="11" s="1"/>
  <c r="Q327" i="11"/>
  <c r="O327" i="11"/>
  <c r="N327" i="11"/>
  <c r="M327" i="11"/>
  <c r="L327" i="11"/>
  <c r="J327" i="11"/>
  <c r="H327" i="11"/>
  <c r="G327" i="11"/>
  <c r="F327" i="11"/>
  <c r="E327" i="11"/>
  <c r="P326" i="11"/>
  <c r="R326" i="11" s="1"/>
  <c r="I326" i="11"/>
  <c r="K326" i="11" s="1"/>
  <c r="P325" i="11"/>
  <c r="R325" i="11" s="1"/>
  <c r="I325" i="11"/>
  <c r="K325" i="11" s="1"/>
  <c r="P324" i="11"/>
  <c r="R324" i="11" s="1"/>
  <c r="I324" i="11"/>
  <c r="K324" i="11" s="1"/>
  <c r="P323" i="11"/>
  <c r="R323" i="11" s="1"/>
  <c r="I323" i="11"/>
  <c r="K323" i="11" s="1"/>
  <c r="P322" i="11"/>
  <c r="R322" i="11" s="1"/>
  <c r="I322" i="11"/>
  <c r="K322" i="11" s="1"/>
  <c r="P321" i="11"/>
  <c r="R321" i="11" s="1"/>
  <c r="I321" i="11"/>
  <c r="K321" i="11" s="1"/>
  <c r="P320" i="11"/>
  <c r="R320" i="11" s="1"/>
  <c r="I320" i="11"/>
  <c r="K320" i="11" s="1"/>
  <c r="P319" i="11"/>
  <c r="R319" i="11" s="1"/>
  <c r="I319" i="11"/>
  <c r="K319" i="11" s="1"/>
  <c r="P318" i="11"/>
  <c r="R318" i="11" s="1"/>
  <c r="I318" i="11"/>
  <c r="K318" i="11" s="1"/>
  <c r="P317" i="11"/>
  <c r="R317" i="11" s="1"/>
  <c r="I317" i="11"/>
  <c r="K317" i="11" s="1"/>
  <c r="P316" i="11"/>
  <c r="R316" i="11" s="1"/>
  <c r="I316" i="11"/>
  <c r="K316" i="11" s="1"/>
  <c r="P315" i="11"/>
  <c r="R315" i="11" s="1"/>
  <c r="I315" i="11"/>
  <c r="K315" i="11" s="1"/>
  <c r="P314" i="11"/>
  <c r="R314" i="11" s="1"/>
  <c r="I314" i="11"/>
  <c r="K314" i="11" s="1"/>
  <c r="P313" i="11"/>
  <c r="R313" i="11" s="1"/>
  <c r="I313" i="11"/>
  <c r="K313" i="11" s="1"/>
  <c r="P312" i="11"/>
  <c r="R312" i="11" s="1"/>
  <c r="I312" i="11"/>
  <c r="K312" i="11" s="1"/>
  <c r="P311" i="11"/>
  <c r="R311" i="11" s="1"/>
  <c r="I311" i="11"/>
  <c r="K311" i="11" s="1"/>
  <c r="P310" i="11"/>
  <c r="R310" i="11" s="1"/>
  <c r="I310" i="11"/>
  <c r="K310" i="11" s="1"/>
  <c r="P309" i="11"/>
  <c r="R309" i="11" s="1"/>
  <c r="I309" i="11"/>
  <c r="K309" i="11" s="1"/>
  <c r="P308" i="11"/>
  <c r="R308" i="11" s="1"/>
  <c r="I308" i="11"/>
  <c r="K308" i="11" s="1"/>
  <c r="P307" i="11"/>
  <c r="R307" i="11" s="1"/>
  <c r="I307" i="11"/>
  <c r="K307" i="11" s="1"/>
  <c r="Q306" i="11"/>
  <c r="O306" i="11"/>
  <c r="N306" i="11"/>
  <c r="M306" i="11"/>
  <c r="L306" i="11"/>
  <c r="J306" i="11"/>
  <c r="H306" i="11"/>
  <c r="G306" i="11"/>
  <c r="F306" i="11"/>
  <c r="E306" i="11"/>
  <c r="P305" i="11"/>
  <c r="R305" i="11" s="1"/>
  <c r="I305" i="11"/>
  <c r="K305" i="11" s="1"/>
  <c r="P304" i="11"/>
  <c r="R304" i="11" s="1"/>
  <c r="I304" i="11"/>
  <c r="K304" i="11" s="1"/>
  <c r="P303" i="11"/>
  <c r="R303" i="11" s="1"/>
  <c r="I303" i="11"/>
  <c r="K303" i="11" s="1"/>
  <c r="P302" i="11"/>
  <c r="R302" i="11" s="1"/>
  <c r="I302" i="11"/>
  <c r="K302" i="11" s="1"/>
  <c r="P301" i="11"/>
  <c r="R301" i="11" s="1"/>
  <c r="I301" i="11"/>
  <c r="K301" i="11" s="1"/>
  <c r="P300" i="11"/>
  <c r="R300" i="11" s="1"/>
  <c r="I300" i="11"/>
  <c r="K300" i="11" s="1"/>
  <c r="P299" i="11"/>
  <c r="R299" i="11" s="1"/>
  <c r="I299" i="11"/>
  <c r="K299" i="11" s="1"/>
  <c r="P298" i="11"/>
  <c r="R298" i="11" s="1"/>
  <c r="I298" i="11"/>
  <c r="K298" i="11" s="1"/>
  <c r="P297" i="11"/>
  <c r="R297" i="11" s="1"/>
  <c r="I297" i="11"/>
  <c r="K297" i="11" s="1"/>
  <c r="P296" i="11"/>
  <c r="R296" i="11" s="1"/>
  <c r="I296" i="11"/>
  <c r="K296" i="11" s="1"/>
  <c r="P295" i="11"/>
  <c r="R295" i="11" s="1"/>
  <c r="I295" i="11"/>
  <c r="K295" i="11" s="1"/>
  <c r="P294" i="11"/>
  <c r="R294" i="11" s="1"/>
  <c r="I294" i="11"/>
  <c r="K294" i="11" s="1"/>
  <c r="P293" i="11"/>
  <c r="R293" i="11" s="1"/>
  <c r="I293" i="11"/>
  <c r="K293" i="11" s="1"/>
  <c r="P292" i="11"/>
  <c r="R292" i="11" s="1"/>
  <c r="I292" i="11"/>
  <c r="K292" i="11" s="1"/>
  <c r="P291" i="11"/>
  <c r="R291" i="11" s="1"/>
  <c r="I291" i="11"/>
  <c r="K291" i="11" s="1"/>
  <c r="P290" i="11"/>
  <c r="R290" i="11" s="1"/>
  <c r="I290" i="11"/>
  <c r="K290" i="11" s="1"/>
  <c r="P289" i="11"/>
  <c r="R289" i="11" s="1"/>
  <c r="I289" i="11"/>
  <c r="K289" i="11" s="1"/>
  <c r="P288" i="11"/>
  <c r="R288" i="11" s="1"/>
  <c r="I288" i="11"/>
  <c r="K288" i="11" s="1"/>
  <c r="P287" i="11"/>
  <c r="R287" i="11" s="1"/>
  <c r="I287" i="11"/>
  <c r="K287" i="11" s="1"/>
  <c r="P286" i="11"/>
  <c r="R286" i="11" s="1"/>
  <c r="I286" i="11"/>
  <c r="K286" i="11" s="1"/>
  <c r="Q285" i="11"/>
  <c r="O285" i="11"/>
  <c r="N285" i="11"/>
  <c r="M285" i="11"/>
  <c r="L285" i="11"/>
  <c r="J285" i="11"/>
  <c r="H285" i="11"/>
  <c r="G285" i="11"/>
  <c r="F285" i="11"/>
  <c r="E285" i="11"/>
  <c r="P284" i="11"/>
  <c r="R284" i="11" s="1"/>
  <c r="I284" i="11"/>
  <c r="K284" i="11" s="1"/>
  <c r="P283" i="11"/>
  <c r="R283" i="11" s="1"/>
  <c r="I283" i="11"/>
  <c r="K283" i="11" s="1"/>
  <c r="P282" i="11"/>
  <c r="R282" i="11" s="1"/>
  <c r="I282" i="11"/>
  <c r="K282" i="11" s="1"/>
  <c r="P281" i="11"/>
  <c r="R281" i="11" s="1"/>
  <c r="I281" i="11"/>
  <c r="K281" i="11" s="1"/>
  <c r="P280" i="11"/>
  <c r="R280" i="11" s="1"/>
  <c r="I280" i="11"/>
  <c r="K280" i="11" s="1"/>
  <c r="P279" i="11"/>
  <c r="R279" i="11" s="1"/>
  <c r="I279" i="11"/>
  <c r="K279" i="11" s="1"/>
  <c r="P278" i="11"/>
  <c r="R278" i="11" s="1"/>
  <c r="I278" i="11"/>
  <c r="K278" i="11" s="1"/>
  <c r="P277" i="11"/>
  <c r="R277" i="11" s="1"/>
  <c r="I277" i="11"/>
  <c r="K277" i="11" s="1"/>
  <c r="P276" i="11"/>
  <c r="R276" i="11" s="1"/>
  <c r="I276" i="11"/>
  <c r="K276" i="11" s="1"/>
  <c r="P275" i="11"/>
  <c r="R275" i="11" s="1"/>
  <c r="I275" i="11"/>
  <c r="K275" i="11" s="1"/>
  <c r="P274" i="11"/>
  <c r="R274" i="11" s="1"/>
  <c r="I274" i="11"/>
  <c r="K274" i="11" s="1"/>
  <c r="P273" i="11"/>
  <c r="R273" i="11" s="1"/>
  <c r="I273" i="11"/>
  <c r="K273" i="11" s="1"/>
  <c r="P272" i="11"/>
  <c r="R272" i="11" s="1"/>
  <c r="I272" i="11"/>
  <c r="K272" i="11" s="1"/>
  <c r="P271" i="11"/>
  <c r="R271" i="11" s="1"/>
  <c r="I271" i="11"/>
  <c r="K271" i="11" s="1"/>
  <c r="P270" i="11"/>
  <c r="R270" i="11" s="1"/>
  <c r="I270" i="11"/>
  <c r="K270" i="11" s="1"/>
  <c r="P269" i="11"/>
  <c r="R269" i="11" s="1"/>
  <c r="I269" i="11"/>
  <c r="K269" i="11" s="1"/>
  <c r="P268" i="11"/>
  <c r="R268" i="11" s="1"/>
  <c r="I268" i="11"/>
  <c r="K268" i="11" s="1"/>
  <c r="P267" i="11"/>
  <c r="R267" i="11" s="1"/>
  <c r="I267" i="11"/>
  <c r="K267" i="11" s="1"/>
  <c r="P266" i="11"/>
  <c r="R266" i="11" s="1"/>
  <c r="I266" i="11"/>
  <c r="K266" i="11" s="1"/>
  <c r="P265" i="11"/>
  <c r="R265" i="11" s="1"/>
  <c r="I265" i="11"/>
  <c r="K265" i="11" s="1"/>
  <c r="Q264" i="11"/>
  <c r="O264" i="11"/>
  <c r="N264" i="11"/>
  <c r="M264" i="11"/>
  <c r="L264" i="11"/>
  <c r="J264" i="11"/>
  <c r="H264" i="11"/>
  <c r="G264" i="11"/>
  <c r="F264" i="11"/>
  <c r="E264" i="11"/>
  <c r="P262" i="11"/>
  <c r="R262" i="11" s="1"/>
  <c r="I262" i="11"/>
  <c r="K262" i="11" s="1"/>
  <c r="P261" i="11"/>
  <c r="R261" i="11" s="1"/>
  <c r="I261" i="11"/>
  <c r="K261" i="11" s="1"/>
  <c r="P260" i="11"/>
  <c r="R260" i="11" s="1"/>
  <c r="I260" i="11"/>
  <c r="K260" i="11" s="1"/>
  <c r="P259" i="11"/>
  <c r="R259" i="11" s="1"/>
  <c r="I259" i="11"/>
  <c r="K259" i="11" s="1"/>
  <c r="P258" i="11"/>
  <c r="R258" i="11" s="1"/>
  <c r="I258" i="11"/>
  <c r="K258" i="11" s="1"/>
  <c r="P257" i="11"/>
  <c r="R257" i="11" s="1"/>
  <c r="I257" i="11"/>
  <c r="K257" i="11" s="1"/>
  <c r="P256" i="11"/>
  <c r="R256" i="11" s="1"/>
  <c r="I256" i="11"/>
  <c r="K256" i="11" s="1"/>
  <c r="P255" i="11"/>
  <c r="R255" i="11" s="1"/>
  <c r="I255" i="11"/>
  <c r="K255" i="11" s="1"/>
  <c r="P254" i="11"/>
  <c r="R254" i="11" s="1"/>
  <c r="I254" i="11"/>
  <c r="K254" i="11" s="1"/>
  <c r="P253" i="11"/>
  <c r="R253" i="11" s="1"/>
  <c r="I253" i="11"/>
  <c r="K253" i="11" s="1"/>
  <c r="P252" i="11"/>
  <c r="R252" i="11" s="1"/>
  <c r="I252" i="11"/>
  <c r="K252" i="11" s="1"/>
  <c r="P251" i="11"/>
  <c r="R251" i="11" s="1"/>
  <c r="I251" i="11"/>
  <c r="K251" i="11" s="1"/>
  <c r="P250" i="11"/>
  <c r="R250" i="11" s="1"/>
  <c r="I250" i="11"/>
  <c r="K250" i="11" s="1"/>
  <c r="P249" i="11"/>
  <c r="R249" i="11" s="1"/>
  <c r="I249" i="11"/>
  <c r="K249" i="11" s="1"/>
  <c r="P248" i="11"/>
  <c r="R248" i="11" s="1"/>
  <c r="I248" i="11"/>
  <c r="K248" i="11" s="1"/>
  <c r="P247" i="11"/>
  <c r="R247" i="11" s="1"/>
  <c r="I247" i="11"/>
  <c r="K247" i="11" s="1"/>
  <c r="P246" i="11"/>
  <c r="R246" i="11" s="1"/>
  <c r="I246" i="11"/>
  <c r="K246" i="11" s="1"/>
  <c r="P245" i="11"/>
  <c r="R245" i="11" s="1"/>
  <c r="I245" i="11"/>
  <c r="K245" i="11" s="1"/>
  <c r="P244" i="11"/>
  <c r="R244" i="11" s="1"/>
  <c r="I244" i="11"/>
  <c r="K244" i="11" s="1"/>
  <c r="P243" i="11"/>
  <c r="R243" i="11" s="1"/>
  <c r="I243" i="11"/>
  <c r="K243" i="11" s="1"/>
  <c r="Q242" i="11"/>
  <c r="O242" i="11"/>
  <c r="N242" i="11"/>
  <c r="M242" i="11"/>
  <c r="L242" i="11"/>
  <c r="J242" i="11"/>
  <c r="H242" i="11"/>
  <c r="G242" i="11"/>
  <c r="F242" i="11"/>
  <c r="E242" i="11"/>
  <c r="P241" i="11"/>
  <c r="R241" i="11" s="1"/>
  <c r="I241" i="11"/>
  <c r="K241" i="11" s="1"/>
  <c r="P240" i="11"/>
  <c r="R240" i="11" s="1"/>
  <c r="I240" i="11"/>
  <c r="K240" i="11" s="1"/>
  <c r="P239" i="11"/>
  <c r="R239" i="11" s="1"/>
  <c r="I239" i="11"/>
  <c r="K239" i="11" s="1"/>
  <c r="P238" i="11"/>
  <c r="R238" i="11" s="1"/>
  <c r="I238" i="11"/>
  <c r="K238" i="11" s="1"/>
  <c r="P237" i="11"/>
  <c r="R237" i="11" s="1"/>
  <c r="I237" i="11"/>
  <c r="K237" i="11" s="1"/>
  <c r="P236" i="11"/>
  <c r="R236" i="11" s="1"/>
  <c r="I236" i="11"/>
  <c r="K236" i="11" s="1"/>
  <c r="P235" i="11"/>
  <c r="R235" i="11" s="1"/>
  <c r="I235" i="11"/>
  <c r="K235" i="11" s="1"/>
  <c r="P234" i="11"/>
  <c r="R234" i="11" s="1"/>
  <c r="I234" i="11"/>
  <c r="K234" i="11" s="1"/>
  <c r="P233" i="11"/>
  <c r="R233" i="11" s="1"/>
  <c r="I233" i="11"/>
  <c r="K233" i="11" s="1"/>
  <c r="P232" i="11"/>
  <c r="R232" i="11" s="1"/>
  <c r="I232" i="11"/>
  <c r="K232" i="11" s="1"/>
  <c r="P231" i="11"/>
  <c r="R231" i="11" s="1"/>
  <c r="I231" i="11"/>
  <c r="K231" i="11" s="1"/>
  <c r="P230" i="11"/>
  <c r="R230" i="11" s="1"/>
  <c r="I230" i="11"/>
  <c r="K230" i="11" s="1"/>
  <c r="P229" i="11"/>
  <c r="R229" i="11" s="1"/>
  <c r="I229" i="11"/>
  <c r="K229" i="11" s="1"/>
  <c r="P228" i="11"/>
  <c r="R228" i="11" s="1"/>
  <c r="I228" i="11"/>
  <c r="K228" i="11" s="1"/>
  <c r="P227" i="11"/>
  <c r="R227" i="11" s="1"/>
  <c r="I227" i="11"/>
  <c r="K227" i="11" s="1"/>
  <c r="P226" i="11"/>
  <c r="R226" i="11" s="1"/>
  <c r="I226" i="11"/>
  <c r="K226" i="11" s="1"/>
  <c r="P225" i="11"/>
  <c r="R225" i="11" s="1"/>
  <c r="I225" i="11"/>
  <c r="K225" i="11" s="1"/>
  <c r="P224" i="11"/>
  <c r="R224" i="11" s="1"/>
  <c r="I224" i="11"/>
  <c r="K224" i="11" s="1"/>
  <c r="P223" i="11"/>
  <c r="R223" i="11" s="1"/>
  <c r="I223" i="11"/>
  <c r="K223" i="11" s="1"/>
  <c r="P222" i="11"/>
  <c r="R222" i="11" s="1"/>
  <c r="I222" i="11"/>
  <c r="K222" i="11" s="1"/>
  <c r="Q221" i="11"/>
  <c r="O221" i="11"/>
  <c r="N221" i="11"/>
  <c r="M221" i="11"/>
  <c r="L221" i="11"/>
  <c r="J221" i="11"/>
  <c r="H221" i="11"/>
  <c r="G221" i="11"/>
  <c r="F221" i="11"/>
  <c r="E221" i="11"/>
  <c r="P220" i="11"/>
  <c r="R220" i="11" s="1"/>
  <c r="I220" i="11"/>
  <c r="K220" i="11" s="1"/>
  <c r="P219" i="11"/>
  <c r="R219" i="11" s="1"/>
  <c r="I219" i="11"/>
  <c r="K219" i="11" s="1"/>
  <c r="P218" i="11"/>
  <c r="R218" i="11" s="1"/>
  <c r="I218" i="11"/>
  <c r="K218" i="11" s="1"/>
  <c r="P217" i="11"/>
  <c r="R217" i="11" s="1"/>
  <c r="I217" i="11"/>
  <c r="K217" i="11" s="1"/>
  <c r="P216" i="11"/>
  <c r="R216" i="11" s="1"/>
  <c r="I216" i="11"/>
  <c r="K216" i="11" s="1"/>
  <c r="P215" i="11"/>
  <c r="R215" i="11" s="1"/>
  <c r="I215" i="11"/>
  <c r="K215" i="11" s="1"/>
  <c r="P214" i="11"/>
  <c r="R214" i="11" s="1"/>
  <c r="I214" i="11"/>
  <c r="K214" i="11" s="1"/>
  <c r="P213" i="11"/>
  <c r="R213" i="11" s="1"/>
  <c r="I213" i="11"/>
  <c r="K213" i="11" s="1"/>
  <c r="P212" i="11"/>
  <c r="R212" i="11" s="1"/>
  <c r="I212" i="11"/>
  <c r="K212" i="11" s="1"/>
  <c r="P211" i="11"/>
  <c r="R211" i="11" s="1"/>
  <c r="I211" i="11"/>
  <c r="K211" i="11" s="1"/>
  <c r="P210" i="11"/>
  <c r="R210" i="11" s="1"/>
  <c r="I210" i="11"/>
  <c r="K210" i="11" s="1"/>
  <c r="P209" i="11"/>
  <c r="R209" i="11" s="1"/>
  <c r="I209" i="11"/>
  <c r="K209" i="11" s="1"/>
  <c r="P208" i="11"/>
  <c r="R208" i="11" s="1"/>
  <c r="I208" i="11"/>
  <c r="K208" i="11" s="1"/>
  <c r="P207" i="11"/>
  <c r="R207" i="11" s="1"/>
  <c r="I207" i="11"/>
  <c r="K207" i="11" s="1"/>
  <c r="P206" i="11"/>
  <c r="R206" i="11" s="1"/>
  <c r="I206" i="11"/>
  <c r="K206" i="11" s="1"/>
  <c r="P205" i="11"/>
  <c r="R205" i="11" s="1"/>
  <c r="I205" i="11"/>
  <c r="K205" i="11" s="1"/>
  <c r="P204" i="11"/>
  <c r="R204" i="11" s="1"/>
  <c r="I204" i="11"/>
  <c r="K204" i="11" s="1"/>
  <c r="P203" i="11"/>
  <c r="R203" i="11" s="1"/>
  <c r="I203" i="11"/>
  <c r="K203" i="11" s="1"/>
  <c r="P202" i="11"/>
  <c r="R202" i="11" s="1"/>
  <c r="I202" i="11"/>
  <c r="K202" i="11" s="1"/>
  <c r="P201" i="11"/>
  <c r="R201" i="11" s="1"/>
  <c r="I201" i="11"/>
  <c r="K201" i="11" s="1"/>
  <c r="Q200" i="11"/>
  <c r="O200" i="11"/>
  <c r="N200" i="11"/>
  <c r="M200" i="11"/>
  <c r="L200" i="11"/>
  <c r="J200" i="11"/>
  <c r="H200" i="11"/>
  <c r="G200" i="11"/>
  <c r="F200" i="11"/>
  <c r="E200" i="11"/>
  <c r="P199" i="11"/>
  <c r="R199" i="11" s="1"/>
  <c r="I199" i="11"/>
  <c r="K199" i="11" s="1"/>
  <c r="P198" i="11"/>
  <c r="R198" i="11" s="1"/>
  <c r="I198" i="11"/>
  <c r="K198" i="11" s="1"/>
  <c r="P197" i="11"/>
  <c r="R197" i="11" s="1"/>
  <c r="I197" i="11"/>
  <c r="K197" i="11" s="1"/>
  <c r="P196" i="11"/>
  <c r="R196" i="11" s="1"/>
  <c r="I196" i="11"/>
  <c r="K196" i="11" s="1"/>
  <c r="P195" i="11"/>
  <c r="R195" i="11" s="1"/>
  <c r="I195" i="11"/>
  <c r="K195" i="11" s="1"/>
  <c r="P194" i="11"/>
  <c r="R194" i="11" s="1"/>
  <c r="I194" i="11"/>
  <c r="K194" i="11" s="1"/>
  <c r="P193" i="11"/>
  <c r="R193" i="11" s="1"/>
  <c r="I193" i="11"/>
  <c r="K193" i="11" s="1"/>
  <c r="P192" i="11"/>
  <c r="R192" i="11" s="1"/>
  <c r="I192" i="11"/>
  <c r="K192" i="11" s="1"/>
  <c r="P191" i="11"/>
  <c r="R191" i="11" s="1"/>
  <c r="I191" i="11"/>
  <c r="K191" i="11" s="1"/>
  <c r="P190" i="11"/>
  <c r="R190" i="11" s="1"/>
  <c r="I190" i="11"/>
  <c r="K190" i="11" s="1"/>
  <c r="P189" i="11"/>
  <c r="R189" i="11" s="1"/>
  <c r="I189" i="11"/>
  <c r="K189" i="11" s="1"/>
  <c r="P188" i="11"/>
  <c r="R188" i="11" s="1"/>
  <c r="I188" i="11"/>
  <c r="K188" i="11" s="1"/>
  <c r="P187" i="11"/>
  <c r="R187" i="11" s="1"/>
  <c r="I187" i="11"/>
  <c r="K187" i="11" s="1"/>
  <c r="P186" i="11"/>
  <c r="R186" i="11" s="1"/>
  <c r="I186" i="11"/>
  <c r="K186" i="11" s="1"/>
  <c r="P185" i="11"/>
  <c r="R185" i="11" s="1"/>
  <c r="I185" i="11"/>
  <c r="K185" i="11" s="1"/>
  <c r="P184" i="11"/>
  <c r="R184" i="11" s="1"/>
  <c r="I184" i="11"/>
  <c r="K184" i="11" s="1"/>
  <c r="P183" i="11"/>
  <c r="R183" i="11" s="1"/>
  <c r="I183" i="11"/>
  <c r="K183" i="11" s="1"/>
  <c r="P182" i="11"/>
  <c r="R182" i="11" s="1"/>
  <c r="I182" i="11"/>
  <c r="K182" i="11" s="1"/>
  <c r="P181" i="11"/>
  <c r="R181" i="11" s="1"/>
  <c r="I181" i="11"/>
  <c r="K181" i="11" s="1"/>
  <c r="P180" i="11"/>
  <c r="R180" i="11" s="1"/>
  <c r="I180" i="11"/>
  <c r="K180" i="11" s="1"/>
  <c r="Q179" i="11"/>
  <c r="O179" i="11"/>
  <c r="N179" i="11"/>
  <c r="M179" i="11"/>
  <c r="L179" i="11"/>
  <c r="J179" i="11"/>
  <c r="H179" i="11"/>
  <c r="G179" i="11"/>
  <c r="F179" i="11"/>
  <c r="E179" i="11"/>
  <c r="P178" i="11"/>
  <c r="R178" i="11" s="1"/>
  <c r="I178" i="11"/>
  <c r="K178" i="11" s="1"/>
  <c r="P177" i="11"/>
  <c r="R177" i="11" s="1"/>
  <c r="I177" i="11"/>
  <c r="K177" i="11" s="1"/>
  <c r="P176" i="11"/>
  <c r="R176" i="11" s="1"/>
  <c r="I176" i="11"/>
  <c r="K176" i="11" s="1"/>
  <c r="P175" i="11"/>
  <c r="R175" i="11" s="1"/>
  <c r="I175" i="11"/>
  <c r="K175" i="11" s="1"/>
  <c r="P174" i="11"/>
  <c r="R174" i="11" s="1"/>
  <c r="I174" i="11"/>
  <c r="K174" i="11" s="1"/>
  <c r="P173" i="11"/>
  <c r="R173" i="11" s="1"/>
  <c r="I173" i="11"/>
  <c r="K173" i="11" s="1"/>
  <c r="P172" i="11"/>
  <c r="R172" i="11" s="1"/>
  <c r="I172" i="11"/>
  <c r="K172" i="11" s="1"/>
  <c r="P171" i="11"/>
  <c r="R171" i="11" s="1"/>
  <c r="I171" i="11"/>
  <c r="K171" i="11" s="1"/>
  <c r="P170" i="11"/>
  <c r="R170" i="11" s="1"/>
  <c r="I170" i="11"/>
  <c r="K170" i="11" s="1"/>
  <c r="P169" i="11"/>
  <c r="R169" i="11" s="1"/>
  <c r="I169" i="11"/>
  <c r="K169" i="11" s="1"/>
  <c r="P168" i="11"/>
  <c r="R168" i="11" s="1"/>
  <c r="I168" i="11"/>
  <c r="K168" i="11" s="1"/>
  <c r="P167" i="11"/>
  <c r="R167" i="11" s="1"/>
  <c r="I167" i="11"/>
  <c r="K167" i="11" s="1"/>
  <c r="P166" i="11"/>
  <c r="R166" i="11" s="1"/>
  <c r="I166" i="11"/>
  <c r="K166" i="11" s="1"/>
  <c r="P165" i="11"/>
  <c r="R165" i="11" s="1"/>
  <c r="I165" i="11"/>
  <c r="K165" i="11" s="1"/>
  <c r="P164" i="11"/>
  <c r="R164" i="11" s="1"/>
  <c r="I164" i="11"/>
  <c r="K164" i="11" s="1"/>
  <c r="P163" i="11"/>
  <c r="R163" i="11" s="1"/>
  <c r="I163" i="11"/>
  <c r="K163" i="11" s="1"/>
  <c r="P162" i="11"/>
  <c r="R162" i="11" s="1"/>
  <c r="I162" i="11"/>
  <c r="K162" i="11" s="1"/>
  <c r="P161" i="11"/>
  <c r="R161" i="11" s="1"/>
  <c r="I161" i="11"/>
  <c r="K161" i="11" s="1"/>
  <c r="P160" i="11"/>
  <c r="R160" i="11" s="1"/>
  <c r="I160" i="11"/>
  <c r="K160" i="11" s="1"/>
  <c r="P159" i="11"/>
  <c r="R159" i="11" s="1"/>
  <c r="I159" i="11"/>
  <c r="K159" i="11" s="1"/>
  <c r="Q158" i="11"/>
  <c r="O158" i="11"/>
  <c r="N158" i="11"/>
  <c r="M158" i="11"/>
  <c r="L158" i="11"/>
  <c r="J158" i="11"/>
  <c r="H158" i="11"/>
  <c r="G158" i="11"/>
  <c r="F158" i="11"/>
  <c r="E158" i="11"/>
  <c r="P157" i="11"/>
  <c r="R157" i="11" s="1"/>
  <c r="I157" i="11"/>
  <c r="K157" i="11" s="1"/>
  <c r="P156" i="11"/>
  <c r="R156" i="11" s="1"/>
  <c r="I156" i="11"/>
  <c r="K156" i="11" s="1"/>
  <c r="P155" i="11"/>
  <c r="R155" i="11" s="1"/>
  <c r="I155" i="11"/>
  <c r="K155" i="11" s="1"/>
  <c r="P154" i="11"/>
  <c r="R154" i="11" s="1"/>
  <c r="I154" i="11"/>
  <c r="K154" i="11" s="1"/>
  <c r="P153" i="11"/>
  <c r="R153" i="11" s="1"/>
  <c r="I153" i="11"/>
  <c r="K153" i="11" s="1"/>
  <c r="P152" i="11"/>
  <c r="R152" i="11" s="1"/>
  <c r="I152" i="11"/>
  <c r="K152" i="11" s="1"/>
  <c r="P151" i="11"/>
  <c r="R151" i="11" s="1"/>
  <c r="I151" i="11"/>
  <c r="K151" i="11" s="1"/>
  <c r="P150" i="11"/>
  <c r="R150" i="11" s="1"/>
  <c r="I150" i="11"/>
  <c r="K150" i="11" s="1"/>
  <c r="P149" i="11"/>
  <c r="R149" i="11" s="1"/>
  <c r="I149" i="11"/>
  <c r="K149" i="11" s="1"/>
  <c r="P148" i="11"/>
  <c r="R148" i="11" s="1"/>
  <c r="I148" i="11"/>
  <c r="K148" i="11" s="1"/>
  <c r="P147" i="11"/>
  <c r="R147" i="11" s="1"/>
  <c r="I147" i="11"/>
  <c r="K147" i="11" s="1"/>
  <c r="P146" i="11"/>
  <c r="R146" i="11" s="1"/>
  <c r="I146" i="11"/>
  <c r="K146" i="11" s="1"/>
  <c r="P145" i="11"/>
  <c r="R145" i="11" s="1"/>
  <c r="I145" i="11"/>
  <c r="K145" i="11" s="1"/>
  <c r="P144" i="11"/>
  <c r="R144" i="11" s="1"/>
  <c r="I144" i="11"/>
  <c r="K144" i="11" s="1"/>
  <c r="P143" i="11"/>
  <c r="R143" i="11" s="1"/>
  <c r="I143" i="11"/>
  <c r="K143" i="11" s="1"/>
  <c r="P142" i="11"/>
  <c r="R142" i="11" s="1"/>
  <c r="I142" i="11"/>
  <c r="K142" i="11" s="1"/>
  <c r="P141" i="11"/>
  <c r="R141" i="11" s="1"/>
  <c r="I141" i="11"/>
  <c r="K141" i="11" s="1"/>
  <c r="P140" i="11"/>
  <c r="R140" i="11" s="1"/>
  <c r="I140" i="11"/>
  <c r="K140" i="11" s="1"/>
  <c r="P139" i="11"/>
  <c r="R139" i="11" s="1"/>
  <c r="I139" i="11"/>
  <c r="K139" i="11" s="1"/>
  <c r="P138" i="11"/>
  <c r="R138" i="11" s="1"/>
  <c r="I138" i="11"/>
  <c r="K138" i="11" s="1"/>
  <c r="Q137" i="11"/>
  <c r="O137" i="11"/>
  <c r="N137" i="11"/>
  <c r="M137" i="11"/>
  <c r="L137" i="11"/>
  <c r="J137" i="11"/>
  <c r="H137" i="11"/>
  <c r="G137" i="11"/>
  <c r="F137" i="11"/>
  <c r="E137" i="11"/>
  <c r="P135" i="11"/>
  <c r="R135" i="11" s="1"/>
  <c r="I135" i="11"/>
  <c r="K135" i="11" s="1"/>
  <c r="P134" i="11"/>
  <c r="R134" i="11" s="1"/>
  <c r="I134" i="11"/>
  <c r="K134" i="11" s="1"/>
  <c r="P133" i="11"/>
  <c r="R133" i="11" s="1"/>
  <c r="I133" i="11"/>
  <c r="K133" i="11" s="1"/>
  <c r="P132" i="11"/>
  <c r="R132" i="11" s="1"/>
  <c r="I132" i="11"/>
  <c r="K132" i="11" s="1"/>
  <c r="P131" i="11"/>
  <c r="R131" i="11" s="1"/>
  <c r="I131" i="11"/>
  <c r="K131" i="11" s="1"/>
  <c r="P130" i="11"/>
  <c r="R130" i="11" s="1"/>
  <c r="I130" i="11"/>
  <c r="K130" i="11" s="1"/>
  <c r="P129" i="11"/>
  <c r="R129" i="11" s="1"/>
  <c r="I129" i="11"/>
  <c r="K129" i="11" s="1"/>
  <c r="P128" i="11"/>
  <c r="R128" i="11" s="1"/>
  <c r="I128" i="11"/>
  <c r="K128" i="11" s="1"/>
  <c r="P127" i="11"/>
  <c r="R127" i="11" s="1"/>
  <c r="I127" i="11"/>
  <c r="K127" i="11" s="1"/>
  <c r="P126" i="11"/>
  <c r="R126" i="11" s="1"/>
  <c r="I126" i="11"/>
  <c r="K126" i="11" s="1"/>
  <c r="P125" i="11"/>
  <c r="R125" i="11" s="1"/>
  <c r="I125" i="11"/>
  <c r="K125" i="11" s="1"/>
  <c r="P124" i="11"/>
  <c r="R124" i="11" s="1"/>
  <c r="I124" i="11"/>
  <c r="K124" i="11" s="1"/>
  <c r="P123" i="11"/>
  <c r="R123" i="11" s="1"/>
  <c r="I123" i="11"/>
  <c r="K123" i="11" s="1"/>
  <c r="P122" i="11"/>
  <c r="R122" i="11" s="1"/>
  <c r="I122" i="11"/>
  <c r="K122" i="11" s="1"/>
  <c r="P121" i="11"/>
  <c r="R121" i="11" s="1"/>
  <c r="I121" i="11"/>
  <c r="K121" i="11" s="1"/>
  <c r="P120" i="11"/>
  <c r="R120" i="11" s="1"/>
  <c r="I120" i="11"/>
  <c r="K120" i="11" s="1"/>
  <c r="P119" i="11"/>
  <c r="R119" i="11" s="1"/>
  <c r="I119" i="11"/>
  <c r="K119" i="11" s="1"/>
  <c r="P118" i="11"/>
  <c r="R118" i="11" s="1"/>
  <c r="I118" i="11"/>
  <c r="K118" i="11" s="1"/>
  <c r="P117" i="11"/>
  <c r="R117" i="11" s="1"/>
  <c r="I117" i="11"/>
  <c r="K117" i="11" s="1"/>
  <c r="P116" i="11"/>
  <c r="R116" i="11" s="1"/>
  <c r="I116" i="11"/>
  <c r="K116" i="11" s="1"/>
  <c r="Q115" i="11"/>
  <c r="O115" i="11"/>
  <c r="N115" i="11"/>
  <c r="M115" i="11"/>
  <c r="L115" i="11"/>
  <c r="J115" i="11"/>
  <c r="H115" i="11"/>
  <c r="G115" i="11"/>
  <c r="F115" i="11"/>
  <c r="E115" i="11"/>
  <c r="P114" i="11"/>
  <c r="R114" i="11" s="1"/>
  <c r="I114" i="11"/>
  <c r="K114" i="11" s="1"/>
  <c r="P113" i="11"/>
  <c r="R113" i="11" s="1"/>
  <c r="I113" i="11"/>
  <c r="K113" i="11" s="1"/>
  <c r="P112" i="11"/>
  <c r="R112" i="11" s="1"/>
  <c r="I112" i="11"/>
  <c r="K112" i="11" s="1"/>
  <c r="P111" i="11"/>
  <c r="R111" i="11" s="1"/>
  <c r="I111" i="11"/>
  <c r="K111" i="11" s="1"/>
  <c r="P110" i="11"/>
  <c r="R110" i="11" s="1"/>
  <c r="I110" i="11"/>
  <c r="K110" i="11" s="1"/>
  <c r="P109" i="11"/>
  <c r="R109" i="11" s="1"/>
  <c r="I109" i="11"/>
  <c r="K109" i="11" s="1"/>
  <c r="P108" i="11"/>
  <c r="R108" i="11" s="1"/>
  <c r="I108" i="11"/>
  <c r="K108" i="11" s="1"/>
  <c r="P107" i="11"/>
  <c r="R107" i="11" s="1"/>
  <c r="I107" i="11"/>
  <c r="K107" i="11" s="1"/>
  <c r="P106" i="11"/>
  <c r="R106" i="11" s="1"/>
  <c r="I106" i="11"/>
  <c r="K106" i="11" s="1"/>
  <c r="P105" i="11"/>
  <c r="R105" i="11" s="1"/>
  <c r="I105" i="11"/>
  <c r="K105" i="11" s="1"/>
  <c r="P104" i="11"/>
  <c r="R104" i="11" s="1"/>
  <c r="I104" i="11"/>
  <c r="K104" i="11" s="1"/>
  <c r="P103" i="11"/>
  <c r="R103" i="11" s="1"/>
  <c r="I103" i="11"/>
  <c r="K103" i="11" s="1"/>
  <c r="P102" i="11"/>
  <c r="R102" i="11" s="1"/>
  <c r="I102" i="11"/>
  <c r="K102" i="11" s="1"/>
  <c r="P101" i="11"/>
  <c r="R101" i="11" s="1"/>
  <c r="I101" i="11"/>
  <c r="K101" i="11" s="1"/>
  <c r="P100" i="11"/>
  <c r="R100" i="11" s="1"/>
  <c r="I100" i="11"/>
  <c r="K100" i="11" s="1"/>
  <c r="P99" i="11"/>
  <c r="R99" i="11" s="1"/>
  <c r="I99" i="11"/>
  <c r="K99" i="11" s="1"/>
  <c r="P98" i="11"/>
  <c r="R98" i="11" s="1"/>
  <c r="I98" i="11"/>
  <c r="K98" i="11" s="1"/>
  <c r="P97" i="11"/>
  <c r="R97" i="11" s="1"/>
  <c r="I97" i="11"/>
  <c r="K97" i="11" s="1"/>
  <c r="P96" i="11"/>
  <c r="R96" i="11" s="1"/>
  <c r="I96" i="11"/>
  <c r="K96" i="11" s="1"/>
  <c r="P95" i="11"/>
  <c r="R95" i="11" s="1"/>
  <c r="I95" i="11"/>
  <c r="K95" i="11" s="1"/>
  <c r="Q94" i="11"/>
  <c r="O94" i="11"/>
  <c r="N94" i="11"/>
  <c r="M94" i="11"/>
  <c r="L94" i="11"/>
  <c r="J94" i="11"/>
  <c r="H94" i="11"/>
  <c r="G94" i="11"/>
  <c r="F94" i="11"/>
  <c r="E94" i="11"/>
  <c r="P93" i="11"/>
  <c r="R93" i="11" s="1"/>
  <c r="I93" i="11"/>
  <c r="K93" i="11" s="1"/>
  <c r="P92" i="11"/>
  <c r="R92" i="11" s="1"/>
  <c r="I92" i="11"/>
  <c r="K92" i="11" s="1"/>
  <c r="P91" i="11"/>
  <c r="R91" i="11" s="1"/>
  <c r="I91" i="11"/>
  <c r="K91" i="11" s="1"/>
  <c r="P90" i="11"/>
  <c r="R90" i="11" s="1"/>
  <c r="I90" i="11"/>
  <c r="K90" i="11" s="1"/>
  <c r="P89" i="11"/>
  <c r="R89" i="11" s="1"/>
  <c r="I89" i="11"/>
  <c r="K89" i="11" s="1"/>
  <c r="P88" i="11"/>
  <c r="R88" i="11" s="1"/>
  <c r="I88" i="11"/>
  <c r="K88" i="11" s="1"/>
  <c r="P87" i="11"/>
  <c r="R87" i="11" s="1"/>
  <c r="I87" i="11"/>
  <c r="K87" i="11" s="1"/>
  <c r="P86" i="11"/>
  <c r="R86" i="11" s="1"/>
  <c r="I86" i="11"/>
  <c r="K86" i="11" s="1"/>
  <c r="P85" i="11"/>
  <c r="R85" i="11" s="1"/>
  <c r="I85" i="11"/>
  <c r="K85" i="11" s="1"/>
  <c r="P84" i="11"/>
  <c r="R84" i="11" s="1"/>
  <c r="I84" i="11"/>
  <c r="K84" i="11" s="1"/>
  <c r="P83" i="11"/>
  <c r="R83" i="11" s="1"/>
  <c r="I83" i="11"/>
  <c r="K83" i="11" s="1"/>
  <c r="P82" i="11"/>
  <c r="R82" i="11" s="1"/>
  <c r="I82" i="11"/>
  <c r="K82" i="11" s="1"/>
  <c r="P81" i="11"/>
  <c r="R81" i="11" s="1"/>
  <c r="I81" i="11"/>
  <c r="K81" i="11" s="1"/>
  <c r="P80" i="11"/>
  <c r="R80" i="11" s="1"/>
  <c r="I80" i="11"/>
  <c r="K80" i="11" s="1"/>
  <c r="P79" i="11"/>
  <c r="R79" i="11" s="1"/>
  <c r="I79" i="11"/>
  <c r="K79" i="11" s="1"/>
  <c r="P78" i="11"/>
  <c r="R78" i="11" s="1"/>
  <c r="I78" i="11"/>
  <c r="K78" i="11" s="1"/>
  <c r="P77" i="11"/>
  <c r="R77" i="11" s="1"/>
  <c r="I77" i="11"/>
  <c r="K77" i="11" s="1"/>
  <c r="P76" i="11"/>
  <c r="R76" i="11" s="1"/>
  <c r="I76" i="11"/>
  <c r="K76" i="11" s="1"/>
  <c r="P75" i="11"/>
  <c r="R75" i="11" s="1"/>
  <c r="I75" i="11"/>
  <c r="K75" i="11" s="1"/>
  <c r="P74" i="11"/>
  <c r="R74" i="11" s="1"/>
  <c r="I74" i="11"/>
  <c r="K74" i="11" s="1"/>
  <c r="Q73" i="11"/>
  <c r="O73" i="11"/>
  <c r="N73" i="11"/>
  <c r="M73" i="11"/>
  <c r="L73" i="11"/>
  <c r="J73" i="11"/>
  <c r="H73" i="11"/>
  <c r="G73" i="11"/>
  <c r="F73" i="11"/>
  <c r="E73" i="11"/>
  <c r="P72" i="11"/>
  <c r="R72" i="11" s="1"/>
  <c r="I72" i="11"/>
  <c r="K72" i="11" s="1"/>
  <c r="P71" i="11"/>
  <c r="R71" i="11" s="1"/>
  <c r="I71" i="11"/>
  <c r="K71" i="11" s="1"/>
  <c r="P70" i="11"/>
  <c r="R70" i="11" s="1"/>
  <c r="I70" i="11"/>
  <c r="K70" i="11" s="1"/>
  <c r="P69" i="11"/>
  <c r="R69" i="11" s="1"/>
  <c r="I69" i="11"/>
  <c r="K69" i="11" s="1"/>
  <c r="P68" i="11"/>
  <c r="R68" i="11" s="1"/>
  <c r="I68" i="11"/>
  <c r="K68" i="11" s="1"/>
  <c r="P67" i="11"/>
  <c r="R67" i="11" s="1"/>
  <c r="I67" i="11"/>
  <c r="K67" i="11" s="1"/>
  <c r="P66" i="11"/>
  <c r="R66" i="11" s="1"/>
  <c r="I66" i="11"/>
  <c r="K66" i="11" s="1"/>
  <c r="P65" i="11"/>
  <c r="R65" i="11" s="1"/>
  <c r="I65" i="11"/>
  <c r="K65" i="11" s="1"/>
  <c r="P64" i="11"/>
  <c r="R64" i="11" s="1"/>
  <c r="I64" i="11"/>
  <c r="K64" i="11" s="1"/>
  <c r="P63" i="11"/>
  <c r="R63" i="11" s="1"/>
  <c r="I63" i="11"/>
  <c r="K63" i="11" s="1"/>
  <c r="P62" i="11"/>
  <c r="R62" i="11" s="1"/>
  <c r="I62" i="11"/>
  <c r="K62" i="11" s="1"/>
  <c r="P61" i="11"/>
  <c r="R61" i="11" s="1"/>
  <c r="I61" i="11"/>
  <c r="K61" i="11" s="1"/>
  <c r="P60" i="11"/>
  <c r="R60" i="11" s="1"/>
  <c r="I60" i="11"/>
  <c r="K60" i="11" s="1"/>
  <c r="P59" i="11"/>
  <c r="R59" i="11" s="1"/>
  <c r="I59" i="11"/>
  <c r="K59" i="11" s="1"/>
  <c r="P58" i="11"/>
  <c r="R58" i="11" s="1"/>
  <c r="I58" i="11"/>
  <c r="K58" i="11" s="1"/>
  <c r="P57" i="11"/>
  <c r="R57" i="11" s="1"/>
  <c r="I57" i="11"/>
  <c r="K57" i="11" s="1"/>
  <c r="P56" i="11"/>
  <c r="R56" i="11" s="1"/>
  <c r="I56" i="11"/>
  <c r="K56" i="11" s="1"/>
  <c r="P55" i="11"/>
  <c r="R55" i="11" s="1"/>
  <c r="I55" i="11"/>
  <c r="K55" i="11" s="1"/>
  <c r="P54" i="11"/>
  <c r="R54" i="11" s="1"/>
  <c r="I54" i="11"/>
  <c r="K54" i="11" s="1"/>
  <c r="P53" i="11"/>
  <c r="R53" i="11" s="1"/>
  <c r="I53" i="11"/>
  <c r="K53" i="11" s="1"/>
  <c r="Q52" i="11"/>
  <c r="O52" i="11"/>
  <c r="N52" i="11"/>
  <c r="M52" i="11"/>
  <c r="L52" i="11"/>
  <c r="J52" i="11"/>
  <c r="H52" i="11"/>
  <c r="G52" i="11"/>
  <c r="F52" i="11"/>
  <c r="E52" i="11"/>
  <c r="P51" i="11"/>
  <c r="R51" i="11" s="1"/>
  <c r="I51" i="11"/>
  <c r="K51" i="11" s="1"/>
  <c r="P50" i="11"/>
  <c r="R50" i="11" s="1"/>
  <c r="I50" i="11"/>
  <c r="K50" i="11" s="1"/>
  <c r="P49" i="11"/>
  <c r="R49" i="11" s="1"/>
  <c r="I49" i="11"/>
  <c r="K49" i="11" s="1"/>
  <c r="P48" i="11"/>
  <c r="R48" i="11" s="1"/>
  <c r="I48" i="11"/>
  <c r="K48" i="11" s="1"/>
  <c r="P47" i="11"/>
  <c r="R47" i="11" s="1"/>
  <c r="I47" i="11"/>
  <c r="K47" i="11" s="1"/>
  <c r="P46" i="11"/>
  <c r="R46" i="11" s="1"/>
  <c r="I46" i="11"/>
  <c r="K46" i="11" s="1"/>
  <c r="P45" i="11"/>
  <c r="R45" i="11" s="1"/>
  <c r="I45" i="11"/>
  <c r="K45" i="11" s="1"/>
  <c r="P44" i="11"/>
  <c r="R44" i="11" s="1"/>
  <c r="I44" i="11"/>
  <c r="K44" i="11" s="1"/>
  <c r="P43" i="11"/>
  <c r="R43" i="11" s="1"/>
  <c r="I43" i="11"/>
  <c r="K43" i="11" s="1"/>
  <c r="P42" i="11"/>
  <c r="R42" i="11" s="1"/>
  <c r="I42" i="11"/>
  <c r="K42" i="11" s="1"/>
  <c r="P41" i="11"/>
  <c r="R41" i="11" s="1"/>
  <c r="I41" i="11"/>
  <c r="K41" i="11" s="1"/>
  <c r="P40" i="11"/>
  <c r="R40" i="11" s="1"/>
  <c r="I40" i="11"/>
  <c r="K40" i="11" s="1"/>
  <c r="P39" i="11"/>
  <c r="R39" i="11" s="1"/>
  <c r="I39" i="11"/>
  <c r="K39" i="11" s="1"/>
  <c r="P38" i="11"/>
  <c r="R38" i="11" s="1"/>
  <c r="I38" i="11"/>
  <c r="K38" i="11" s="1"/>
  <c r="P37" i="11"/>
  <c r="R37" i="11" s="1"/>
  <c r="I37" i="11"/>
  <c r="K37" i="11" s="1"/>
  <c r="P36" i="11"/>
  <c r="R36" i="11" s="1"/>
  <c r="I36" i="11"/>
  <c r="K36" i="11" s="1"/>
  <c r="P35" i="11"/>
  <c r="R35" i="11" s="1"/>
  <c r="I35" i="11"/>
  <c r="K35" i="11" s="1"/>
  <c r="P34" i="11"/>
  <c r="R34" i="11" s="1"/>
  <c r="I34" i="11"/>
  <c r="K34" i="11" s="1"/>
  <c r="P33" i="11"/>
  <c r="R33" i="11" s="1"/>
  <c r="I33" i="11"/>
  <c r="K33" i="11" s="1"/>
  <c r="P32" i="11"/>
  <c r="R32" i="11" s="1"/>
  <c r="I32" i="11"/>
  <c r="K32" i="11" s="1"/>
  <c r="Q31" i="11"/>
  <c r="O31" i="11"/>
  <c r="N31" i="11"/>
  <c r="M31" i="11"/>
  <c r="L31" i="11"/>
  <c r="J31" i="11"/>
  <c r="H31" i="11"/>
  <c r="G31" i="11"/>
  <c r="F31" i="11"/>
  <c r="E31" i="11"/>
  <c r="P30" i="11"/>
  <c r="R30" i="11" s="1"/>
  <c r="I30" i="11"/>
  <c r="K30" i="11" s="1"/>
  <c r="P29" i="11"/>
  <c r="R29" i="11" s="1"/>
  <c r="I29" i="11"/>
  <c r="K29" i="11" s="1"/>
  <c r="P28" i="11"/>
  <c r="R28" i="11" s="1"/>
  <c r="I28" i="11"/>
  <c r="K28" i="11" s="1"/>
  <c r="P27" i="11"/>
  <c r="R27" i="11" s="1"/>
  <c r="I27" i="11"/>
  <c r="K27" i="11" s="1"/>
  <c r="P26" i="11"/>
  <c r="R26" i="11" s="1"/>
  <c r="I26" i="11"/>
  <c r="K26" i="11" s="1"/>
  <c r="P25" i="11"/>
  <c r="R25" i="11" s="1"/>
  <c r="I25" i="11"/>
  <c r="K25" i="11" s="1"/>
  <c r="P24" i="11"/>
  <c r="R24" i="11" s="1"/>
  <c r="I24" i="11"/>
  <c r="K24" i="11" s="1"/>
  <c r="P23" i="11"/>
  <c r="R23" i="11" s="1"/>
  <c r="I23" i="11"/>
  <c r="K23" i="11" s="1"/>
  <c r="P22" i="11"/>
  <c r="R22" i="11" s="1"/>
  <c r="I22" i="11"/>
  <c r="K22" i="11" s="1"/>
  <c r="P21" i="11"/>
  <c r="R21" i="11" s="1"/>
  <c r="I21" i="11"/>
  <c r="K21" i="11" s="1"/>
  <c r="P20" i="11"/>
  <c r="R20" i="11" s="1"/>
  <c r="I20" i="11"/>
  <c r="K20" i="11" s="1"/>
  <c r="P19" i="11"/>
  <c r="R19" i="11" s="1"/>
  <c r="I19" i="11"/>
  <c r="K19" i="11" s="1"/>
  <c r="P18" i="11"/>
  <c r="R18" i="11" s="1"/>
  <c r="I18" i="11"/>
  <c r="K18" i="11" s="1"/>
  <c r="P17" i="11"/>
  <c r="R17" i="11" s="1"/>
  <c r="I17" i="11"/>
  <c r="K17" i="11" s="1"/>
  <c r="P16" i="11"/>
  <c r="R16" i="11" s="1"/>
  <c r="I16" i="11"/>
  <c r="K16" i="11" s="1"/>
  <c r="P15" i="11"/>
  <c r="R15" i="11" s="1"/>
  <c r="I15" i="11"/>
  <c r="K15" i="11" s="1"/>
  <c r="P14" i="11"/>
  <c r="R14" i="11" s="1"/>
  <c r="I14" i="11"/>
  <c r="K14" i="11" s="1"/>
  <c r="P13" i="11"/>
  <c r="R13" i="11" s="1"/>
  <c r="I13" i="11"/>
  <c r="K13" i="11" s="1"/>
  <c r="P12" i="11"/>
  <c r="R12" i="11" s="1"/>
  <c r="I12" i="11"/>
  <c r="K12" i="11" s="1"/>
  <c r="P11" i="11"/>
  <c r="R11" i="11" s="1"/>
  <c r="I11" i="11"/>
  <c r="K11" i="11" s="1"/>
  <c r="Q10" i="11"/>
  <c r="O10" i="11"/>
  <c r="N10" i="11"/>
  <c r="M10" i="11"/>
  <c r="L10" i="11"/>
  <c r="J10" i="11"/>
  <c r="H10" i="11"/>
  <c r="G10" i="11"/>
  <c r="F10" i="11"/>
  <c r="E10" i="11"/>
  <c r="F124" i="21"/>
  <c r="E124" i="21"/>
  <c r="M9" i="11" l="1"/>
  <c r="G699" i="11"/>
  <c r="E699" i="11"/>
  <c r="I700" i="11"/>
  <c r="K700" i="11" s="1"/>
  <c r="H493" i="11"/>
  <c r="N493" i="11"/>
  <c r="L493" i="11"/>
  <c r="Q493" i="11"/>
  <c r="P700" i="11"/>
  <c r="R700" i="11" s="1"/>
  <c r="L390" i="11"/>
  <c r="Q699" i="11"/>
  <c r="G493" i="11"/>
  <c r="M699" i="11"/>
  <c r="E493" i="11"/>
  <c r="J699" i="11"/>
  <c r="O699" i="11"/>
  <c r="P711" i="11"/>
  <c r="R711" i="11" s="1"/>
  <c r="O263" i="11"/>
  <c r="J390" i="11"/>
  <c r="O390" i="11"/>
  <c r="N9" i="11"/>
  <c r="H136" i="11"/>
  <c r="G390" i="11"/>
  <c r="F493" i="11"/>
  <c r="H699" i="11"/>
  <c r="Q263" i="11"/>
  <c r="P348" i="11"/>
  <c r="R348" i="11" s="1"/>
  <c r="I494" i="11"/>
  <c r="I545" i="11"/>
  <c r="K545" i="11" s="1"/>
  <c r="F596" i="11"/>
  <c r="N699" i="11"/>
  <c r="E9" i="11"/>
  <c r="P699" i="11"/>
  <c r="L699" i="11"/>
  <c r="Q136" i="11"/>
  <c r="H263" i="11"/>
  <c r="N263" i="11"/>
  <c r="N390" i="11"/>
  <c r="P494" i="11"/>
  <c r="M390" i="11"/>
  <c r="P545" i="11"/>
  <c r="R545" i="11" s="1"/>
  <c r="I158" i="11"/>
  <c r="K158" i="11" s="1"/>
  <c r="K495" i="11"/>
  <c r="E596" i="11"/>
  <c r="O596" i="11"/>
  <c r="M493" i="11"/>
  <c r="G136" i="11"/>
  <c r="I442" i="11"/>
  <c r="K442" i="11" s="1"/>
  <c r="K443" i="11"/>
  <c r="K598" i="11"/>
  <c r="I597" i="11"/>
  <c r="K597" i="11" s="1"/>
  <c r="P52" i="11"/>
  <c r="R52" i="11" s="1"/>
  <c r="I115" i="11"/>
  <c r="K115" i="11" s="1"/>
  <c r="Q390" i="11"/>
  <c r="R443" i="11"/>
  <c r="P442" i="11"/>
  <c r="R442" i="11" s="1"/>
  <c r="O136" i="11"/>
  <c r="G263" i="11"/>
  <c r="R393" i="11"/>
  <c r="P391" i="11"/>
  <c r="R391" i="11" s="1"/>
  <c r="F9" i="11"/>
  <c r="P10" i="11"/>
  <c r="R10" i="11" s="1"/>
  <c r="Q9" i="11"/>
  <c r="G9" i="11"/>
  <c r="I73" i="11"/>
  <c r="K73" i="11" s="1"/>
  <c r="J9" i="11"/>
  <c r="P285" i="11"/>
  <c r="R285" i="11" s="1"/>
  <c r="F390" i="11"/>
  <c r="L596" i="11"/>
  <c r="Q596" i="11"/>
  <c r="J596" i="11"/>
  <c r="H390" i="11"/>
  <c r="N596" i="11"/>
  <c r="G596" i="11"/>
  <c r="I711" i="11"/>
  <c r="K711" i="11" s="1"/>
  <c r="K712" i="11"/>
  <c r="I31" i="11"/>
  <c r="K31" i="11" s="1"/>
  <c r="I94" i="11"/>
  <c r="K94" i="11" s="1"/>
  <c r="L136" i="11"/>
  <c r="I221" i="11"/>
  <c r="K221" i="11" s="1"/>
  <c r="I348" i="11"/>
  <c r="K348" i="11" s="1"/>
  <c r="H9" i="11"/>
  <c r="P94" i="11"/>
  <c r="R94" i="11" s="1"/>
  <c r="L263" i="11"/>
  <c r="I391" i="11"/>
  <c r="K394" i="11"/>
  <c r="R598" i="11"/>
  <c r="P597" i="11"/>
  <c r="R597" i="11" s="1"/>
  <c r="P31" i="11"/>
  <c r="R31" i="11" s="1"/>
  <c r="I52" i="11"/>
  <c r="K52" i="11" s="1"/>
  <c r="I137" i="11"/>
  <c r="K137" i="11" s="1"/>
  <c r="J136" i="11"/>
  <c r="M263" i="11"/>
  <c r="I285" i="11"/>
  <c r="K285" i="11" s="1"/>
  <c r="E263" i="11"/>
  <c r="I10" i="11"/>
  <c r="K10" i="11" s="1"/>
  <c r="O9" i="11"/>
  <c r="P137" i="11"/>
  <c r="R137" i="11" s="1"/>
  <c r="M136" i="11"/>
  <c r="I179" i="11"/>
  <c r="K179" i="11" s="1"/>
  <c r="P221" i="11"/>
  <c r="R221" i="11" s="1"/>
  <c r="J263" i="11"/>
  <c r="I306" i="11"/>
  <c r="K306" i="11" s="1"/>
  <c r="I327" i="11"/>
  <c r="K327" i="11" s="1"/>
  <c r="I369" i="11"/>
  <c r="K369" i="11" s="1"/>
  <c r="F263" i="11"/>
  <c r="P306" i="11"/>
  <c r="R306" i="11" s="1"/>
  <c r="E390" i="11"/>
  <c r="P648" i="11"/>
  <c r="R648" i="11" s="1"/>
  <c r="R649" i="11"/>
  <c r="P327" i="11"/>
  <c r="R327" i="11" s="1"/>
  <c r="P369" i="11"/>
  <c r="R369" i="11" s="1"/>
  <c r="J493" i="11"/>
  <c r="O493" i="11"/>
  <c r="H596" i="11"/>
  <c r="M596" i="11"/>
  <c r="I648" i="11"/>
  <c r="K648" i="11" s="1"/>
  <c r="K649" i="11"/>
  <c r="F699" i="11"/>
  <c r="F136" i="11"/>
  <c r="N136" i="11"/>
  <c r="P200" i="11"/>
  <c r="R200" i="11" s="1"/>
  <c r="L9" i="11"/>
  <c r="P73" i="11"/>
  <c r="R73" i="11" s="1"/>
  <c r="E136" i="11"/>
  <c r="P158" i="11"/>
  <c r="R158" i="11" s="1"/>
  <c r="P179" i="11"/>
  <c r="R179" i="11" s="1"/>
  <c r="P264" i="11"/>
  <c r="P115" i="11"/>
  <c r="R115" i="11" s="1"/>
  <c r="I200" i="11"/>
  <c r="K200" i="11" s="1"/>
  <c r="P242" i="11"/>
  <c r="R242" i="11" s="1"/>
  <c r="I242" i="11"/>
  <c r="K242" i="11" s="1"/>
  <c r="I264" i="11"/>
  <c r="D96" i="38"/>
  <c r="C96" i="38"/>
  <c r="D83" i="38"/>
  <c r="C83" i="38"/>
  <c r="D79" i="38"/>
  <c r="C79" i="38"/>
  <c r="C89" i="38" s="1"/>
  <c r="D68" i="38"/>
  <c r="C68" i="38"/>
  <c r="D54" i="38"/>
  <c r="C54" i="38"/>
  <c r="C77" i="38" s="1"/>
  <c r="D19" i="38"/>
  <c r="C19" i="38"/>
  <c r="D9" i="38"/>
  <c r="C9" i="38"/>
  <c r="C52" i="38" s="1"/>
  <c r="C90" i="38" s="1"/>
  <c r="C102" i="38" s="1"/>
  <c r="D52" i="38" l="1"/>
  <c r="D89" i="38"/>
  <c r="D77" i="38"/>
  <c r="R699" i="11"/>
  <c r="K699" i="11"/>
  <c r="N722" i="11"/>
  <c r="I596" i="11"/>
  <c r="F722" i="11"/>
  <c r="I493" i="11"/>
  <c r="K494" i="11"/>
  <c r="K493" i="11" s="1"/>
  <c r="L722" i="11"/>
  <c r="Q722" i="11"/>
  <c r="P493" i="11"/>
  <c r="R494" i="11"/>
  <c r="R493" i="11" s="1"/>
  <c r="M722" i="11"/>
  <c r="G722" i="11"/>
  <c r="K9" i="11"/>
  <c r="R596" i="11"/>
  <c r="P390" i="11"/>
  <c r="K596" i="11"/>
  <c r="E722" i="11"/>
  <c r="I9" i="11"/>
  <c r="R390" i="11"/>
  <c r="J722" i="11"/>
  <c r="K391" i="11"/>
  <c r="K390" i="11" s="1"/>
  <c r="I390" i="11"/>
  <c r="P596" i="11"/>
  <c r="R136" i="11"/>
  <c r="I699" i="11"/>
  <c r="O722" i="11"/>
  <c r="H722" i="11"/>
  <c r="R9" i="11"/>
  <c r="I136" i="11"/>
  <c r="K136" i="11"/>
  <c r="P136" i="11"/>
  <c r="K264" i="11"/>
  <c r="K263" i="11" s="1"/>
  <c r="I263" i="11"/>
  <c r="R264" i="11"/>
  <c r="R263" i="11" s="1"/>
  <c r="P263" i="11"/>
  <c r="P9" i="11"/>
  <c r="D90" i="38"/>
  <c r="D102" i="38" s="1"/>
  <c r="P722" i="11" l="1"/>
  <c r="R722" i="11"/>
  <c r="F17" i="2" s="1"/>
  <c r="I722" i="11"/>
  <c r="K722" i="11"/>
  <c r="E17" i="2" s="1"/>
  <c r="D17" i="1"/>
  <c r="J15" i="24" l="1"/>
  <c r="F16" i="24"/>
  <c r="G16" i="24"/>
  <c r="H16" i="24"/>
  <c r="I16" i="24"/>
  <c r="E16" i="24"/>
  <c r="S13" i="37"/>
  <c r="S185" i="36"/>
  <c r="M102" i="37"/>
  <c r="E102" i="37"/>
  <c r="Q91" i="37"/>
  <c r="M91" i="37"/>
  <c r="I91" i="37"/>
  <c r="E91" i="37"/>
  <c r="Q80" i="37"/>
  <c r="M80" i="37"/>
  <c r="I80" i="37"/>
  <c r="E80" i="37"/>
  <c r="Q69" i="37"/>
  <c r="M69" i="37"/>
  <c r="I69" i="37"/>
  <c r="E69" i="37"/>
  <c r="Q50" i="37"/>
  <c r="O50" i="37"/>
  <c r="M50" i="37"/>
  <c r="I50" i="37"/>
  <c r="G50" i="37"/>
  <c r="E50" i="37"/>
  <c r="Q26" i="37"/>
  <c r="F26" i="16" s="1"/>
  <c r="M26" i="37"/>
  <c r="I26" i="37"/>
  <c r="E26" i="16" s="1"/>
  <c r="E26" i="37"/>
  <c r="Q368" i="36"/>
  <c r="M368" i="36"/>
  <c r="I368" i="36"/>
  <c r="E368" i="36"/>
  <c r="Q363" i="36"/>
  <c r="M363" i="36"/>
  <c r="I363" i="36"/>
  <c r="E363" i="36"/>
  <c r="Q357" i="36"/>
  <c r="M357" i="36"/>
  <c r="I357" i="36"/>
  <c r="E357" i="36"/>
  <c r="Q353" i="36"/>
  <c r="M353" i="36"/>
  <c r="I353" i="36"/>
  <c r="E353" i="36"/>
  <c r="Q347" i="36"/>
  <c r="M347" i="36"/>
  <c r="I347" i="36"/>
  <c r="E347" i="36"/>
  <c r="Q344" i="36"/>
  <c r="M344" i="36"/>
  <c r="I344" i="36"/>
  <c r="E344" i="36"/>
  <c r="Q340" i="36"/>
  <c r="Q373" i="36" s="1"/>
  <c r="M340" i="36"/>
  <c r="M373" i="36" s="1"/>
  <c r="I340" i="36"/>
  <c r="I373" i="36" s="1"/>
  <c r="E340" i="36"/>
  <c r="E373" i="36" s="1"/>
  <c r="Q321" i="36"/>
  <c r="M321" i="36"/>
  <c r="I321" i="36"/>
  <c r="E321" i="36"/>
  <c r="Q316" i="36"/>
  <c r="M316" i="36"/>
  <c r="I316" i="36"/>
  <c r="E316" i="36"/>
  <c r="Q310" i="36"/>
  <c r="M310" i="36"/>
  <c r="I310" i="36"/>
  <c r="E310" i="36"/>
  <c r="Q306" i="36"/>
  <c r="M306" i="36"/>
  <c r="I306" i="36"/>
  <c r="E306" i="36"/>
  <c r="Q300" i="36"/>
  <c r="M300" i="36"/>
  <c r="I300" i="36"/>
  <c r="E300" i="36"/>
  <c r="Q297" i="36"/>
  <c r="M297" i="36"/>
  <c r="I297" i="36"/>
  <c r="E297" i="36"/>
  <c r="Q293" i="36"/>
  <c r="Q326" i="36" s="1"/>
  <c r="M293" i="36"/>
  <c r="M326" i="36" s="1"/>
  <c r="I293" i="36"/>
  <c r="I326" i="36" s="1"/>
  <c r="E293" i="36"/>
  <c r="E326" i="36" s="1"/>
  <c r="Q274" i="36"/>
  <c r="M274" i="36"/>
  <c r="I274" i="36"/>
  <c r="E274" i="36"/>
  <c r="Q269" i="36"/>
  <c r="M269" i="36"/>
  <c r="I269" i="36"/>
  <c r="E269" i="36"/>
  <c r="Q263" i="36"/>
  <c r="M263" i="36"/>
  <c r="I263" i="36"/>
  <c r="E263" i="36"/>
  <c r="Q259" i="36"/>
  <c r="M259" i="36"/>
  <c r="I259" i="36"/>
  <c r="E259" i="36"/>
  <c r="Q253" i="36"/>
  <c r="M253" i="36"/>
  <c r="I253" i="36"/>
  <c r="E253" i="36"/>
  <c r="Q250" i="36"/>
  <c r="M250" i="36"/>
  <c r="I250" i="36"/>
  <c r="E250" i="36"/>
  <c r="Q246" i="36"/>
  <c r="Q279" i="36" s="1"/>
  <c r="M246" i="36"/>
  <c r="M279" i="36" s="1"/>
  <c r="I246" i="36"/>
  <c r="I279" i="36" s="1"/>
  <c r="E246" i="36"/>
  <c r="E279" i="36" s="1"/>
  <c r="Q227" i="36"/>
  <c r="M227" i="36"/>
  <c r="I227" i="36"/>
  <c r="E227" i="36"/>
  <c r="E222" i="36"/>
  <c r="Q222" i="36"/>
  <c r="M222" i="36"/>
  <c r="I222" i="36"/>
  <c r="E216" i="36"/>
  <c r="Q216" i="36"/>
  <c r="M216" i="36"/>
  <c r="I216" i="36"/>
  <c r="E212" i="36"/>
  <c r="Q212" i="36"/>
  <c r="M212" i="36"/>
  <c r="I212" i="36"/>
  <c r="E206" i="36"/>
  <c r="Q206" i="36"/>
  <c r="M206" i="36"/>
  <c r="I206" i="36"/>
  <c r="Q203" i="36"/>
  <c r="M203" i="36"/>
  <c r="E203" i="36"/>
  <c r="I203" i="36"/>
  <c r="E199" i="36"/>
  <c r="E232" i="36" s="1"/>
  <c r="Q199" i="36"/>
  <c r="M199" i="36"/>
  <c r="I199" i="36"/>
  <c r="E86" i="36"/>
  <c r="M86" i="36"/>
  <c r="I86" i="36"/>
  <c r="Q86" i="36"/>
  <c r="E81" i="36"/>
  <c r="M81" i="36"/>
  <c r="I81" i="36"/>
  <c r="Q81" i="36"/>
  <c r="I75" i="36"/>
  <c r="E75" i="36"/>
  <c r="M75" i="36"/>
  <c r="Q75" i="36"/>
  <c r="E71" i="36"/>
  <c r="M71" i="36"/>
  <c r="I71" i="36"/>
  <c r="Q71" i="36"/>
  <c r="E65" i="36"/>
  <c r="M65" i="36"/>
  <c r="I65" i="36"/>
  <c r="Q65" i="36"/>
  <c r="E62" i="36"/>
  <c r="M62" i="36"/>
  <c r="I62" i="36"/>
  <c r="Q62" i="36"/>
  <c r="Q58" i="36"/>
  <c r="Q91" i="36" s="1"/>
  <c r="M58" i="36"/>
  <c r="M91" i="36" s="1"/>
  <c r="I58" i="36"/>
  <c r="I91" i="36"/>
  <c r="E58" i="36"/>
  <c r="I17" i="9"/>
  <c r="S46" i="37"/>
  <c r="K46" i="37"/>
  <c r="K48" i="37"/>
  <c r="S183" i="36"/>
  <c r="K171" i="36"/>
  <c r="Q170" i="36"/>
  <c r="O160" i="36"/>
  <c r="M160" i="36"/>
  <c r="Q181" i="36"/>
  <c r="O181" i="36"/>
  <c r="M181" i="36"/>
  <c r="Q176" i="36"/>
  <c r="O176" i="36"/>
  <c r="M176" i="36"/>
  <c r="S176" i="36" s="1"/>
  <c r="O170" i="36"/>
  <c r="M170" i="36"/>
  <c r="Q166" i="36"/>
  <c r="O166" i="36"/>
  <c r="M166" i="36"/>
  <c r="Q160" i="36"/>
  <c r="Q157" i="36"/>
  <c r="O157" i="36"/>
  <c r="M157" i="36"/>
  <c r="Q153" i="36"/>
  <c r="O153" i="36"/>
  <c r="M153" i="36"/>
  <c r="S153" i="36" s="1"/>
  <c r="K161" i="36"/>
  <c r="K159" i="36"/>
  <c r="K158" i="36"/>
  <c r="K156" i="36"/>
  <c r="K155" i="36"/>
  <c r="K154" i="36"/>
  <c r="K152" i="36"/>
  <c r="G153" i="36"/>
  <c r="I153" i="36"/>
  <c r="E153" i="36"/>
  <c r="G157" i="36"/>
  <c r="I157" i="36"/>
  <c r="E157" i="36"/>
  <c r="G160" i="36"/>
  <c r="I160" i="36"/>
  <c r="E160" i="36"/>
  <c r="K160" i="36" s="1"/>
  <c r="G166" i="36"/>
  <c r="I166" i="36"/>
  <c r="E166" i="36"/>
  <c r="I170" i="36"/>
  <c r="G170" i="36"/>
  <c r="G176" i="36"/>
  <c r="I176" i="36"/>
  <c r="I181" i="36"/>
  <c r="G181" i="36"/>
  <c r="E181" i="36"/>
  <c r="E176" i="36"/>
  <c r="E170" i="36"/>
  <c r="S49" i="37"/>
  <c r="K49" i="37"/>
  <c r="S48" i="37"/>
  <c r="S47" i="37"/>
  <c r="K47" i="37"/>
  <c r="K50" i="37"/>
  <c r="E31" i="16" s="1"/>
  <c r="R38" i="37"/>
  <c r="Q38" i="37"/>
  <c r="P38" i="37"/>
  <c r="O38" i="37"/>
  <c r="N38" i="37"/>
  <c r="M38" i="37"/>
  <c r="J38" i="37"/>
  <c r="I38" i="37"/>
  <c r="H38" i="37"/>
  <c r="G38" i="37"/>
  <c r="F38" i="37"/>
  <c r="E38" i="37"/>
  <c r="T37" i="37"/>
  <c r="S37" i="37"/>
  <c r="L37" i="37"/>
  <c r="K37" i="37"/>
  <c r="T36" i="37"/>
  <c r="S36" i="37"/>
  <c r="L36" i="37"/>
  <c r="K36" i="37"/>
  <c r="T35" i="37"/>
  <c r="S35" i="37"/>
  <c r="L35" i="37"/>
  <c r="K35" i="37"/>
  <c r="T34" i="37"/>
  <c r="T38" i="37" s="1"/>
  <c r="F30" i="16" s="1"/>
  <c r="S34" i="37"/>
  <c r="L34" i="37"/>
  <c r="K34" i="37"/>
  <c r="R15" i="37"/>
  <c r="Q15" i="37"/>
  <c r="P15" i="37"/>
  <c r="O15" i="37"/>
  <c r="N15" i="37"/>
  <c r="M15" i="37"/>
  <c r="J15" i="37"/>
  <c r="I15" i="37"/>
  <c r="H15" i="37"/>
  <c r="G15" i="37"/>
  <c r="F15" i="37"/>
  <c r="E15" i="37"/>
  <c r="T14" i="37"/>
  <c r="S14" i="37"/>
  <c r="L14" i="37"/>
  <c r="K14" i="37"/>
  <c r="T13" i="37"/>
  <c r="L13" i="37"/>
  <c r="K13" i="37"/>
  <c r="T12" i="37"/>
  <c r="S12" i="37"/>
  <c r="L12" i="37"/>
  <c r="K12" i="37"/>
  <c r="T11" i="37"/>
  <c r="T15" i="37" s="1"/>
  <c r="F25" i="16" s="1"/>
  <c r="S11" i="37"/>
  <c r="L11" i="37"/>
  <c r="K11" i="37"/>
  <c r="K15" i="37"/>
  <c r="K185" i="36"/>
  <c r="S184" i="36"/>
  <c r="K184" i="36"/>
  <c r="K183" i="36"/>
  <c r="S182" i="36"/>
  <c r="K182" i="36"/>
  <c r="S180" i="36"/>
  <c r="K180" i="36"/>
  <c r="S179" i="36"/>
  <c r="K179" i="36"/>
  <c r="S178" i="36"/>
  <c r="K178" i="36"/>
  <c r="S177" i="36"/>
  <c r="K177" i="36"/>
  <c r="S175" i="36"/>
  <c r="K175" i="36"/>
  <c r="S174" i="36"/>
  <c r="K174" i="36"/>
  <c r="S173" i="36"/>
  <c r="K173" i="36"/>
  <c r="S172" i="36"/>
  <c r="K172" i="36"/>
  <c r="S171" i="36"/>
  <c r="S169" i="36"/>
  <c r="K169" i="36"/>
  <c r="S168" i="36"/>
  <c r="K168" i="36"/>
  <c r="S167" i="36"/>
  <c r="K167" i="36"/>
  <c r="K166" i="36"/>
  <c r="S165" i="36"/>
  <c r="K165" i="36"/>
  <c r="S164" i="36"/>
  <c r="K164" i="36"/>
  <c r="S163" i="36"/>
  <c r="K163" i="36"/>
  <c r="S162" i="36"/>
  <c r="K162" i="36"/>
  <c r="S161" i="36"/>
  <c r="S160" i="36"/>
  <c r="S159" i="36"/>
  <c r="S158" i="36"/>
  <c r="S156" i="36"/>
  <c r="S155" i="36"/>
  <c r="S154" i="36"/>
  <c r="M186" i="36"/>
  <c r="S152" i="36"/>
  <c r="T138" i="36"/>
  <c r="S138" i="36"/>
  <c r="L138" i="36"/>
  <c r="K138" i="36"/>
  <c r="T137" i="36"/>
  <c r="S137" i="36"/>
  <c r="L137" i="36"/>
  <c r="K137" i="36"/>
  <c r="T136" i="36"/>
  <c r="S136" i="36"/>
  <c r="L136" i="36"/>
  <c r="K136" i="36"/>
  <c r="T135" i="36"/>
  <c r="S135" i="36"/>
  <c r="L135" i="36"/>
  <c r="K135" i="36"/>
  <c r="R134" i="36"/>
  <c r="Q134" i="36"/>
  <c r="P134" i="36"/>
  <c r="O134" i="36"/>
  <c r="N134" i="36"/>
  <c r="M134" i="36"/>
  <c r="S134" i="36" s="1"/>
  <c r="J134" i="36"/>
  <c r="I134" i="36"/>
  <c r="H134" i="36"/>
  <c r="G134" i="36"/>
  <c r="F134" i="36"/>
  <c r="L134" i="36" s="1"/>
  <c r="E134" i="36"/>
  <c r="T133" i="36"/>
  <c r="S133" i="36"/>
  <c r="L133" i="36"/>
  <c r="K133" i="36"/>
  <c r="T132" i="36"/>
  <c r="S132" i="36"/>
  <c r="L132" i="36"/>
  <c r="K132" i="36"/>
  <c r="T131" i="36"/>
  <c r="S131" i="36"/>
  <c r="L131" i="36"/>
  <c r="K131" i="36"/>
  <c r="T130" i="36"/>
  <c r="S130" i="36"/>
  <c r="L130" i="36"/>
  <c r="K130" i="36"/>
  <c r="R129" i="36"/>
  <c r="Q129" i="36"/>
  <c r="P129" i="36"/>
  <c r="O129" i="36"/>
  <c r="N129" i="36"/>
  <c r="M129" i="36"/>
  <c r="S129" i="36" s="1"/>
  <c r="J129" i="36"/>
  <c r="I129" i="36"/>
  <c r="H129" i="36"/>
  <c r="G129" i="36"/>
  <c r="F129" i="36"/>
  <c r="L129" i="36" s="1"/>
  <c r="E129" i="36"/>
  <c r="T128" i="36"/>
  <c r="S128" i="36"/>
  <c r="L128" i="36"/>
  <c r="K128" i="36"/>
  <c r="T127" i="36"/>
  <c r="S127" i="36"/>
  <c r="L127" i="36"/>
  <c r="K127" i="36"/>
  <c r="T126" i="36"/>
  <c r="S126" i="36"/>
  <c r="L126" i="36"/>
  <c r="K126" i="36"/>
  <c r="T125" i="36"/>
  <c r="S125" i="36"/>
  <c r="L125" i="36"/>
  <c r="K125" i="36"/>
  <c r="T124" i="36"/>
  <c r="S124" i="36"/>
  <c r="L124" i="36"/>
  <c r="K124" i="36"/>
  <c r="R123" i="36"/>
  <c r="Q123" i="36"/>
  <c r="P123" i="36"/>
  <c r="O123" i="36"/>
  <c r="N123" i="36"/>
  <c r="M123" i="36"/>
  <c r="S123" i="36" s="1"/>
  <c r="J123" i="36"/>
  <c r="I123" i="36"/>
  <c r="H123" i="36"/>
  <c r="G123" i="36"/>
  <c r="F123" i="36"/>
  <c r="L123" i="36" s="1"/>
  <c r="E123" i="36"/>
  <c r="T122" i="36"/>
  <c r="S122" i="36"/>
  <c r="L122" i="36"/>
  <c r="K122" i="36"/>
  <c r="T121" i="36"/>
  <c r="S121" i="36"/>
  <c r="L121" i="36"/>
  <c r="K121" i="36"/>
  <c r="T120" i="36"/>
  <c r="S120" i="36"/>
  <c r="L120" i="36"/>
  <c r="K120" i="36"/>
  <c r="R119" i="36"/>
  <c r="Q119" i="36"/>
  <c r="P119" i="36"/>
  <c r="O119" i="36"/>
  <c r="N119" i="36"/>
  <c r="M119" i="36"/>
  <c r="S119" i="36" s="1"/>
  <c r="J119" i="36"/>
  <c r="I119" i="36"/>
  <c r="H119" i="36"/>
  <c r="G119" i="36"/>
  <c r="F119" i="36"/>
  <c r="L119" i="36" s="1"/>
  <c r="E119" i="36"/>
  <c r="T118" i="36"/>
  <c r="S118" i="36"/>
  <c r="L118" i="36"/>
  <c r="K118" i="36"/>
  <c r="T117" i="36"/>
  <c r="S117" i="36"/>
  <c r="L117" i="36"/>
  <c r="K117" i="36"/>
  <c r="T116" i="36"/>
  <c r="S116" i="36"/>
  <c r="L116" i="36"/>
  <c r="K116" i="36"/>
  <c r="T115" i="36"/>
  <c r="S115" i="36"/>
  <c r="L115" i="36"/>
  <c r="K115" i="36"/>
  <c r="T114" i="36"/>
  <c r="S114" i="36"/>
  <c r="L114" i="36"/>
  <c r="K114" i="36"/>
  <c r="R113" i="36"/>
  <c r="Q113" i="36"/>
  <c r="P113" i="36"/>
  <c r="O113" i="36"/>
  <c r="N113" i="36"/>
  <c r="M113" i="36"/>
  <c r="S113" i="36" s="1"/>
  <c r="J113" i="36"/>
  <c r="I113" i="36"/>
  <c r="H113" i="36"/>
  <c r="G113" i="36"/>
  <c r="F113" i="36"/>
  <c r="L113" i="36" s="1"/>
  <c r="E113" i="36"/>
  <c r="T112" i="36"/>
  <c r="S112" i="36"/>
  <c r="L112" i="36"/>
  <c r="K112" i="36"/>
  <c r="T111" i="36"/>
  <c r="S111" i="36"/>
  <c r="L111" i="36"/>
  <c r="K111" i="36"/>
  <c r="R110" i="36"/>
  <c r="Q110" i="36"/>
  <c r="P110" i="36"/>
  <c r="O110" i="36"/>
  <c r="N110" i="36"/>
  <c r="M110" i="36"/>
  <c r="S110" i="36" s="1"/>
  <c r="J110" i="36"/>
  <c r="I110" i="36"/>
  <c r="H110" i="36"/>
  <c r="G110" i="36"/>
  <c r="F110" i="36"/>
  <c r="L110" i="36" s="1"/>
  <c r="E110" i="36"/>
  <c r="T109" i="36"/>
  <c r="S109" i="36"/>
  <c r="L109" i="36"/>
  <c r="K109" i="36"/>
  <c r="T108" i="36"/>
  <c r="S108" i="36"/>
  <c r="L108" i="36"/>
  <c r="K108" i="36"/>
  <c r="T107" i="36"/>
  <c r="S107" i="36"/>
  <c r="L107" i="36"/>
  <c r="K107" i="36"/>
  <c r="R106" i="36"/>
  <c r="R139" i="36" s="1"/>
  <c r="Q106" i="36"/>
  <c r="Q139" i="36" s="1"/>
  <c r="P106" i="36"/>
  <c r="P139" i="36" s="1"/>
  <c r="O106" i="36"/>
  <c r="O139" i="36" s="1"/>
  <c r="N106" i="36"/>
  <c r="N139" i="36" s="1"/>
  <c r="M106" i="36"/>
  <c r="M139" i="36" s="1"/>
  <c r="J106" i="36"/>
  <c r="J139" i="36" s="1"/>
  <c r="I106" i="36"/>
  <c r="I139" i="36" s="1"/>
  <c r="H106" i="36"/>
  <c r="H139" i="36" s="1"/>
  <c r="G106" i="36"/>
  <c r="G139" i="36" s="1"/>
  <c r="F106" i="36"/>
  <c r="F139" i="36" s="1"/>
  <c r="E106" i="36"/>
  <c r="E139" i="36" s="1"/>
  <c r="T105" i="36"/>
  <c r="S105" i="36"/>
  <c r="L105" i="36"/>
  <c r="K105" i="36"/>
  <c r="T44" i="36"/>
  <c r="S44" i="36"/>
  <c r="L44" i="36"/>
  <c r="K44" i="36"/>
  <c r="T43" i="36"/>
  <c r="S43" i="36"/>
  <c r="L43" i="36"/>
  <c r="K43" i="36"/>
  <c r="T42" i="36"/>
  <c r="S42" i="36"/>
  <c r="L42" i="36"/>
  <c r="K42" i="36"/>
  <c r="T41" i="36"/>
  <c r="S41" i="36"/>
  <c r="L41" i="36"/>
  <c r="K41" i="36"/>
  <c r="R40" i="36"/>
  <c r="Q40" i="36"/>
  <c r="P40" i="36"/>
  <c r="O40" i="36"/>
  <c r="N40" i="36"/>
  <c r="M40" i="36"/>
  <c r="J40" i="36"/>
  <c r="I40" i="36"/>
  <c r="H40" i="36"/>
  <c r="G40" i="36"/>
  <c r="F40" i="36"/>
  <c r="E40" i="36"/>
  <c r="T39" i="36"/>
  <c r="S39" i="36"/>
  <c r="L39" i="36"/>
  <c r="K39" i="36"/>
  <c r="T38" i="36"/>
  <c r="S38" i="36"/>
  <c r="L38" i="36"/>
  <c r="K38" i="36"/>
  <c r="T37" i="36"/>
  <c r="S37" i="36"/>
  <c r="L37" i="36"/>
  <c r="K37" i="36"/>
  <c r="T36" i="36"/>
  <c r="S36" i="36"/>
  <c r="L36" i="36"/>
  <c r="K36" i="36"/>
  <c r="R35" i="36"/>
  <c r="Q35" i="36"/>
  <c r="P35" i="36"/>
  <c r="O35" i="36"/>
  <c r="N35" i="36"/>
  <c r="M35" i="36"/>
  <c r="S35" i="36" s="1"/>
  <c r="J35" i="36"/>
  <c r="I35" i="36"/>
  <c r="H35" i="36"/>
  <c r="G35" i="36"/>
  <c r="F35" i="36"/>
  <c r="L35" i="36" s="1"/>
  <c r="E35" i="36"/>
  <c r="T34" i="36"/>
  <c r="S34" i="36"/>
  <c r="L34" i="36"/>
  <c r="K34" i="36"/>
  <c r="T33" i="36"/>
  <c r="S33" i="36"/>
  <c r="L33" i="36"/>
  <c r="K33" i="36"/>
  <c r="T32" i="36"/>
  <c r="S32" i="36"/>
  <c r="L32" i="36"/>
  <c r="K32" i="36"/>
  <c r="T31" i="36"/>
  <c r="S31" i="36"/>
  <c r="L31" i="36"/>
  <c r="K31" i="36"/>
  <c r="T30" i="36"/>
  <c r="S30" i="36"/>
  <c r="L30" i="36"/>
  <c r="K30" i="36"/>
  <c r="R29" i="36"/>
  <c r="Q29" i="36"/>
  <c r="P29" i="36"/>
  <c r="O29" i="36"/>
  <c r="N29" i="36"/>
  <c r="M29" i="36"/>
  <c r="S29" i="36" s="1"/>
  <c r="J29" i="36"/>
  <c r="I29" i="36"/>
  <c r="H29" i="36"/>
  <c r="G29" i="36"/>
  <c r="F29" i="36"/>
  <c r="L29" i="36" s="1"/>
  <c r="E29" i="36"/>
  <c r="T28" i="36"/>
  <c r="S28" i="36"/>
  <c r="L28" i="36"/>
  <c r="K28" i="36"/>
  <c r="T27" i="36"/>
  <c r="S27" i="36"/>
  <c r="L27" i="36"/>
  <c r="K27" i="36"/>
  <c r="T26" i="36"/>
  <c r="S26" i="36"/>
  <c r="L26" i="36"/>
  <c r="K26" i="36"/>
  <c r="R25" i="36"/>
  <c r="Q25" i="36"/>
  <c r="P25" i="36"/>
  <c r="O25" i="36"/>
  <c r="N25" i="36"/>
  <c r="M25" i="36"/>
  <c r="S25" i="36" s="1"/>
  <c r="J25" i="36"/>
  <c r="I25" i="36"/>
  <c r="H25" i="36"/>
  <c r="G25" i="36"/>
  <c r="F25" i="36"/>
  <c r="L25" i="36" s="1"/>
  <c r="E25" i="36"/>
  <c r="T24" i="36"/>
  <c r="S24" i="36"/>
  <c r="L24" i="36"/>
  <c r="K24" i="36"/>
  <c r="T23" i="36"/>
  <c r="S23" i="36"/>
  <c r="L23" i="36"/>
  <c r="K23" i="36"/>
  <c r="T22" i="36"/>
  <c r="S22" i="36"/>
  <c r="L22" i="36"/>
  <c r="K22" i="36"/>
  <c r="T21" i="36"/>
  <c r="S21" i="36"/>
  <c r="L21" i="36"/>
  <c r="K21" i="36"/>
  <c r="T20" i="36"/>
  <c r="S20" i="36"/>
  <c r="L20" i="36"/>
  <c r="K20" i="36"/>
  <c r="R19" i="36"/>
  <c r="Q19" i="36"/>
  <c r="P19" i="36"/>
  <c r="O19" i="36"/>
  <c r="N19" i="36"/>
  <c r="M19" i="36"/>
  <c r="S19" i="36" s="1"/>
  <c r="J19" i="36"/>
  <c r="I19" i="36"/>
  <c r="H19" i="36"/>
  <c r="G19" i="36"/>
  <c r="F19" i="36"/>
  <c r="L19" i="36" s="1"/>
  <c r="E19" i="36"/>
  <c r="T18" i="36"/>
  <c r="S18" i="36"/>
  <c r="L18" i="36"/>
  <c r="K18" i="36"/>
  <c r="T17" i="36"/>
  <c r="S17" i="36"/>
  <c r="L17" i="36"/>
  <c r="K17" i="36"/>
  <c r="R16" i="36"/>
  <c r="Q16" i="36"/>
  <c r="P16" i="36"/>
  <c r="O16" i="36"/>
  <c r="N16" i="36"/>
  <c r="M16" i="36"/>
  <c r="S16" i="36" s="1"/>
  <c r="J16" i="36"/>
  <c r="I16" i="36"/>
  <c r="H16" i="36"/>
  <c r="G16" i="36"/>
  <c r="F16" i="36"/>
  <c r="L16" i="36" s="1"/>
  <c r="E16" i="36"/>
  <c r="T15" i="36"/>
  <c r="S15" i="36"/>
  <c r="L15" i="36"/>
  <c r="K15" i="36"/>
  <c r="T14" i="36"/>
  <c r="S14" i="36"/>
  <c r="L14" i="36"/>
  <c r="K14" i="36"/>
  <c r="T13" i="36"/>
  <c r="S13" i="36"/>
  <c r="L13" i="36"/>
  <c r="K13" i="36"/>
  <c r="R12" i="36"/>
  <c r="R45" i="36" s="1"/>
  <c r="Q12" i="36"/>
  <c r="P12" i="36"/>
  <c r="P45" i="36" s="1"/>
  <c r="O12" i="36"/>
  <c r="N12" i="36"/>
  <c r="N45" i="36" s="1"/>
  <c r="M12" i="36"/>
  <c r="J12" i="36"/>
  <c r="J45" i="36" s="1"/>
  <c r="I12" i="36"/>
  <c r="H12" i="36"/>
  <c r="G12" i="36"/>
  <c r="F12" i="36"/>
  <c r="L12" i="36" s="1"/>
  <c r="E12" i="36"/>
  <c r="T11" i="36"/>
  <c r="S11" i="36"/>
  <c r="L11" i="36"/>
  <c r="K11" i="36"/>
  <c r="F49" i="16"/>
  <c r="E49" i="16"/>
  <c r="E15" i="12"/>
  <c r="F15" i="12"/>
  <c r="L17" i="8"/>
  <c r="L15" i="8"/>
  <c r="L14" i="8"/>
  <c r="L13" i="8"/>
  <c r="F629" i="15"/>
  <c r="E629" i="15"/>
  <c r="F608" i="15"/>
  <c r="E608" i="15"/>
  <c r="F587" i="15"/>
  <c r="E587" i="15"/>
  <c r="E586" i="15" s="1"/>
  <c r="F586" i="15"/>
  <c r="F565" i="15"/>
  <c r="E565" i="15"/>
  <c r="F544" i="15"/>
  <c r="E544" i="15"/>
  <c r="F523" i="15"/>
  <c r="E523" i="15"/>
  <c r="F502" i="15"/>
  <c r="E502" i="15"/>
  <c r="F481" i="15"/>
  <c r="E481" i="15"/>
  <c r="F460" i="15"/>
  <c r="F459" i="15" s="1"/>
  <c r="E460" i="15"/>
  <c r="E459" i="15"/>
  <c r="F438" i="15"/>
  <c r="E438" i="15"/>
  <c r="F417" i="15"/>
  <c r="E417" i="15"/>
  <c r="F396" i="15"/>
  <c r="E396" i="15"/>
  <c r="F375" i="15"/>
  <c r="E375" i="15"/>
  <c r="F354" i="15"/>
  <c r="E354" i="15"/>
  <c r="F333" i="15"/>
  <c r="E333" i="15"/>
  <c r="E332" i="15" s="1"/>
  <c r="F332" i="15"/>
  <c r="E502" i="3"/>
  <c r="E737" i="3"/>
  <c r="F9" i="3"/>
  <c r="E9" i="3"/>
  <c r="J10" i="24"/>
  <c r="J18" i="24"/>
  <c r="E17" i="28"/>
  <c r="E12" i="21"/>
  <c r="E66" i="16" s="1"/>
  <c r="F12" i="21"/>
  <c r="F66" i="16" s="1"/>
  <c r="N285" i="13"/>
  <c r="N284" i="13"/>
  <c r="N283" i="13"/>
  <c r="N282" i="13"/>
  <c r="N281" i="13"/>
  <c r="N280" i="13"/>
  <c r="N279" i="13"/>
  <c r="N278" i="13"/>
  <c r="N277" i="13"/>
  <c r="N276" i="13"/>
  <c r="I285" i="13"/>
  <c r="I284" i="13"/>
  <c r="I283" i="13"/>
  <c r="I282" i="13"/>
  <c r="I281" i="13"/>
  <c r="I280" i="13"/>
  <c r="I279" i="13"/>
  <c r="I278" i="13"/>
  <c r="I277" i="13"/>
  <c r="I276" i="13"/>
  <c r="E84" i="10"/>
  <c r="F84" i="10"/>
  <c r="E80" i="10"/>
  <c r="F52" i="10"/>
  <c r="E52" i="10"/>
  <c r="F31" i="10"/>
  <c r="E31" i="10"/>
  <c r="E10" i="10"/>
  <c r="F10" i="10"/>
  <c r="F73" i="10" s="1"/>
  <c r="F23" i="2" s="1"/>
  <c r="F379" i="30"/>
  <c r="E379" i="30"/>
  <c r="F358" i="30"/>
  <c r="E358" i="30"/>
  <c r="F357" i="30"/>
  <c r="E357" i="30"/>
  <c r="F336" i="30"/>
  <c r="E336" i="30"/>
  <c r="F315" i="30"/>
  <c r="F314" i="30" s="1"/>
  <c r="E315" i="30"/>
  <c r="E314" i="30" s="1"/>
  <c r="F293" i="30"/>
  <c r="E293" i="30"/>
  <c r="F272" i="30"/>
  <c r="E272" i="30"/>
  <c r="F271" i="30"/>
  <c r="E271" i="30"/>
  <c r="F250" i="30"/>
  <c r="E250" i="30"/>
  <c r="F229" i="30"/>
  <c r="F228" i="30" s="1"/>
  <c r="E229" i="30"/>
  <c r="E228" i="30" s="1"/>
  <c r="E400" i="30" s="1"/>
  <c r="E57" i="16" s="1"/>
  <c r="F207" i="30"/>
  <c r="E207" i="30"/>
  <c r="E139" i="30"/>
  <c r="F139" i="30"/>
  <c r="E118" i="30"/>
  <c r="E117" i="30" s="1"/>
  <c r="F118" i="30"/>
  <c r="F117" i="30" s="1"/>
  <c r="E53" i="30"/>
  <c r="F53" i="30"/>
  <c r="E96" i="30"/>
  <c r="F96" i="30"/>
  <c r="F758" i="5"/>
  <c r="E758" i="5"/>
  <c r="F737" i="5"/>
  <c r="E737" i="5"/>
  <c r="F736" i="5"/>
  <c r="E736" i="5"/>
  <c r="F715" i="5"/>
  <c r="E715" i="5"/>
  <c r="F694" i="5"/>
  <c r="E694" i="5"/>
  <c r="F673" i="5"/>
  <c r="E673" i="5"/>
  <c r="F652" i="5"/>
  <c r="E652" i="5"/>
  <c r="F631" i="5"/>
  <c r="E631" i="5"/>
  <c r="F610" i="5"/>
  <c r="F609" i="5" s="1"/>
  <c r="E610" i="5"/>
  <c r="E609" i="5" s="1"/>
  <c r="F588" i="5"/>
  <c r="E588" i="5"/>
  <c r="F567" i="5"/>
  <c r="E567" i="5"/>
  <c r="F546" i="5"/>
  <c r="E546" i="5"/>
  <c r="F525" i="5"/>
  <c r="E525" i="5"/>
  <c r="F504" i="5"/>
  <c r="E504" i="5"/>
  <c r="F483" i="5"/>
  <c r="E483" i="5"/>
  <c r="F482" i="5"/>
  <c r="E482" i="5"/>
  <c r="F461" i="5"/>
  <c r="E461" i="5"/>
  <c r="F440" i="5"/>
  <c r="F439" i="5" s="1"/>
  <c r="E440" i="5"/>
  <c r="E439" i="5" s="1"/>
  <c r="F372" i="5"/>
  <c r="E372" i="5"/>
  <c r="F351" i="5"/>
  <c r="E351" i="5"/>
  <c r="F330" i="5"/>
  <c r="E330" i="5"/>
  <c r="F309" i="5"/>
  <c r="E309" i="5"/>
  <c r="F288" i="5"/>
  <c r="E288" i="5"/>
  <c r="F267" i="5"/>
  <c r="E267" i="5"/>
  <c r="F266" i="5"/>
  <c r="E266" i="5"/>
  <c r="F245" i="5"/>
  <c r="E245" i="5"/>
  <c r="F224" i="5"/>
  <c r="E224" i="5"/>
  <c r="F203" i="5"/>
  <c r="E203" i="5"/>
  <c r="F182" i="5"/>
  <c r="E182" i="5"/>
  <c r="F161" i="5"/>
  <c r="E161" i="5"/>
  <c r="F140" i="5"/>
  <c r="F139" i="5" s="1"/>
  <c r="E140" i="5"/>
  <c r="E139" i="5" s="1"/>
  <c r="E118" i="5"/>
  <c r="F118" i="5"/>
  <c r="F205" i="29"/>
  <c r="E205" i="29"/>
  <c r="F182" i="30"/>
  <c r="E182" i="30"/>
  <c r="F161" i="30"/>
  <c r="F160" i="30" s="1"/>
  <c r="E161" i="30"/>
  <c r="E160" i="30" s="1"/>
  <c r="F75" i="30"/>
  <c r="E75" i="30"/>
  <c r="E74" i="30" s="1"/>
  <c r="F682" i="17"/>
  <c r="E682" i="17"/>
  <c r="F661" i="17"/>
  <c r="E661" i="17"/>
  <c r="F660" i="17"/>
  <c r="E660" i="17"/>
  <c r="F639" i="17"/>
  <c r="E639" i="17"/>
  <c r="F618" i="17"/>
  <c r="F617" i="17" s="1"/>
  <c r="E618" i="17"/>
  <c r="E617" i="17" s="1"/>
  <c r="F596" i="17"/>
  <c r="E596" i="17"/>
  <c r="F575" i="17"/>
  <c r="E575" i="17"/>
  <c r="F574" i="17"/>
  <c r="E574" i="17"/>
  <c r="F553" i="17"/>
  <c r="E553" i="17"/>
  <c r="F532" i="17"/>
  <c r="F531" i="17" s="1"/>
  <c r="E532" i="17"/>
  <c r="E531" i="17" s="1"/>
  <c r="F508" i="17"/>
  <c r="E508" i="17"/>
  <c r="F487" i="17"/>
  <c r="F486" i="17" s="1"/>
  <c r="E487" i="17"/>
  <c r="E486" i="17" s="1"/>
  <c r="F465" i="17"/>
  <c r="E465" i="17"/>
  <c r="F444" i="17"/>
  <c r="E444" i="17"/>
  <c r="F443" i="17"/>
  <c r="E443" i="17"/>
  <c r="F422" i="17"/>
  <c r="E422" i="17"/>
  <c r="F401" i="17"/>
  <c r="F400" i="17" s="1"/>
  <c r="E401" i="17"/>
  <c r="E400" i="17" s="1"/>
  <c r="F379" i="17"/>
  <c r="E379" i="17"/>
  <c r="F358" i="17"/>
  <c r="E358" i="17"/>
  <c r="F357" i="17"/>
  <c r="E357" i="17"/>
  <c r="F334" i="17"/>
  <c r="E334" i="17"/>
  <c r="F313" i="17"/>
  <c r="E313" i="17"/>
  <c r="F312" i="17"/>
  <c r="E312" i="17"/>
  <c r="F291" i="17"/>
  <c r="E291" i="17"/>
  <c r="F270" i="17"/>
  <c r="F269" i="17" s="1"/>
  <c r="E270" i="17"/>
  <c r="E269" i="17" s="1"/>
  <c r="F248" i="17"/>
  <c r="E248" i="17"/>
  <c r="F227" i="17"/>
  <c r="F226" i="17" s="1"/>
  <c r="E227" i="17"/>
  <c r="E226" i="17"/>
  <c r="F205" i="17"/>
  <c r="E205" i="17"/>
  <c r="F184" i="17"/>
  <c r="E184" i="17"/>
  <c r="E183" i="17" s="1"/>
  <c r="F183" i="17"/>
  <c r="E10" i="13"/>
  <c r="E31" i="13"/>
  <c r="E52" i="13"/>
  <c r="E73" i="13"/>
  <c r="E94" i="13"/>
  <c r="E115" i="13"/>
  <c r="E137" i="13"/>
  <c r="E158" i="13"/>
  <c r="E179" i="13"/>
  <c r="E200" i="13"/>
  <c r="E221" i="13"/>
  <c r="E242" i="13"/>
  <c r="E264" i="13"/>
  <c r="E275" i="13"/>
  <c r="M264" i="13"/>
  <c r="L264" i="13"/>
  <c r="K264" i="13"/>
  <c r="J264" i="13"/>
  <c r="H264" i="13"/>
  <c r="G264" i="13"/>
  <c r="F264" i="13"/>
  <c r="N274" i="13"/>
  <c r="N273" i="13"/>
  <c r="N272" i="13"/>
  <c r="N271" i="13"/>
  <c r="N270" i="13"/>
  <c r="N269" i="13"/>
  <c r="N268" i="13"/>
  <c r="N267" i="13"/>
  <c r="N266" i="13"/>
  <c r="N265" i="13"/>
  <c r="I274" i="13"/>
  <c r="I273" i="13"/>
  <c r="I272" i="13"/>
  <c r="I271" i="13"/>
  <c r="I270" i="13"/>
  <c r="I269" i="13"/>
  <c r="I268" i="13"/>
  <c r="I267" i="13"/>
  <c r="I266" i="13"/>
  <c r="I265" i="13"/>
  <c r="M242" i="13"/>
  <c r="L242" i="13"/>
  <c r="K242" i="13"/>
  <c r="J242" i="13"/>
  <c r="H242" i="13"/>
  <c r="G242" i="13"/>
  <c r="F242" i="13"/>
  <c r="N241" i="13"/>
  <c r="I241" i="13"/>
  <c r="N240" i="13"/>
  <c r="I240" i="13"/>
  <c r="N239" i="13"/>
  <c r="I239" i="13"/>
  <c r="N238" i="13"/>
  <c r="I238" i="13"/>
  <c r="N237" i="13"/>
  <c r="I237" i="13"/>
  <c r="N236" i="13"/>
  <c r="I236" i="13"/>
  <c r="N235" i="13"/>
  <c r="I235" i="13"/>
  <c r="N234" i="13"/>
  <c r="I234" i="13"/>
  <c r="N233" i="13"/>
  <c r="I233" i="13"/>
  <c r="N232" i="13"/>
  <c r="I232" i="13"/>
  <c r="N231" i="13"/>
  <c r="I231" i="13"/>
  <c r="N230" i="13"/>
  <c r="I230" i="13"/>
  <c r="N229" i="13"/>
  <c r="I229" i="13"/>
  <c r="N228" i="13"/>
  <c r="I228" i="13"/>
  <c r="N227" i="13"/>
  <c r="I227" i="13"/>
  <c r="N226" i="13"/>
  <c r="I226" i="13"/>
  <c r="N225" i="13"/>
  <c r="I225" i="13"/>
  <c r="N224" i="13"/>
  <c r="I224" i="13"/>
  <c r="N223" i="13"/>
  <c r="I223" i="13"/>
  <c r="N222" i="13"/>
  <c r="I222" i="13"/>
  <c r="M221" i="13"/>
  <c r="L221" i="13"/>
  <c r="K221" i="13"/>
  <c r="J221" i="13"/>
  <c r="H221" i="13"/>
  <c r="G221" i="13"/>
  <c r="F221" i="13"/>
  <c r="N220" i="13"/>
  <c r="I220" i="13"/>
  <c r="N219" i="13"/>
  <c r="I219" i="13"/>
  <c r="N218" i="13"/>
  <c r="I218" i="13"/>
  <c r="N217" i="13"/>
  <c r="I217" i="13"/>
  <c r="N216" i="13"/>
  <c r="I216" i="13"/>
  <c r="N215" i="13"/>
  <c r="I215" i="13"/>
  <c r="N214" i="13"/>
  <c r="I214" i="13"/>
  <c r="N213" i="13"/>
  <c r="I213" i="13"/>
  <c r="N212" i="13"/>
  <c r="I212" i="13"/>
  <c r="N211" i="13"/>
  <c r="I211" i="13"/>
  <c r="N210" i="13"/>
  <c r="I210" i="13"/>
  <c r="N209" i="13"/>
  <c r="I209" i="13"/>
  <c r="N208" i="13"/>
  <c r="I208" i="13"/>
  <c r="N207" i="13"/>
  <c r="I207" i="13"/>
  <c r="N206" i="13"/>
  <c r="I206" i="13"/>
  <c r="N205" i="13"/>
  <c r="I205" i="13"/>
  <c r="N204" i="13"/>
  <c r="I204" i="13"/>
  <c r="N203" i="13"/>
  <c r="I203" i="13"/>
  <c r="N202" i="13"/>
  <c r="I202" i="13"/>
  <c r="N201" i="13"/>
  <c r="I201" i="13"/>
  <c r="M200" i="13"/>
  <c r="L200" i="13"/>
  <c r="K200" i="13"/>
  <c r="J200" i="13"/>
  <c r="H200" i="13"/>
  <c r="G200" i="13"/>
  <c r="F200" i="13"/>
  <c r="N199" i="13"/>
  <c r="I199" i="13"/>
  <c r="N198" i="13"/>
  <c r="I198" i="13"/>
  <c r="N197" i="13"/>
  <c r="I197" i="13"/>
  <c r="N196" i="13"/>
  <c r="I196" i="13"/>
  <c r="N195" i="13"/>
  <c r="I195" i="13"/>
  <c r="N194" i="13"/>
  <c r="I194" i="13"/>
  <c r="N193" i="13"/>
  <c r="I193" i="13"/>
  <c r="N192" i="13"/>
  <c r="I192" i="13"/>
  <c r="N191" i="13"/>
  <c r="I191" i="13"/>
  <c r="N190" i="13"/>
  <c r="I190" i="13"/>
  <c r="N189" i="13"/>
  <c r="I189" i="13"/>
  <c r="N188" i="13"/>
  <c r="I188" i="13"/>
  <c r="N187" i="13"/>
  <c r="I187" i="13"/>
  <c r="N186" i="13"/>
  <c r="I186" i="13"/>
  <c r="N185" i="13"/>
  <c r="I185" i="13"/>
  <c r="N184" i="13"/>
  <c r="I184" i="13"/>
  <c r="N183" i="13"/>
  <c r="I183" i="13"/>
  <c r="N182" i="13"/>
  <c r="I182" i="13"/>
  <c r="N181" i="13"/>
  <c r="I181" i="13"/>
  <c r="N180" i="13"/>
  <c r="I180" i="13"/>
  <c r="M179" i="13"/>
  <c r="L179" i="13"/>
  <c r="K179" i="13"/>
  <c r="J179" i="13"/>
  <c r="H179" i="13"/>
  <c r="G179" i="13"/>
  <c r="F179" i="13"/>
  <c r="N178" i="13"/>
  <c r="I178" i="13"/>
  <c r="N177" i="13"/>
  <c r="I177" i="13"/>
  <c r="N176" i="13"/>
  <c r="I176" i="13"/>
  <c r="N175" i="13"/>
  <c r="I175" i="13"/>
  <c r="N174" i="13"/>
  <c r="I174" i="13"/>
  <c r="N173" i="13"/>
  <c r="I173" i="13"/>
  <c r="N172" i="13"/>
  <c r="I172" i="13"/>
  <c r="N171" i="13"/>
  <c r="I171" i="13"/>
  <c r="N170" i="13"/>
  <c r="I170" i="13"/>
  <c r="N169" i="13"/>
  <c r="I169" i="13"/>
  <c r="N168" i="13"/>
  <c r="I168" i="13"/>
  <c r="N167" i="13"/>
  <c r="I167" i="13"/>
  <c r="N166" i="13"/>
  <c r="I166" i="13"/>
  <c r="N165" i="13"/>
  <c r="I165" i="13"/>
  <c r="N164" i="13"/>
  <c r="I164" i="13"/>
  <c r="N163" i="13"/>
  <c r="I163" i="13"/>
  <c r="N162" i="13"/>
  <c r="I162" i="13"/>
  <c r="N161" i="13"/>
  <c r="I161" i="13"/>
  <c r="N160" i="13"/>
  <c r="I160" i="13"/>
  <c r="N159" i="13"/>
  <c r="I159" i="13"/>
  <c r="M158" i="13"/>
  <c r="L158" i="13"/>
  <c r="K158" i="13"/>
  <c r="J158" i="13"/>
  <c r="H158" i="13"/>
  <c r="G158" i="13"/>
  <c r="F158" i="13"/>
  <c r="N157" i="13"/>
  <c r="I157" i="13"/>
  <c r="N156" i="13"/>
  <c r="I156" i="13"/>
  <c r="N155" i="13"/>
  <c r="I155" i="13"/>
  <c r="N154" i="13"/>
  <c r="I154" i="13"/>
  <c r="N153" i="13"/>
  <c r="I153" i="13"/>
  <c r="N152" i="13"/>
  <c r="I152" i="13"/>
  <c r="N151" i="13"/>
  <c r="I151" i="13"/>
  <c r="N150" i="13"/>
  <c r="I150" i="13"/>
  <c r="N149" i="13"/>
  <c r="I149" i="13"/>
  <c r="N148" i="13"/>
  <c r="I148" i="13"/>
  <c r="N147" i="13"/>
  <c r="I147" i="13"/>
  <c r="N146" i="13"/>
  <c r="I146" i="13"/>
  <c r="N145" i="13"/>
  <c r="I145" i="13"/>
  <c r="N144" i="13"/>
  <c r="I144" i="13"/>
  <c r="N143" i="13"/>
  <c r="I143" i="13"/>
  <c r="N142" i="13"/>
  <c r="I142" i="13"/>
  <c r="N141" i="13"/>
  <c r="I141" i="13"/>
  <c r="N140" i="13"/>
  <c r="I140" i="13"/>
  <c r="N139" i="13"/>
  <c r="I139" i="13"/>
  <c r="N138" i="13"/>
  <c r="I138" i="13"/>
  <c r="M137" i="13"/>
  <c r="M10" i="13"/>
  <c r="M31" i="13"/>
  <c r="M52" i="13"/>
  <c r="M73" i="13"/>
  <c r="M94" i="13"/>
  <c r="M115" i="13"/>
  <c r="M275" i="13"/>
  <c r="M263" i="13" s="1"/>
  <c r="L137" i="13"/>
  <c r="L136" i="13" s="1"/>
  <c r="L10" i="13"/>
  <c r="L31" i="13"/>
  <c r="L52" i="13"/>
  <c r="L73" i="13"/>
  <c r="L94" i="13"/>
  <c r="L115" i="13"/>
  <c r="L275" i="13"/>
  <c r="L263" i="13" s="1"/>
  <c r="K137" i="13"/>
  <c r="K136" i="13" s="1"/>
  <c r="K10" i="13"/>
  <c r="K31" i="13"/>
  <c r="K52" i="13"/>
  <c r="K73" i="13"/>
  <c r="K94" i="13"/>
  <c r="K115" i="13"/>
  <c r="K275" i="13"/>
  <c r="K263" i="13" s="1"/>
  <c r="J137" i="13"/>
  <c r="H137" i="13"/>
  <c r="G137" i="13"/>
  <c r="F137" i="13"/>
  <c r="N11" i="13"/>
  <c r="N12" i="13"/>
  <c r="N13" i="13"/>
  <c r="N14" i="13"/>
  <c r="N15" i="13"/>
  <c r="N16" i="13"/>
  <c r="N17" i="13"/>
  <c r="N18" i="13"/>
  <c r="N19" i="13"/>
  <c r="N20" i="13"/>
  <c r="N21" i="13"/>
  <c r="N22" i="13"/>
  <c r="N23" i="13"/>
  <c r="N24" i="13"/>
  <c r="N25" i="13"/>
  <c r="N26" i="13"/>
  <c r="N27" i="13"/>
  <c r="N28" i="13"/>
  <c r="N29" i="13"/>
  <c r="N30" i="13"/>
  <c r="N32" i="13"/>
  <c r="N33" i="13"/>
  <c r="N34" i="13"/>
  <c r="N35" i="13"/>
  <c r="N36" i="13"/>
  <c r="N37" i="13"/>
  <c r="N38" i="13"/>
  <c r="N39" i="13"/>
  <c r="N40" i="13"/>
  <c r="N41" i="13"/>
  <c r="N42" i="13"/>
  <c r="N43" i="13"/>
  <c r="N44" i="13"/>
  <c r="N45" i="13"/>
  <c r="N46" i="13"/>
  <c r="N47" i="13"/>
  <c r="N48" i="13"/>
  <c r="N49" i="13"/>
  <c r="N50" i="13"/>
  <c r="N51" i="13"/>
  <c r="N53" i="13"/>
  <c r="N54" i="13"/>
  <c r="N55" i="13"/>
  <c r="N56" i="13"/>
  <c r="N57" i="13"/>
  <c r="N58" i="13"/>
  <c r="N59" i="13"/>
  <c r="N60" i="13"/>
  <c r="N61" i="13"/>
  <c r="N62" i="13"/>
  <c r="N63" i="13"/>
  <c r="N64" i="13"/>
  <c r="N65" i="13"/>
  <c r="N66" i="13"/>
  <c r="N67" i="13"/>
  <c r="N68" i="13"/>
  <c r="N69" i="13"/>
  <c r="N70" i="13"/>
  <c r="N71" i="13"/>
  <c r="N72" i="13"/>
  <c r="N74" i="13"/>
  <c r="N75" i="13"/>
  <c r="N76" i="13"/>
  <c r="N77" i="13"/>
  <c r="N78" i="13"/>
  <c r="N79" i="13"/>
  <c r="N80" i="13"/>
  <c r="N81" i="13"/>
  <c r="N82" i="13"/>
  <c r="N83" i="13"/>
  <c r="N84" i="13"/>
  <c r="N85" i="13"/>
  <c r="N86" i="13"/>
  <c r="N87" i="13"/>
  <c r="N88" i="13"/>
  <c r="N89" i="13"/>
  <c r="N90" i="13"/>
  <c r="N91" i="13"/>
  <c r="N92" i="13"/>
  <c r="N93" i="13"/>
  <c r="N95" i="13"/>
  <c r="N96" i="13"/>
  <c r="N97" i="13"/>
  <c r="N98" i="13"/>
  <c r="N99" i="13"/>
  <c r="N100" i="13"/>
  <c r="N101" i="13"/>
  <c r="N102" i="13"/>
  <c r="N103" i="13"/>
  <c r="N104" i="13"/>
  <c r="N105" i="13"/>
  <c r="N106" i="13"/>
  <c r="N107" i="13"/>
  <c r="N108" i="13"/>
  <c r="N109" i="13"/>
  <c r="N110" i="13"/>
  <c r="N111" i="13"/>
  <c r="N112" i="13"/>
  <c r="N113" i="13"/>
  <c r="N114" i="13"/>
  <c r="I11" i="13"/>
  <c r="I12" i="13"/>
  <c r="I13" i="13"/>
  <c r="I14" i="13"/>
  <c r="I15" i="13"/>
  <c r="I16" i="13"/>
  <c r="I17" i="13"/>
  <c r="I18" i="13"/>
  <c r="I19" i="13"/>
  <c r="I20" i="13"/>
  <c r="I21" i="13"/>
  <c r="I22" i="13"/>
  <c r="I23" i="13"/>
  <c r="I24" i="13"/>
  <c r="I25" i="13"/>
  <c r="I26" i="13"/>
  <c r="I27" i="13"/>
  <c r="I28" i="13"/>
  <c r="I29" i="13"/>
  <c r="I30" i="13"/>
  <c r="I32" i="13"/>
  <c r="I33" i="13"/>
  <c r="I34" i="13"/>
  <c r="I35" i="13"/>
  <c r="I36" i="13"/>
  <c r="I37" i="13"/>
  <c r="I38" i="13"/>
  <c r="I39" i="13"/>
  <c r="I40" i="13"/>
  <c r="I41" i="13"/>
  <c r="I42" i="13"/>
  <c r="I43" i="13"/>
  <c r="I44" i="13"/>
  <c r="I45" i="13"/>
  <c r="I46" i="13"/>
  <c r="I47" i="13"/>
  <c r="I48" i="13"/>
  <c r="I49" i="13"/>
  <c r="I50" i="13"/>
  <c r="I51" i="13"/>
  <c r="I53" i="13"/>
  <c r="I54" i="13"/>
  <c r="I55" i="13"/>
  <c r="I56" i="13"/>
  <c r="I57" i="13"/>
  <c r="I58" i="13"/>
  <c r="I59" i="13"/>
  <c r="I60" i="13"/>
  <c r="I61" i="13"/>
  <c r="I62" i="13"/>
  <c r="I63" i="13"/>
  <c r="I64" i="13"/>
  <c r="I65" i="13"/>
  <c r="I66" i="13"/>
  <c r="I67" i="13"/>
  <c r="I68" i="13"/>
  <c r="I69" i="13"/>
  <c r="I70" i="13"/>
  <c r="I71" i="13"/>
  <c r="I72" i="13"/>
  <c r="I74" i="13"/>
  <c r="I75" i="13"/>
  <c r="I76" i="13"/>
  <c r="I77" i="13"/>
  <c r="I78" i="13"/>
  <c r="I79" i="13"/>
  <c r="I80" i="13"/>
  <c r="I81" i="13"/>
  <c r="I82" i="13"/>
  <c r="I83" i="13"/>
  <c r="I84" i="13"/>
  <c r="I85" i="13"/>
  <c r="I86" i="13"/>
  <c r="I87" i="13"/>
  <c r="I88" i="13"/>
  <c r="I89" i="13"/>
  <c r="I90" i="13"/>
  <c r="I91" i="13"/>
  <c r="I92" i="13"/>
  <c r="I93" i="13"/>
  <c r="I95" i="13"/>
  <c r="I96" i="13"/>
  <c r="I97" i="13"/>
  <c r="I98" i="13"/>
  <c r="I99" i="13"/>
  <c r="I100" i="13"/>
  <c r="I101" i="13"/>
  <c r="I102" i="13"/>
  <c r="I103" i="13"/>
  <c r="I104" i="13"/>
  <c r="I105" i="13"/>
  <c r="I106" i="13"/>
  <c r="I107" i="13"/>
  <c r="I108" i="13"/>
  <c r="I109" i="13"/>
  <c r="I110" i="13"/>
  <c r="I111" i="13"/>
  <c r="I112" i="13"/>
  <c r="I113" i="13"/>
  <c r="I114" i="13"/>
  <c r="F10" i="13"/>
  <c r="G10" i="13"/>
  <c r="H10" i="13"/>
  <c r="J10" i="13"/>
  <c r="F925" i="6"/>
  <c r="E925" i="6"/>
  <c r="F904" i="6"/>
  <c r="E904" i="6"/>
  <c r="F883" i="6"/>
  <c r="F882" i="6" s="1"/>
  <c r="E883" i="6"/>
  <c r="E882" i="6"/>
  <c r="F861" i="6"/>
  <c r="E861" i="6"/>
  <c r="F840" i="6"/>
  <c r="E840" i="6"/>
  <c r="F819" i="6"/>
  <c r="E819" i="6"/>
  <c r="F798" i="6"/>
  <c r="E798" i="6"/>
  <c r="F777" i="6"/>
  <c r="E777" i="6"/>
  <c r="F756" i="6"/>
  <c r="E756" i="6"/>
  <c r="E755" i="6" s="1"/>
  <c r="F755" i="6"/>
  <c r="F734" i="6"/>
  <c r="E734" i="6"/>
  <c r="F713" i="6"/>
  <c r="E713" i="6"/>
  <c r="F692" i="6"/>
  <c r="E692" i="6"/>
  <c r="F671" i="6"/>
  <c r="E671" i="6"/>
  <c r="F650" i="6"/>
  <c r="E650" i="6"/>
  <c r="F629" i="6"/>
  <c r="F628" i="6" s="1"/>
  <c r="F946" i="6" s="1"/>
  <c r="F19" i="2" s="1"/>
  <c r="E629" i="6"/>
  <c r="E628" i="6" s="1"/>
  <c r="E946" i="6" s="1"/>
  <c r="E19" i="2" s="1"/>
  <c r="F607" i="6"/>
  <c r="E607" i="6"/>
  <c r="F586" i="6"/>
  <c r="E586" i="6"/>
  <c r="F565" i="6"/>
  <c r="E565" i="6"/>
  <c r="F544" i="6"/>
  <c r="E544" i="6"/>
  <c r="F523" i="6"/>
  <c r="E523" i="6"/>
  <c r="F502" i="6"/>
  <c r="E502" i="6"/>
  <c r="F501" i="6"/>
  <c r="E501" i="6"/>
  <c r="F480" i="6"/>
  <c r="E480" i="6"/>
  <c r="F34" i="27"/>
  <c r="E34" i="27"/>
  <c r="F31" i="27"/>
  <c r="E31" i="27"/>
  <c r="F28" i="27"/>
  <c r="E28" i="27"/>
  <c r="F25" i="27"/>
  <c r="F35" i="27" s="1"/>
  <c r="F15" i="2" s="1"/>
  <c r="E25" i="27"/>
  <c r="F1012" i="4"/>
  <c r="E1012" i="4"/>
  <c r="F991" i="4"/>
  <c r="E991" i="4"/>
  <c r="F970" i="4"/>
  <c r="E970" i="4"/>
  <c r="F949" i="4"/>
  <c r="F948" i="4" s="1"/>
  <c r="E949" i="4"/>
  <c r="E948" i="4"/>
  <c r="F927" i="4"/>
  <c r="E927" i="4"/>
  <c r="F906" i="4"/>
  <c r="E906" i="4"/>
  <c r="F885" i="4"/>
  <c r="E885" i="4"/>
  <c r="F864" i="4"/>
  <c r="E864" i="4"/>
  <c r="E863" i="4" s="1"/>
  <c r="F863" i="4"/>
  <c r="F842" i="4"/>
  <c r="E842" i="4"/>
  <c r="F821" i="4"/>
  <c r="E821" i="4"/>
  <c r="F800" i="4"/>
  <c r="E800" i="4"/>
  <c r="F779" i="4"/>
  <c r="F778" i="4" s="1"/>
  <c r="E779" i="4"/>
  <c r="E778" i="4" s="1"/>
  <c r="F757" i="4"/>
  <c r="E757" i="4"/>
  <c r="F736" i="4"/>
  <c r="E736" i="4"/>
  <c r="F715" i="4"/>
  <c r="E715" i="4"/>
  <c r="F694" i="4"/>
  <c r="F693" i="4" s="1"/>
  <c r="E694" i="4"/>
  <c r="E693" i="4" s="1"/>
  <c r="F352" i="4"/>
  <c r="F373" i="4"/>
  <c r="F394" i="4"/>
  <c r="F415" i="4"/>
  <c r="F10" i="4"/>
  <c r="F31" i="4"/>
  <c r="F52" i="4"/>
  <c r="F73" i="4"/>
  <c r="F670" i="4"/>
  <c r="E670" i="4"/>
  <c r="F649" i="4"/>
  <c r="E649" i="4"/>
  <c r="F628" i="4"/>
  <c r="E628" i="4"/>
  <c r="F607" i="4"/>
  <c r="E607" i="4"/>
  <c r="E606" i="4" s="1"/>
  <c r="F606" i="4"/>
  <c r="F585" i="4"/>
  <c r="E585" i="4"/>
  <c r="F564" i="4"/>
  <c r="E564" i="4"/>
  <c r="F543" i="4"/>
  <c r="E543" i="4"/>
  <c r="F522" i="4"/>
  <c r="E522" i="4"/>
  <c r="F521" i="4"/>
  <c r="E521" i="4"/>
  <c r="F500" i="4"/>
  <c r="E500" i="4"/>
  <c r="F479" i="4"/>
  <c r="E479" i="4"/>
  <c r="F458" i="4"/>
  <c r="E458" i="4"/>
  <c r="F437" i="4"/>
  <c r="F436" i="4" s="1"/>
  <c r="E437" i="4"/>
  <c r="E436" i="4" s="1"/>
  <c r="E415" i="4"/>
  <c r="E394" i="4"/>
  <c r="E373" i="4"/>
  <c r="E352" i="4"/>
  <c r="F328" i="4"/>
  <c r="E328" i="4"/>
  <c r="F307" i="4"/>
  <c r="E307" i="4"/>
  <c r="F286" i="4"/>
  <c r="E286" i="4"/>
  <c r="F265" i="4"/>
  <c r="F264" i="4" s="1"/>
  <c r="E265" i="4"/>
  <c r="E264" i="4" s="1"/>
  <c r="F243" i="4"/>
  <c r="E243" i="4"/>
  <c r="F222" i="4"/>
  <c r="E222" i="4"/>
  <c r="F201" i="4"/>
  <c r="E201" i="4"/>
  <c r="F180" i="4"/>
  <c r="E180" i="4"/>
  <c r="F179" i="4"/>
  <c r="E179" i="4"/>
  <c r="F158" i="4"/>
  <c r="E158" i="4"/>
  <c r="F137" i="4"/>
  <c r="E137" i="4"/>
  <c r="F116" i="4"/>
  <c r="E116" i="4"/>
  <c r="F95" i="4"/>
  <c r="F94" i="4" s="1"/>
  <c r="E95" i="4"/>
  <c r="E94" i="4" s="1"/>
  <c r="F265" i="15"/>
  <c r="E265" i="15"/>
  <c r="F243" i="15"/>
  <c r="E243" i="15"/>
  <c r="F222" i="15"/>
  <c r="E222" i="15"/>
  <c r="F201" i="15"/>
  <c r="E201" i="15"/>
  <c r="F180" i="15"/>
  <c r="E180" i="15"/>
  <c r="F159" i="15"/>
  <c r="E159" i="15"/>
  <c r="F138" i="15"/>
  <c r="F137" i="15" s="1"/>
  <c r="E138" i="15"/>
  <c r="E137" i="15" s="1"/>
  <c r="F116" i="15"/>
  <c r="E116" i="15"/>
  <c r="F95" i="15"/>
  <c r="E95" i="15"/>
  <c r="F74" i="15"/>
  <c r="E74" i="15"/>
  <c r="F53" i="15"/>
  <c r="E53" i="15"/>
  <c r="F32" i="15"/>
  <c r="E32" i="15"/>
  <c r="F11" i="15"/>
  <c r="E11" i="15"/>
  <c r="F10" i="15"/>
  <c r="E10" i="15"/>
  <c r="F286" i="15"/>
  <c r="E286" i="15"/>
  <c r="J275" i="13"/>
  <c r="H275" i="13"/>
  <c r="G275" i="13"/>
  <c r="G263" i="13" s="1"/>
  <c r="F275" i="13"/>
  <c r="J94" i="13"/>
  <c r="H94" i="13"/>
  <c r="G94" i="13"/>
  <c r="F94" i="13"/>
  <c r="J73" i="13"/>
  <c r="H73" i="13"/>
  <c r="G73" i="13"/>
  <c r="F73" i="13"/>
  <c r="J52" i="13"/>
  <c r="H52" i="13"/>
  <c r="G52" i="13"/>
  <c r="F52" i="13"/>
  <c r="J31" i="13"/>
  <c r="H31" i="13"/>
  <c r="G31" i="13"/>
  <c r="F31" i="13"/>
  <c r="F434" i="6"/>
  <c r="E434" i="6"/>
  <c r="F349" i="6"/>
  <c r="E349" i="6"/>
  <c r="F328" i="6"/>
  <c r="E328" i="6"/>
  <c r="F307" i="6"/>
  <c r="E307" i="6"/>
  <c r="F286" i="6"/>
  <c r="E286" i="6"/>
  <c r="F222" i="6"/>
  <c r="E222" i="6"/>
  <c r="F201" i="6"/>
  <c r="E201" i="6"/>
  <c r="F180" i="6"/>
  <c r="E180" i="6"/>
  <c r="F159" i="6"/>
  <c r="E159" i="6"/>
  <c r="F116" i="6"/>
  <c r="E116" i="6"/>
  <c r="F74" i="6"/>
  <c r="E74" i="6"/>
  <c r="F53" i="6"/>
  <c r="E53" i="6"/>
  <c r="F95" i="6"/>
  <c r="E95" i="6"/>
  <c r="E31" i="4"/>
  <c r="E10" i="4"/>
  <c r="F1205" i="3"/>
  <c r="E1205" i="3"/>
  <c r="F1184" i="3"/>
  <c r="E1184" i="3"/>
  <c r="F1163" i="3"/>
  <c r="E1163" i="3"/>
  <c r="F1142" i="3"/>
  <c r="E1142" i="3"/>
  <c r="F1121" i="3"/>
  <c r="E1121" i="3"/>
  <c r="F1100" i="3"/>
  <c r="F1099" i="3" s="1"/>
  <c r="E1100" i="3"/>
  <c r="F1078" i="3"/>
  <c r="E1078" i="3"/>
  <c r="F1057" i="3"/>
  <c r="E1057" i="3"/>
  <c r="F1036" i="3"/>
  <c r="E1036" i="3"/>
  <c r="F1015" i="3"/>
  <c r="F1014" i="3" s="1"/>
  <c r="E1015" i="3"/>
  <c r="E1014" i="3" s="1"/>
  <c r="F993" i="3"/>
  <c r="E993" i="3"/>
  <c r="F972" i="3"/>
  <c r="E972" i="3"/>
  <c r="F951" i="3"/>
  <c r="E951" i="3"/>
  <c r="F930" i="3"/>
  <c r="F929" i="3" s="1"/>
  <c r="E930" i="3"/>
  <c r="E929" i="3" s="1"/>
  <c r="F906" i="3"/>
  <c r="E906" i="3"/>
  <c r="F885" i="3"/>
  <c r="E885" i="3"/>
  <c r="F864" i="3"/>
  <c r="E864" i="3"/>
  <c r="F843" i="3"/>
  <c r="E843" i="3"/>
  <c r="F822" i="3"/>
  <c r="E822" i="3"/>
  <c r="F801" i="3"/>
  <c r="F800" i="3" s="1"/>
  <c r="E801" i="3"/>
  <c r="E800" i="3" s="1"/>
  <c r="F779" i="3"/>
  <c r="E779" i="3"/>
  <c r="F758" i="3"/>
  <c r="E758" i="3"/>
  <c r="F737" i="3"/>
  <c r="F716" i="3"/>
  <c r="E716" i="3"/>
  <c r="F694" i="3"/>
  <c r="E694" i="3"/>
  <c r="F673" i="3"/>
  <c r="E673" i="3"/>
  <c r="F652" i="3"/>
  <c r="E652" i="3"/>
  <c r="F631" i="3"/>
  <c r="F630" i="3" s="1"/>
  <c r="E631" i="3"/>
  <c r="E630" i="3" s="1"/>
  <c r="F607" i="3"/>
  <c r="E607" i="3"/>
  <c r="F586" i="3"/>
  <c r="E586" i="3"/>
  <c r="F565" i="3"/>
  <c r="E565" i="3"/>
  <c r="F544" i="3"/>
  <c r="E544" i="3"/>
  <c r="F523" i="3"/>
  <c r="E523" i="3"/>
  <c r="F502" i="3"/>
  <c r="E501" i="3"/>
  <c r="F480" i="3"/>
  <c r="E480" i="3"/>
  <c r="F459" i="3"/>
  <c r="E459" i="3"/>
  <c r="F438" i="3"/>
  <c r="E438" i="3"/>
  <c r="F417" i="3"/>
  <c r="E417" i="3"/>
  <c r="E416" i="3" s="1"/>
  <c r="F395" i="3"/>
  <c r="E395" i="3"/>
  <c r="F374" i="3"/>
  <c r="E374" i="3"/>
  <c r="F353" i="3"/>
  <c r="E353" i="3"/>
  <c r="F332" i="3"/>
  <c r="F331" i="3" s="1"/>
  <c r="E332" i="3"/>
  <c r="E331" i="3" s="1"/>
  <c r="F266" i="3"/>
  <c r="E266" i="3"/>
  <c r="F245" i="3"/>
  <c r="E245" i="3"/>
  <c r="E23" i="3" s="1"/>
  <c r="F224" i="3"/>
  <c r="E224" i="3"/>
  <c r="E22" i="3" s="1"/>
  <c r="F203" i="3"/>
  <c r="F202" i="3" s="1"/>
  <c r="E203" i="3"/>
  <c r="E21" i="3" s="1"/>
  <c r="F181" i="3"/>
  <c r="E181" i="3"/>
  <c r="F160" i="3"/>
  <c r="E160" i="3"/>
  <c r="F139" i="3"/>
  <c r="E139" i="3"/>
  <c r="E17" i="3" s="1"/>
  <c r="F118" i="3"/>
  <c r="F117" i="3" s="1"/>
  <c r="F287" i="3"/>
  <c r="F25" i="3" s="1"/>
  <c r="F308" i="3"/>
  <c r="E118" i="3"/>
  <c r="E117" i="3" s="1"/>
  <c r="E287" i="3"/>
  <c r="E308" i="3"/>
  <c r="F96" i="3"/>
  <c r="E96" i="3"/>
  <c r="E14" i="3" s="1"/>
  <c r="F75" i="3"/>
  <c r="E75" i="3"/>
  <c r="E13" i="3" s="1"/>
  <c r="F54" i="3"/>
  <c r="E54" i="3"/>
  <c r="E12" i="3" s="1"/>
  <c r="F33" i="3"/>
  <c r="E33" i="3"/>
  <c r="E11" i="3" s="1"/>
  <c r="F28" i="32"/>
  <c r="E28" i="32"/>
  <c r="F24" i="32"/>
  <c r="E24" i="32"/>
  <c r="F17" i="32"/>
  <c r="F37" i="2" s="1"/>
  <c r="E17" i="32"/>
  <c r="E37" i="2" s="1"/>
  <c r="F13" i="32"/>
  <c r="F21" i="2" s="1"/>
  <c r="E13" i="32"/>
  <c r="E21" i="2" s="1"/>
  <c r="F100" i="21"/>
  <c r="E100" i="21"/>
  <c r="F184" i="29"/>
  <c r="E184" i="29"/>
  <c r="F163" i="29"/>
  <c r="E163" i="29"/>
  <c r="F142" i="29"/>
  <c r="F141" i="29" s="1"/>
  <c r="E142" i="29"/>
  <c r="E141" i="29" s="1"/>
  <c r="F120" i="29"/>
  <c r="E120" i="29"/>
  <c r="F99" i="29"/>
  <c r="E99" i="29"/>
  <c r="F78" i="29"/>
  <c r="E78" i="29"/>
  <c r="F160" i="17"/>
  <c r="E160" i="17"/>
  <c r="F139" i="17"/>
  <c r="E139" i="17"/>
  <c r="F117" i="17"/>
  <c r="E117" i="17"/>
  <c r="F96" i="17"/>
  <c r="E96" i="17"/>
  <c r="F74" i="17"/>
  <c r="F53" i="17"/>
  <c r="E74" i="17"/>
  <c r="E53" i="17"/>
  <c r="E31" i="17"/>
  <c r="F31" i="17"/>
  <c r="F10" i="17"/>
  <c r="E10" i="17"/>
  <c r="E9" i="17"/>
  <c r="F45" i="28"/>
  <c r="E45" i="28"/>
  <c r="F41" i="28"/>
  <c r="E41" i="28"/>
  <c r="F37" i="28"/>
  <c r="E37" i="28"/>
  <c r="F33" i="28"/>
  <c r="F46" i="28" s="1"/>
  <c r="F40" i="16" s="1"/>
  <c r="E33" i="28"/>
  <c r="E46" i="28"/>
  <c r="E40" i="16" s="1"/>
  <c r="F25" i="28"/>
  <c r="E25" i="28"/>
  <c r="F21" i="28"/>
  <c r="E21" i="28"/>
  <c r="F17" i="28"/>
  <c r="F13" i="28"/>
  <c r="E13" i="28"/>
  <c r="F49" i="2"/>
  <c r="E49" i="2"/>
  <c r="F15" i="14"/>
  <c r="F22" i="14" s="1"/>
  <c r="F34" i="2" s="1"/>
  <c r="E15" i="14"/>
  <c r="E22" i="14"/>
  <c r="E34" i="2" s="1"/>
  <c r="F80" i="10"/>
  <c r="F92" i="10" s="1"/>
  <c r="E73" i="4"/>
  <c r="E52" i="4"/>
  <c r="F24" i="24"/>
  <c r="G24" i="24"/>
  <c r="H24" i="24"/>
  <c r="I24" i="24"/>
  <c r="E24" i="24"/>
  <c r="J24" i="24" s="1"/>
  <c r="J17" i="24"/>
  <c r="J19" i="24"/>
  <c r="J20" i="24"/>
  <c r="J21" i="24"/>
  <c r="J22" i="24"/>
  <c r="J23" i="24"/>
  <c r="J9" i="24"/>
  <c r="J11" i="24"/>
  <c r="J12" i="24"/>
  <c r="J13" i="24"/>
  <c r="J14" i="24"/>
  <c r="J8" i="24"/>
  <c r="I18" i="9"/>
  <c r="I16" i="9"/>
  <c r="I15" i="9"/>
  <c r="I14" i="9"/>
  <c r="I13" i="9"/>
  <c r="I11" i="9"/>
  <c r="I9" i="9"/>
  <c r="H12" i="9"/>
  <c r="H19" i="9" s="1"/>
  <c r="G12" i="9"/>
  <c r="G19" i="9" s="1"/>
  <c r="F12" i="9"/>
  <c r="F19" i="9" s="1"/>
  <c r="E12" i="9"/>
  <c r="E19" i="9" s="1"/>
  <c r="F12" i="8"/>
  <c r="F18" i="8" s="1"/>
  <c r="G12" i="8"/>
  <c r="G18" i="8" s="1"/>
  <c r="H12" i="8"/>
  <c r="H18" i="8" s="1"/>
  <c r="I12" i="8"/>
  <c r="I18" i="8" s="1"/>
  <c r="J12" i="8"/>
  <c r="J18" i="8" s="1"/>
  <c r="K12" i="8"/>
  <c r="K18" i="8" s="1"/>
  <c r="E12" i="8"/>
  <c r="E18" i="8" s="1"/>
  <c r="L11" i="8"/>
  <c r="E16" i="21"/>
  <c r="F16" i="21"/>
  <c r="E37" i="21"/>
  <c r="F37" i="21"/>
  <c r="E58" i="21"/>
  <c r="F58" i="21"/>
  <c r="E79" i="21"/>
  <c r="F79" i="21"/>
  <c r="E70" i="16"/>
  <c r="F70" i="16"/>
  <c r="E22" i="20"/>
  <c r="F22" i="20"/>
  <c r="F64" i="16" s="1"/>
  <c r="E41" i="20"/>
  <c r="F41" i="20"/>
  <c r="F65" i="16" s="1"/>
  <c r="E10" i="29"/>
  <c r="F10" i="29"/>
  <c r="E31" i="29"/>
  <c r="F31" i="29"/>
  <c r="E52" i="29"/>
  <c r="F52" i="29"/>
  <c r="E256" i="29"/>
  <c r="F256" i="29"/>
  <c r="E10" i="30"/>
  <c r="F10" i="30"/>
  <c r="E32" i="30"/>
  <c r="E31" i="30" s="1"/>
  <c r="F32" i="30"/>
  <c r="F31" i="30" s="1"/>
  <c r="E9" i="31"/>
  <c r="F9" i="31"/>
  <c r="E30" i="31"/>
  <c r="E93" i="31" s="1"/>
  <c r="E53" i="16" s="1"/>
  <c r="F30" i="31"/>
  <c r="E51" i="31"/>
  <c r="F51" i="31"/>
  <c r="E72" i="31"/>
  <c r="F72" i="31"/>
  <c r="E97" i="31"/>
  <c r="F97" i="31"/>
  <c r="E118" i="31"/>
  <c r="F118" i="31"/>
  <c r="E140" i="31"/>
  <c r="F140" i="31"/>
  <c r="E161" i="31"/>
  <c r="F161" i="31"/>
  <c r="E183" i="31"/>
  <c r="F183" i="31"/>
  <c r="E204" i="31"/>
  <c r="F204" i="31"/>
  <c r="E226" i="31"/>
  <c r="F226" i="31"/>
  <c r="E247" i="31"/>
  <c r="F247" i="31"/>
  <c r="E272" i="31"/>
  <c r="F272" i="31"/>
  <c r="E293" i="31"/>
  <c r="F293" i="31"/>
  <c r="E315" i="31"/>
  <c r="F315" i="31"/>
  <c r="E336" i="31"/>
  <c r="F336" i="31"/>
  <c r="E358" i="31"/>
  <c r="F358" i="31"/>
  <c r="E379" i="31"/>
  <c r="F379" i="31"/>
  <c r="E401" i="31"/>
  <c r="F401" i="31"/>
  <c r="E422" i="31"/>
  <c r="F422" i="31"/>
  <c r="E26" i="28"/>
  <c r="E21" i="16" s="1"/>
  <c r="F26" i="28"/>
  <c r="F21" i="16" s="1"/>
  <c r="E38" i="16"/>
  <c r="F38" i="16"/>
  <c r="E64" i="16"/>
  <c r="E65" i="16"/>
  <c r="E307" i="15"/>
  <c r="F307" i="15"/>
  <c r="F115" i="13"/>
  <c r="F136" i="13"/>
  <c r="F263" i="13"/>
  <c r="G115" i="13"/>
  <c r="H115" i="13"/>
  <c r="H9" i="13" s="1"/>
  <c r="J115" i="13"/>
  <c r="I116" i="13"/>
  <c r="N116" i="13"/>
  <c r="I117" i="13"/>
  <c r="N117" i="13"/>
  <c r="I118" i="13"/>
  <c r="N118" i="13"/>
  <c r="I119" i="13"/>
  <c r="N119" i="13"/>
  <c r="I120" i="13"/>
  <c r="N120" i="13"/>
  <c r="I121" i="13"/>
  <c r="N121" i="13"/>
  <c r="I122" i="13"/>
  <c r="N122" i="13"/>
  <c r="I123" i="13"/>
  <c r="N123" i="13"/>
  <c r="I124" i="13"/>
  <c r="N124" i="13"/>
  <c r="I125" i="13"/>
  <c r="N125" i="13"/>
  <c r="I126" i="13"/>
  <c r="N126" i="13"/>
  <c r="I127" i="13"/>
  <c r="N127" i="13"/>
  <c r="I128" i="13"/>
  <c r="N128" i="13"/>
  <c r="I129" i="13"/>
  <c r="N129" i="13"/>
  <c r="I130" i="13"/>
  <c r="N130" i="13"/>
  <c r="I131" i="13"/>
  <c r="N131" i="13"/>
  <c r="I132" i="13"/>
  <c r="N132" i="13"/>
  <c r="I133" i="13"/>
  <c r="N133" i="13"/>
  <c r="I134" i="13"/>
  <c r="N134" i="13"/>
  <c r="I135" i="13"/>
  <c r="N135" i="13"/>
  <c r="I243" i="13"/>
  <c r="N243" i="13"/>
  <c r="I244" i="13"/>
  <c r="N244" i="13"/>
  <c r="I245" i="13"/>
  <c r="N245" i="13"/>
  <c r="I246" i="13"/>
  <c r="N246" i="13"/>
  <c r="I247" i="13"/>
  <c r="N247" i="13"/>
  <c r="I248" i="13"/>
  <c r="N248" i="13"/>
  <c r="I249" i="13"/>
  <c r="N249" i="13"/>
  <c r="I250" i="13"/>
  <c r="N250" i="13"/>
  <c r="I251" i="13"/>
  <c r="N251" i="13"/>
  <c r="I252" i="13"/>
  <c r="N252" i="13"/>
  <c r="I253" i="13"/>
  <c r="N253" i="13"/>
  <c r="I254" i="13"/>
  <c r="N254" i="13"/>
  <c r="I255" i="13"/>
  <c r="N255" i="13"/>
  <c r="I256" i="13"/>
  <c r="N256" i="13"/>
  <c r="I257" i="13"/>
  <c r="N257" i="13"/>
  <c r="I258" i="13"/>
  <c r="N258" i="13"/>
  <c r="I259" i="13"/>
  <c r="N259" i="13"/>
  <c r="I260" i="13"/>
  <c r="N260" i="13"/>
  <c r="I261" i="13"/>
  <c r="N261" i="13"/>
  <c r="I262" i="13"/>
  <c r="N262" i="13"/>
  <c r="C23" i="12"/>
  <c r="E23" i="12"/>
  <c r="E30" i="12" s="1"/>
  <c r="E39" i="2" s="1"/>
  <c r="F23" i="12"/>
  <c r="F30" i="12" s="1"/>
  <c r="F39" i="2" s="1"/>
  <c r="L9" i="8"/>
  <c r="L12" i="8" s="1"/>
  <c r="L18" i="8" s="1"/>
  <c r="E22" i="2" s="1"/>
  <c r="L16" i="8"/>
  <c r="E13" i="7"/>
  <c r="F13" i="7"/>
  <c r="E18" i="7"/>
  <c r="F18" i="7"/>
  <c r="E21" i="7"/>
  <c r="F21" i="7"/>
  <c r="F24" i="7" s="1"/>
  <c r="E22" i="7"/>
  <c r="F22" i="7"/>
  <c r="E23" i="7"/>
  <c r="F23" i="7"/>
  <c r="E24" i="7"/>
  <c r="E32" i="7"/>
  <c r="F32" i="7"/>
  <c r="E38" i="7"/>
  <c r="E20" i="2" s="1"/>
  <c r="F38" i="7"/>
  <c r="E41" i="7"/>
  <c r="F41" i="7"/>
  <c r="E42" i="7"/>
  <c r="E45" i="7" s="1"/>
  <c r="F42" i="7"/>
  <c r="E43" i="7"/>
  <c r="F43" i="7"/>
  <c r="E44" i="7"/>
  <c r="F44" i="7"/>
  <c r="F45" i="7"/>
  <c r="E10" i="6"/>
  <c r="F10" i="6"/>
  <c r="E32" i="6"/>
  <c r="F32" i="6"/>
  <c r="E137" i="6"/>
  <c r="F137" i="6"/>
  <c r="E243" i="6"/>
  <c r="F243" i="6"/>
  <c r="E264" i="6"/>
  <c r="F264" i="6"/>
  <c r="E370" i="6"/>
  <c r="E158" i="6"/>
  <c r="F370" i="6"/>
  <c r="E391" i="6"/>
  <c r="F391" i="6"/>
  <c r="E413" i="6"/>
  <c r="F413" i="6"/>
  <c r="E455" i="6"/>
  <c r="F455" i="6"/>
  <c r="E12" i="27"/>
  <c r="E19" i="27" s="1"/>
  <c r="E14" i="2" s="1"/>
  <c r="F12" i="27"/>
  <c r="E15" i="27"/>
  <c r="F15" i="27"/>
  <c r="E18" i="27"/>
  <c r="F18" i="27"/>
  <c r="E9" i="5"/>
  <c r="F9" i="5"/>
  <c r="E30" i="5"/>
  <c r="E93" i="5" s="1"/>
  <c r="E11" i="2" s="1"/>
  <c r="F30" i="5"/>
  <c r="E51" i="5"/>
  <c r="F51" i="5"/>
  <c r="E72" i="5"/>
  <c r="F72" i="5"/>
  <c r="E394" i="5"/>
  <c r="F394" i="5"/>
  <c r="E415" i="5"/>
  <c r="E393" i="5" s="1"/>
  <c r="F415" i="5"/>
  <c r="F26" i="3"/>
  <c r="F30" i="2"/>
  <c r="E31" i="2"/>
  <c r="F31" i="2"/>
  <c r="J16" i="24"/>
  <c r="F182" i="31"/>
  <c r="F96" i="31"/>
  <c r="E357" i="31"/>
  <c r="F52" i="17"/>
  <c r="F95" i="17"/>
  <c r="E95" i="17"/>
  <c r="F264" i="15"/>
  <c r="E264" i="15"/>
  <c r="J263" i="13"/>
  <c r="H263" i="13"/>
  <c r="G9" i="13"/>
  <c r="I264" i="13"/>
  <c r="N264" i="13"/>
  <c r="F31" i="6"/>
  <c r="E97" i="5"/>
  <c r="E96" i="5" s="1"/>
  <c r="F97" i="5"/>
  <c r="F96" i="5" s="1"/>
  <c r="F416" i="3"/>
  <c r="F501" i="3"/>
  <c r="E1099" i="3"/>
  <c r="E32" i="3"/>
  <c r="F22" i="3"/>
  <c r="F21" i="3"/>
  <c r="E202" i="3"/>
  <c r="F19" i="27"/>
  <c r="F14" i="2" s="1"/>
  <c r="E225" i="31"/>
  <c r="E182" i="31"/>
  <c r="E139" i="31"/>
  <c r="E96" i="31"/>
  <c r="E52" i="17"/>
  <c r="F9" i="17"/>
  <c r="J136" i="13"/>
  <c r="N52" i="13"/>
  <c r="N73" i="13"/>
  <c r="N94" i="13"/>
  <c r="I94" i="13"/>
  <c r="I137" i="13"/>
  <c r="N221" i="13"/>
  <c r="N10" i="13"/>
  <c r="N179" i="13"/>
  <c r="N200" i="13"/>
  <c r="I221" i="13"/>
  <c r="I31" i="13"/>
  <c r="N31" i="13"/>
  <c r="I52" i="13"/>
  <c r="I275" i="13"/>
  <c r="I263" i="13" s="1"/>
  <c r="N275" i="13"/>
  <c r="N263" i="13" s="1"/>
  <c r="H136" i="13"/>
  <c r="N158" i="13"/>
  <c r="I179" i="13"/>
  <c r="N242" i="13"/>
  <c r="I10" i="13"/>
  <c r="I158" i="13"/>
  <c r="I200" i="13"/>
  <c r="I242" i="13"/>
  <c r="I73" i="13"/>
  <c r="E73" i="10"/>
  <c r="E23" i="2" s="1"/>
  <c r="F20" i="2"/>
  <c r="F26" i="2"/>
  <c r="F74" i="30"/>
  <c r="F16" i="3"/>
  <c r="E412" i="6"/>
  <c r="E24" i="3"/>
  <c r="N137" i="13"/>
  <c r="E73" i="29"/>
  <c r="E58" i="16" s="1"/>
  <c r="F400" i="31"/>
  <c r="F357" i="31"/>
  <c r="F314" i="31"/>
  <c r="N115" i="13"/>
  <c r="J9" i="13"/>
  <c r="E77" i="29"/>
  <c r="F93" i="5"/>
  <c r="F11" i="2" s="1"/>
  <c r="F32" i="3"/>
  <c r="E271" i="31"/>
  <c r="T12" i="36"/>
  <c r="T106" i="36"/>
  <c r="K12" i="36"/>
  <c r="S12" i="36"/>
  <c r="K106" i="36"/>
  <c r="S106" i="36"/>
  <c r="I186" i="36"/>
  <c r="E186" i="36"/>
  <c r="S50" i="37"/>
  <c r="F31" i="16" s="1"/>
  <c r="F9" i="13"/>
  <c r="I115" i="13"/>
  <c r="F393" i="5"/>
  <c r="E400" i="31"/>
  <c r="E314" i="31"/>
  <c r="F271" i="31"/>
  <c r="E31" i="6"/>
  <c r="E30" i="2"/>
  <c r="E91" i="36"/>
  <c r="G45" i="36"/>
  <c r="I45" i="36"/>
  <c r="M45" i="36"/>
  <c r="O45" i="36"/>
  <c r="Q45" i="36"/>
  <c r="H45" i="36"/>
  <c r="K35" i="36"/>
  <c r="L40" i="36"/>
  <c r="E45" i="36"/>
  <c r="K40" i="36"/>
  <c r="K170" i="36"/>
  <c r="K157" i="36"/>
  <c r="L15" i="37"/>
  <c r="E25" i="16" s="1"/>
  <c r="S38" i="37"/>
  <c r="K38" i="37"/>
  <c r="L38" i="37"/>
  <c r="E30" i="16" s="1"/>
  <c r="E35" i="16" s="1"/>
  <c r="M232" i="36"/>
  <c r="Q232" i="36"/>
  <c r="G136" i="13"/>
  <c r="E136" i="13"/>
  <c r="F73" i="29"/>
  <c r="F58" i="16" s="1"/>
  <c r="F93" i="31"/>
  <c r="F53" i="16" s="1"/>
  <c r="K9" i="13"/>
  <c r="L9" i="13"/>
  <c r="M9" i="13"/>
  <c r="E9" i="13"/>
  <c r="S40" i="36"/>
  <c r="E19" i="3"/>
  <c r="E9" i="4"/>
  <c r="F351" i="4"/>
  <c r="E26" i="3"/>
  <c r="E18" i="3"/>
  <c r="E356" i="17" l="1"/>
  <c r="E530" i="17"/>
  <c r="E779" i="5"/>
  <c r="E13" i="2" s="1"/>
  <c r="E182" i="17"/>
  <c r="F356" i="17"/>
  <c r="F530" i="17"/>
  <c r="F779" i="5"/>
  <c r="F13" i="2" s="1"/>
  <c r="F692" i="4"/>
  <c r="E650" i="15"/>
  <c r="E36" i="2" s="1"/>
  <c r="F285" i="6"/>
  <c r="T16" i="36"/>
  <c r="T19" i="36"/>
  <c r="T25" i="36"/>
  <c r="T29" i="36"/>
  <c r="T35" i="36"/>
  <c r="T40" i="36"/>
  <c r="T110" i="36"/>
  <c r="T113" i="36"/>
  <c r="T119" i="36"/>
  <c r="T123" i="36"/>
  <c r="T129" i="36"/>
  <c r="T134" i="36"/>
  <c r="K181" i="36"/>
  <c r="K153" i="36"/>
  <c r="Q186" i="36"/>
  <c r="S170" i="36"/>
  <c r="E138" i="17"/>
  <c r="K16" i="36"/>
  <c r="K19" i="36"/>
  <c r="K25" i="36"/>
  <c r="K29" i="36"/>
  <c r="K110" i="36"/>
  <c r="K113" i="36"/>
  <c r="K119" i="36"/>
  <c r="K123" i="36"/>
  <c r="K129" i="36"/>
  <c r="K134" i="36"/>
  <c r="F138" i="17"/>
  <c r="F77" i="29"/>
  <c r="E692" i="4"/>
  <c r="E92" i="10"/>
  <c r="E26" i="2" s="1"/>
  <c r="F111" i="21"/>
  <c r="F68" i="16" s="1"/>
  <c r="F29" i="16"/>
  <c r="I12" i="9"/>
  <c r="I19" i="9" s="1"/>
  <c r="E24" i="2" s="1"/>
  <c r="E715" i="3"/>
  <c r="K176" i="36"/>
  <c r="O186" i="36"/>
  <c r="S166" i="36"/>
  <c r="F9" i="4"/>
  <c r="E351" i="4"/>
  <c r="E350" i="4" s="1"/>
  <c r="F19" i="3"/>
  <c r="F23" i="3"/>
  <c r="E16" i="3"/>
  <c r="F11" i="3"/>
  <c r="F12" i="3"/>
  <c r="F13" i="3"/>
  <c r="F14" i="3"/>
  <c r="E25" i="3"/>
  <c r="F17" i="3"/>
  <c r="F18" i="3"/>
  <c r="F350" i="4"/>
  <c r="F328" i="15"/>
  <c r="F35" i="2" s="1"/>
  <c r="E111" i="21"/>
  <c r="E68" i="16" s="1"/>
  <c r="F400" i="30"/>
  <c r="F57" i="16" s="1"/>
  <c r="F225" i="31"/>
  <c r="E268" i="31"/>
  <c r="E54" i="16" s="1"/>
  <c r="E443" i="31"/>
  <c r="E55" i="16" s="1"/>
  <c r="F443" i="31"/>
  <c r="F55" i="16" s="1"/>
  <c r="F182" i="17"/>
  <c r="N9" i="13"/>
  <c r="M136" i="13"/>
  <c r="F412" i="6"/>
  <c r="F158" i="6"/>
  <c r="E285" i="6"/>
  <c r="F24" i="3"/>
  <c r="F20" i="3" s="1"/>
  <c r="F10" i="3"/>
  <c r="E30" i="3"/>
  <c r="E329" i="3"/>
  <c r="G186" i="36"/>
  <c r="S157" i="36"/>
  <c r="K186" i="36"/>
  <c r="F10" i="16"/>
  <c r="F45" i="36"/>
  <c r="L106" i="36"/>
  <c r="L139" i="36" s="1"/>
  <c r="E14" i="16" s="1"/>
  <c r="I232" i="36"/>
  <c r="F650" i="15"/>
  <c r="F36" i="2" s="1"/>
  <c r="I9" i="13"/>
  <c r="I136" i="13"/>
  <c r="N136" i="13"/>
  <c r="E203" i="30"/>
  <c r="E56" i="16" s="1"/>
  <c r="E628" i="3"/>
  <c r="E927" i="3"/>
  <c r="E15" i="16"/>
  <c r="E436" i="5"/>
  <c r="E12" i="2" s="1"/>
  <c r="F307" i="29"/>
  <c r="F59" i="16" s="1"/>
  <c r="F329" i="3"/>
  <c r="F715" i="3"/>
  <c r="F628" i="3" s="1"/>
  <c r="F927" i="3"/>
  <c r="E8" i="4"/>
  <c r="E1034" i="4" s="1"/>
  <c r="E10" i="2" s="1"/>
  <c r="K45" i="36"/>
  <c r="S45" i="36"/>
  <c r="K139" i="36"/>
  <c r="S139" i="36"/>
  <c r="S15" i="37"/>
  <c r="S181" i="36"/>
  <c r="F436" i="5"/>
  <c r="F12" i="2" s="1"/>
  <c r="E476" i="6"/>
  <c r="E18" i="2" s="1"/>
  <c r="F139" i="31"/>
  <c r="F268" i="31" s="1"/>
  <c r="F54" i="16" s="1"/>
  <c r="E307" i="29"/>
  <c r="E59" i="16" s="1"/>
  <c r="F8" i="4"/>
  <c r="F1034" i="4" s="1"/>
  <c r="F10" i="2" s="1"/>
  <c r="E35" i="27"/>
  <c r="E15" i="2" s="1"/>
  <c r="L45" i="36"/>
  <c r="T45" i="36"/>
  <c r="F9" i="16" s="1"/>
  <c r="T139" i="36"/>
  <c r="F14" i="16" s="1"/>
  <c r="E10" i="16"/>
  <c r="E15" i="3"/>
  <c r="F15" i="3"/>
  <c r="F203" i="30"/>
  <c r="F56" i="16" s="1"/>
  <c r="F8" i="17"/>
  <c r="E8" i="17"/>
  <c r="E704" i="17" s="1"/>
  <c r="E52" i="16" s="1"/>
  <c r="E328" i="15"/>
  <c r="E35" i="2" s="1"/>
  <c r="M286" i="13"/>
  <c r="L286" i="13"/>
  <c r="K286" i="13"/>
  <c r="F286" i="13"/>
  <c r="J286" i="13"/>
  <c r="E263" i="13"/>
  <c r="E286" i="13" s="1"/>
  <c r="H286" i="13"/>
  <c r="G286" i="13"/>
  <c r="E20" i="3"/>
  <c r="E10" i="3"/>
  <c r="F30" i="3"/>
  <c r="E29" i="16"/>
  <c r="E41" i="16" s="1"/>
  <c r="F35" i="16"/>
  <c r="F41" i="16" l="1"/>
  <c r="F704" i="17"/>
  <c r="F52" i="16" s="1"/>
  <c r="F476" i="6"/>
  <c r="F18" i="2" s="1"/>
  <c r="E9" i="16"/>
  <c r="E13" i="16" s="1"/>
  <c r="S186" i="36"/>
  <c r="F15" i="16" s="1"/>
  <c r="F19" i="16" s="1"/>
  <c r="E61" i="16"/>
  <c r="I286" i="13"/>
  <c r="E33" i="2" s="1"/>
  <c r="E40" i="2" s="1"/>
  <c r="E50" i="2" s="1"/>
  <c r="N286" i="13"/>
  <c r="F33" i="2" s="1"/>
  <c r="F40" i="2" s="1"/>
  <c r="F50" i="2" s="1"/>
  <c r="F13" i="16"/>
  <c r="E1226" i="3"/>
  <c r="F1226" i="3"/>
  <c r="E27" i="3"/>
  <c r="E9" i="2" s="1"/>
  <c r="E19" i="16"/>
  <c r="F27" i="3"/>
  <c r="F9" i="2" s="1"/>
  <c r="F61" i="16"/>
  <c r="F27" i="2" l="1"/>
  <c r="F22" i="16"/>
  <c r="F43" i="16" s="1"/>
  <c r="F72" i="16" s="1"/>
  <c r="F74" i="16" s="1"/>
  <c r="E27" i="2"/>
  <c r="E22" i="16"/>
  <c r="E43" i="16" s="1"/>
  <c r="E72" i="16" s="1"/>
  <c r="E74" i="16" s="1"/>
</calcChain>
</file>

<file path=xl/sharedStrings.xml><?xml version="1.0" encoding="utf-8"?>
<sst xmlns="http://schemas.openxmlformats.org/spreadsheetml/2006/main" count="23946" uniqueCount="4808">
  <si>
    <t>ცედენტის კუთვნილი საკომისიო</t>
  </si>
  <si>
    <t>ცედენტის კუთვნილი საკომისიო (გადავადებას დაქვემდებარებული)</t>
  </si>
  <si>
    <t>არასიცოცხლის დაზღვევა</t>
  </si>
  <si>
    <t>ცვლილება გადავადებულ ხარჯში (ცედენტის კუთვნილი საკომისიო)</t>
  </si>
  <si>
    <t>ცვლილება გადავადებულ ხარჯში (ბროკერის კუთვნილი საკომისიო)</t>
  </si>
  <si>
    <t>ცვლილება გადავადებულ ხარჯში (აგენტის კუთვნილი საკომისიო)</t>
  </si>
  <si>
    <t xml:space="preserve"> - ფინანსური აქტივები: - გასაყიდად არსებული</t>
  </si>
  <si>
    <t xml:space="preserve"> - ფინანსური აქტივები: - დაფარვის ვადამდე მფლობელობაში არსებული</t>
  </si>
  <si>
    <t xml:space="preserve"> - შემოსავალი რეგრესიდან და გადარჩენილი ქონებიდან, ნეტო</t>
  </si>
  <si>
    <t xml:space="preserve"> - ცვლილება გამოუმუშავებელი პრემიის რეზერვში, ბრუტო</t>
  </si>
  <si>
    <t xml:space="preserve"> - ცვლილება ზარალების რეზერვში, ბრუტო</t>
  </si>
  <si>
    <t xml:space="preserve"> - ცვლილება გამოუმუშავებელი პრემიის რეზერვში, გადამზღვევლის წილი</t>
  </si>
  <si>
    <t xml:space="preserve"> - ცვლილება ზარალების რეზერვში, გადამზღვევლის წილი</t>
  </si>
  <si>
    <t xml:space="preserve"> - საკრედიტო დაწესებულებებში განთავსებული დეპოზიტები</t>
  </si>
  <si>
    <t xml:space="preserve"> - შემოსავალი რეგრესიდან (სიცოცხლის)</t>
  </si>
  <si>
    <t xml:space="preserve"> - ცვლილება სიცოცხლის დაზღვევის რეზერვში, ბრუტო</t>
  </si>
  <si>
    <t xml:space="preserve"> - ცვლილება სიცოცხლის დაზღვევის რეზერვში, გადამზღვევლის წილი</t>
  </si>
  <si>
    <t xml:space="preserve"> - ფინანსური აქტივები: - რეალური ღირებულებით ასახული მოგებაში ან ზარალში ასახვით</t>
  </si>
  <si>
    <t xml:space="preserve"> - სხვა ინვესტიციები</t>
  </si>
  <si>
    <t xml:space="preserve"> - გადასახადები</t>
  </si>
  <si>
    <t xml:space="preserve"> - მოგების გადასახადი</t>
  </si>
  <si>
    <t xml:space="preserve"> - ხელფასის ხარჯი და სხვა გაცემები</t>
  </si>
  <si>
    <t xml:space="preserve"> - ადმინისტრაციული ხარჯები</t>
  </si>
  <si>
    <t xml:space="preserve"> - ცვეთის, ამორტიზაციის და გაუფასურების ხარჯი</t>
  </si>
  <si>
    <t xml:space="preserve"> - ფინანსური ხარჯი</t>
  </si>
  <si>
    <t xml:space="preserve">სხვა სესხების (გრძელვადიანი) </t>
  </si>
  <si>
    <t>საინვესტიციო ობიექტის დასახელება, ინვესტიციის სახეობა და რეგისტრ. ქვეყანა</t>
  </si>
  <si>
    <t>შემოსავალი ფინანსური აქტივებიდან</t>
  </si>
  <si>
    <t>შემოსავალი გასაყიდად არსებული ფინანსური აქტივებიდან</t>
  </si>
  <si>
    <t xml:space="preserve"> სულ შემოსავალი გასაყიდად არსებული ფინანსური აქტივებიდან: (1+2+3+4)</t>
  </si>
  <si>
    <t>შემოსავალი დაფარვის ვადამდე მფლობელობაში არსებული ფინანსური აქტივებიდან</t>
  </si>
  <si>
    <t>სულ შემოსავალი დაფარვის ვადამდე მფლობელობაში არსებული ფინანსური აქტივებიდან: (1+2+3+4)</t>
  </si>
  <si>
    <t>შემოსავალი რეალური ღირებულებით ასახული ფინანსური აქტივებიდან, მოგებაში ან ზარალში ასახვით</t>
  </si>
  <si>
    <t>სხვა რეალური ღირებულებით ასახული ფინანსური აქტივები</t>
  </si>
  <si>
    <t>სულ შემოსავალი რეალური ღირებულებით ასახული ფინანსური აქტივებიდან: (1+2+3+4)</t>
  </si>
  <si>
    <t>რეზიდენტ ბანკებში</t>
  </si>
  <si>
    <t>არარეზიდენტ ბანკებში</t>
  </si>
  <si>
    <t>შემოსავალი საკრედიტო დაწესებულებებში განთავსებული ფულადი სახსრებიდან</t>
  </si>
  <si>
    <t xml:space="preserve"> - მოზიდული პრემია, ბრუტო</t>
  </si>
  <si>
    <t xml:space="preserve"> - ნეგატიური გუდვილი</t>
  </si>
  <si>
    <t xml:space="preserve"> - გადაზღვევის პრემია</t>
  </si>
  <si>
    <t>საბაჟო ვალდებულებების შესრულების გარანტიები/ფინანსური რისკის დაზღვევის პოლისები</t>
  </si>
  <si>
    <t>წლის დასაწყისიდან საანგარიშო პერიოდის ბოლომდე ანაზღაურებული ზარალების რაოდენობა და  ოდენობა  (გადაზღვევის საქმიანობა)</t>
  </si>
  <si>
    <t>სახმელეთო ავტოსატრანსპორტო საშუალებათა დაზღვევა (ავტოკასკო):</t>
  </si>
  <si>
    <t>სხვა სახმელეთო სატრანსპორტო საშუალებათა დაზღვევა</t>
  </si>
  <si>
    <t>სახმელეთო ტრანსპორტის გამოყენებასთან დაკავშირებული სამოქალაქო პასუხისმგებლობის დაზღვევა</t>
  </si>
  <si>
    <t>სახმელეთო გადამზიდველის სამოქალაქო პასუხისმგებლობის დაზღვევა</t>
  </si>
  <si>
    <t>სახელმწიფო შესყიდვებთან დაკავშირებული გარანტიები</t>
  </si>
  <si>
    <t>სხვა სახის გარანტიები</t>
  </si>
  <si>
    <t>პროფესიული პასუხისმგებლობის დაზღვევა</t>
  </si>
  <si>
    <t>დამქირავებლის პასუხისმგებლობის დაზღვევა</t>
  </si>
  <si>
    <t>სამედიცინო (ჯანმრთელობის) დაზღვევა</t>
  </si>
  <si>
    <t>იურიდიული ხარჯების დაზღვევა</t>
  </si>
  <si>
    <t>საჰაერო სატრანსპორტო საშუალებათა გამოყენებასთან დაკავშირებული პასუხისმგებლობის დაზღვევა:</t>
  </si>
  <si>
    <t>საჰაერო გადამზიდველის პასუხისმგებლობის დაზღვევა</t>
  </si>
  <si>
    <t>გადასახადები</t>
  </si>
  <si>
    <t>ქონების გადასახადი</t>
  </si>
  <si>
    <t>სხვა შემოსავალი</t>
  </si>
  <si>
    <t>სხვა  ხარჯი</t>
  </si>
  <si>
    <t>მივლინება</t>
  </si>
  <si>
    <t>მარკეტინგი</t>
  </si>
  <si>
    <t>პერსონალის ტრეინინგი</t>
  </si>
  <si>
    <t>ქველმოქმედება</t>
  </si>
  <si>
    <t>დაზღვევა</t>
  </si>
  <si>
    <t>დაცვა</t>
  </si>
  <si>
    <t xml:space="preserve">საკომუნიკაციო და კომუნალური </t>
  </si>
  <si>
    <t>ქონებისა და მოწყობილობების შეკეთება და მიმდინარე რემონტი</t>
  </si>
  <si>
    <t>წარმომადგენლობითი</t>
  </si>
  <si>
    <t>ბეჭდვა</t>
  </si>
  <si>
    <t>საოფისე აღჭურვილობა</t>
  </si>
  <si>
    <t>საშუალო ხელფასი</t>
  </si>
  <si>
    <t xml:space="preserve">სხვა დასაქმებულები </t>
  </si>
  <si>
    <t>ბანკის მომსახურების საკომისიოები</t>
  </si>
  <si>
    <t>სხვადასხვა</t>
  </si>
  <si>
    <t>ხელფასის ხარჯი და სხვა გაცემები</t>
  </si>
  <si>
    <t xml:space="preserve">უმაღლესი მენეჯმენტი </t>
  </si>
  <si>
    <t>სულ ხელფასის ხარჯი და სხვა გაცემები: (1+2+3)</t>
  </si>
  <si>
    <t>ადმინისტრაციული ხარჯები</t>
  </si>
  <si>
    <t>იჯარა</t>
  </si>
  <si>
    <t>აუდიტი და სხვა საკონსულტაციო ხარჯები</t>
  </si>
  <si>
    <t>ობიექტის დასახელება</t>
  </si>
  <si>
    <t>შემოსავლები სესხებიდან</t>
  </si>
  <si>
    <t xml:space="preserve">სულ </t>
  </si>
  <si>
    <t>სამოგზაურო დაზღვევა</t>
  </si>
  <si>
    <t>ტვირთების დაზღვევა</t>
  </si>
  <si>
    <t>დაზღვევა საფინანსო დანაკარგებისაგან</t>
  </si>
  <si>
    <t>საკრედიტო ვალდებულებათა დაზღვევა</t>
  </si>
  <si>
    <t>სარკინიგზო სატრანსპორტო საშუალებათა დაზღვევა</t>
  </si>
  <si>
    <t>საცალო</t>
  </si>
  <si>
    <t>წლის დასაწყისიდან საანგარიშო პერიოდის ბოლომდე გაფორმებული სადაზღვევო პოლისების რაოდენობა და მოზიდული პრემიის ოდენობა  (სადაზღვევო საქმიანობა)</t>
  </si>
  <si>
    <t>წლის დასაწყისიდან საანგარიშო პერიოდის ბოლომდე ანაზღაურებული ზარალების რაოდენობა და ოდენობა (სადაზღვევო საქმიანობა)</t>
  </si>
  <si>
    <t>წლის დასაწყისიდან საანგარიშო პერიოდის ბოლომდე ანაზღაურებული ზარალების რაოდენობა და ოდენობა  (გადაზღვევის საქმიანობა)</t>
  </si>
  <si>
    <t>სადაზღვევო პრემიებისა და ზარალების ანალიზი (სიცოცხლის დაზღვევა)</t>
  </si>
  <si>
    <t>სიცოცხლის დაზღვევა</t>
  </si>
  <si>
    <t>სახელმწიფო</t>
  </si>
  <si>
    <t>დაზღვევის სახეობა</t>
  </si>
  <si>
    <t>სიცოცხლის ვადიანი დაზღვევა</t>
  </si>
  <si>
    <t>სიცოცხლის უვადო დაზღვევა</t>
  </si>
  <si>
    <t>წლის დასაწყისიდან საანგარიშო პერიოდის ბოლომდე გადამზღვეველთან გაფორმებული ხელშეკრულებების რაოდენობა და გადაზღვევის პრემიის ოდენობა (სადაზღვევო საქმიანობა)</t>
  </si>
  <si>
    <t>სიცოცხლე - საანგარიშო პერიოდი</t>
  </si>
  <si>
    <t xml:space="preserve"> სიცოცხლე - გასული წლის შესაბამისი პერიოდი</t>
  </si>
  <si>
    <t>ოდენობა</t>
  </si>
  <si>
    <t xml:space="preserve">ოდენობა (II+IV+VI) </t>
  </si>
  <si>
    <t>ოდენობა (X+XII+XIV)</t>
  </si>
  <si>
    <t>რაოდენობა</t>
  </si>
  <si>
    <t xml:space="preserve"> რაოდენობა (I+III+V)</t>
  </si>
  <si>
    <t xml:space="preserve"> რაოდენობა (IX+XI+XIII)</t>
  </si>
  <si>
    <t>კორპორატიული</t>
  </si>
  <si>
    <t>სულ (I+II+III)</t>
  </si>
  <si>
    <t xml:space="preserve">სულ: </t>
  </si>
  <si>
    <t>საკუთარ კაპიტალში ცვლილებების ანგარიშგება</t>
  </si>
  <si>
    <t>ინვესტიციების გადაფასების რეზერვი</t>
  </si>
  <si>
    <t>ძირითადი საშუალებების გადაფასების რეზერვი</t>
  </si>
  <si>
    <t>გაუნაწილებელი მოგება</t>
  </si>
  <si>
    <t>ნაშთი საანგარიშოს წინა პერიოდის დასაწყისში</t>
  </si>
  <si>
    <t>სხვა რეზერვები</t>
  </si>
  <si>
    <t>სავალო ფასიანი ქაღალდები</t>
  </si>
  <si>
    <t>მოკლევადიანი სავალო ფასიანი ქაღალდები</t>
  </si>
  <si>
    <t>გრძელვადიანი სავალო ფასიანი ქაღალდები</t>
  </si>
  <si>
    <t>გრძელვადიანი სავალო ფასიანი ქაღალდების მიმდინარე წილი</t>
  </si>
  <si>
    <t xml:space="preserve">სესხები </t>
  </si>
  <si>
    <t>მოკლევადიანი სესხები</t>
  </si>
  <si>
    <t xml:space="preserve">ემიტენტი, სავალო ფასიანი ქაღალდის დასახელება </t>
  </si>
  <si>
    <t>გრძელვადიანი სავალო ფასიანი ქაღალდების მიმდინარე წილზე დარიცხული %</t>
  </si>
  <si>
    <t xml:space="preserve">სხვა მოკლევადიანი ვალდებულებები </t>
  </si>
  <si>
    <t>ემიტენტი, მოკლევადიანი ვალდებულების სახეობა</t>
  </si>
  <si>
    <t>სხვა გრძელვადიანი ვალდებულებების მიმდინარე წილი</t>
  </si>
  <si>
    <t>ემიტენტი, გრძელვადიანი ვალდებულების სახეობა</t>
  </si>
  <si>
    <t xml:space="preserve">სხვა გრძელვადიანი ვალდებულებები </t>
  </si>
  <si>
    <t>საპენსიო ვალდებულებები</t>
  </si>
  <si>
    <t>აქტივების მართვის საკომისიო</t>
  </si>
  <si>
    <t>პერიოდის განმავლობაში მიღებული საპენსიო შენატანები</t>
  </si>
  <si>
    <t>გაცემული პენსიები</t>
  </si>
  <si>
    <t>ადმინისტრაციული საკომისიო</t>
  </si>
  <si>
    <t>საპენსიო ვალდებულებები პერიოდის დასაწყისში</t>
  </si>
  <si>
    <t>გაწევრიანების საკომისიო</t>
  </si>
  <si>
    <t>სხვა საპენსიო სქემიდან გადმოტანილი სახსრები</t>
  </si>
  <si>
    <t>საპენსიო სქემიდან გატანილი სახსრები</t>
  </si>
  <si>
    <t>სხვა შემოსავლები</t>
  </si>
  <si>
    <t>სხვა ხარჯები</t>
  </si>
  <si>
    <t>ფინანსური ვალდებულებები</t>
  </si>
  <si>
    <t>ბანკის სესხები</t>
  </si>
  <si>
    <t xml:space="preserve">ბანკის სესხები (მოკლევადიანი) </t>
  </si>
  <si>
    <t xml:space="preserve">ბანკის სესხებზე (მოკლევადიანი) დარიცხული % </t>
  </si>
  <si>
    <t xml:space="preserve">ბანკის სესხების (გრძელვადიანი) მიმდინარე წილი </t>
  </si>
  <si>
    <t xml:space="preserve">ბანკის სესხები (გრძელვადიანი) </t>
  </si>
  <si>
    <t>ბანკის სესხებზე (გრძელვადიანი) დარიცხული %</t>
  </si>
  <si>
    <t>სხვა ფინანსური ვალდებულებები</t>
  </si>
  <si>
    <t xml:space="preserve">სხვა ფინანსური ვალდებულებები (მოკლევადიანი) </t>
  </si>
  <si>
    <t>ვალდებულების ობიექტის დასახელება, ვალდებულების სახეობა</t>
  </si>
  <si>
    <t xml:space="preserve">სხვა ფინანსური ვალდებულებების (გრძელვადიანი) მიმდინარე წილი </t>
  </si>
  <si>
    <t xml:space="preserve">სხვა ფინანსური ვალდებულებები (გრძელვადიანი) </t>
  </si>
  <si>
    <t>სუბორდინირებული სესხები</t>
  </si>
  <si>
    <t>სესხის გამცემის დასახელება, რეგისტრაციის ქვეყანა</t>
  </si>
  <si>
    <t xml:space="preserve">გადავადებული საკომისიო ხარჯი (სიცოცხლის) </t>
  </si>
  <si>
    <t>ავტო -ტრანსპორტი</t>
  </si>
  <si>
    <t>გადაფასება (ზრდა/კლება)</t>
  </si>
  <si>
    <t>ისტორიული ღირებულება ან გადაფასება</t>
  </si>
  <si>
    <t>შენობები</t>
  </si>
  <si>
    <t>დაუმთავრებელი მშენებლობა</t>
  </si>
  <si>
    <t>შესყიდვები</t>
  </si>
  <si>
    <t>კომპიუტერები და კომუნიკაციები</t>
  </si>
  <si>
    <t xml:space="preserve">აკუმულირებული ცვეთა </t>
  </si>
  <si>
    <t>მოძრაობა კატეგორიებს შორის (ზრდა/კლება)</t>
  </si>
  <si>
    <t>მიწა</t>
  </si>
  <si>
    <t>ნაშთი პერიოდის დასაწყისში</t>
  </si>
  <si>
    <t>ჩამოწერა/გაყიდვა</t>
  </si>
  <si>
    <t>სხვა აქტივები</t>
  </si>
  <si>
    <t>ავეჯი და სხვა მოწყობილობა</t>
  </si>
  <si>
    <t>ცვეთის ხარჯი</t>
  </si>
  <si>
    <t>გუდვილი</t>
  </si>
  <si>
    <t>კომპიუტერული პროგრამები</t>
  </si>
  <si>
    <t>ლიცენზიები</t>
  </si>
  <si>
    <t>არამატერიალური აქტივების წმინდა საბალანსო ღირებულების განსაზღვრა</t>
  </si>
  <si>
    <t>მარაგები</t>
  </si>
  <si>
    <t>შენობა-ნაგებობები</t>
  </si>
  <si>
    <t>საინვესტიციო ქონება</t>
  </si>
  <si>
    <t>სადამფუძნებლო კაპიტალის შევსებასთან დაკავშირებული</t>
  </si>
  <si>
    <t>მიწები</t>
  </si>
  <si>
    <t>ობიექტის დასახელება, ობიექტის რეგისტრაციის ქვეყანა</t>
  </si>
  <si>
    <t>მიწოდებიდან და მომსახურებიდან წარმოქმნილი მოთხოვნები</t>
  </si>
  <si>
    <t>გადახდილი ავანსები</t>
  </si>
  <si>
    <t>მოთხოვნები საწარმოო პერსონალის მიმართ</t>
  </si>
  <si>
    <t>მოთხოვნები დამფუძნებლების მიმართ</t>
  </si>
  <si>
    <t>სხვა მოთხოვნები დამფუძნებლების მიმართ</t>
  </si>
  <si>
    <t>წინასწარ გადახდილი მოგების გადასახადი</t>
  </si>
  <si>
    <t xml:space="preserve">წინასწარ გადახდილი სხვა გადასახადები: </t>
  </si>
  <si>
    <t>წინასწარ გადახდილი დღგ</t>
  </si>
  <si>
    <t>წინასწარ გადახდილი საშემოსავლო გადასახადი</t>
  </si>
  <si>
    <t>წინასწარ გადახდილი ქონების გადასახადი</t>
  </si>
  <si>
    <t>წინასწარ გადახდილი სხვა გადასახადები და მოსაკრებელი</t>
  </si>
  <si>
    <t>მიღებული ავანსები</t>
  </si>
  <si>
    <t>გადაზღვევით მიღებულ შემოსავალთან დაკავშირებული საკომისიო</t>
  </si>
  <si>
    <t>სხვა სადაზღვევო ვალდებულებები</t>
  </si>
  <si>
    <t>გადასახდელი გადაზღვევის პრემია</t>
  </si>
  <si>
    <t>გადასახდელი ბროკერის საკომისიო</t>
  </si>
  <si>
    <t>გადასახდელი აგენტის საკომისიო</t>
  </si>
  <si>
    <t xml:space="preserve">სხვა ვალდებულებები </t>
  </si>
  <si>
    <t>გადასახდელი ხელფასები</t>
  </si>
  <si>
    <t>გადასახდელი მოგების გადასახადი</t>
  </si>
  <si>
    <t>გადასახდელი დღგ</t>
  </si>
  <si>
    <t>გადასახდელი საშემოსავლო გადასახადი</t>
  </si>
  <si>
    <t>გადასახდელი ქონების გადასახადი</t>
  </si>
  <si>
    <t>გადასახდელი დივიდენდები</t>
  </si>
  <si>
    <t>სხვა ვალდებულებები სულ: (1+2+3+4+5+6+7)</t>
  </si>
  <si>
    <t>მონაწილეობა კაპიტალში</t>
  </si>
  <si>
    <t xml:space="preserve">სასესხო ფასიანი ქაღალდები (მოკლევადიანი) </t>
  </si>
  <si>
    <t>სასესხო ფასიანი ქაღალდების (გრძელვადიანი) მიმდინარე წილი</t>
  </si>
  <si>
    <t>სასესხო ფასიან ქაღალდების (გრძელვადიანი) მიმდინარე წილზე დარიცხული %</t>
  </si>
  <si>
    <t xml:space="preserve">სასესხო ფასიანი ქაღალდები (გრძელვადიანი) </t>
  </si>
  <si>
    <t xml:space="preserve">უზრუნველყოფილი სესხები </t>
  </si>
  <si>
    <t>მსესხებელი, უზრუნველყოფის საგნის დასახელება, რეგისტარაციის ქვეყანა</t>
  </si>
  <si>
    <t>უზრუნველყოფილი სესხების (გრძელვადიანი) მიმდინარე წილზე დარიცხული %</t>
  </si>
  <si>
    <t xml:space="preserve">სხვა სესხები </t>
  </si>
  <si>
    <t>სხვა სესხების (გრძელვადიანი) მიმდინარე წილზე დარიცხული %</t>
  </si>
  <si>
    <t>სხვა სესხებზე (გრძელვადიანი) დარიცხული %</t>
  </si>
  <si>
    <t xml:space="preserve">სხვა ინვესტიციები </t>
  </si>
  <si>
    <t xml:space="preserve">სხვა ინვესტიციები (მოკლევადიანი) </t>
  </si>
  <si>
    <t>საინვესტიციო ობიექტის დასახელება, ინვესტიციის სახეობა, რეგისტრ. ქვეყანა</t>
  </si>
  <si>
    <t>სხვა ინვესტიციების (გრძელვადიანი) მიმდინარე წილი</t>
  </si>
  <si>
    <t xml:space="preserve">სხვა ინვესტიციები (გრძელვადიანი) </t>
  </si>
  <si>
    <t xml:space="preserve"> - გამოუმუშავებელი პრემიიის რეზერვი</t>
  </si>
  <si>
    <t>სადაზღვევო რეზერვები და გადამზღვევლის წილი სადაზღვევო რეზერვებში</t>
  </si>
  <si>
    <t xml:space="preserve"> - განცხადებული, მაგრამ დაურეგულირებელი ზარალების რეზერვი</t>
  </si>
  <si>
    <t xml:space="preserve"> - მომხდარი, მაგრამ განუცხადებელი ზარალების რეზერვი</t>
  </si>
  <si>
    <t xml:space="preserve">სადაზღვევო რეზერვები (სიცოცხლის), ბრუტო </t>
  </si>
  <si>
    <t xml:space="preserve"> - სიცოცხლის დაზღვევის რეზერვი</t>
  </si>
  <si>
    <t xml:space="preserve"> - ბროკერის კუთვნილი საკომისიო</t>
  </si>
  <si>
    <t xml:space="preserve"> - აგენტის კუთვნილი საკომისიო</t>
  </si>
  <si>
    <t xml:space="preserve"> - გადაზღვევიდან კუთვნილი საკომისიო</t>
  </si>
  <si>
    <t xml:space="preserve"> - ცედენტის კუთვნილი საკომისიო</t>
  </si>
  <si>
    <t>გადავადებული საკომისიო შემოსავალი (სიცოცხლის)</t>
  </si>
  <si>
    <t>გადავადებული საკომისიო შემოსავალი/ხარჯი</t>
  </si>
  <si>
    <t>დოლარი</t>
  </si>
  <si>
    <t>ევრო</t>
  </si>
  <si>
    <t>სულ</t>
  </si>
  <si>
    <t>უძრავი ქონებით უზრუნველყოფილი</t>
  </si>
  <si>
    <t>გაცემული სესხები</t>
  </si>
  <si>
    <t xml:space="preserve">უზრუნველყოფილი სესხები (მოკლევადიანი) </t>
  </si>
  <si>
    <t>მსესხებელი, უძრავი ქონების დასახელება და ადგილმდებარეობა</t>
  </si>
  <si>
    <t>სახელმწიფო ფასიანი ქაღალდებით უზრუნველყოფილი</t>
  </si>
  <si>
    <t>მსესხებელი, ფასიანი ქაღალდის ტიპი, ემიტენტი</t>
  </si>
  <si>
    <t>მსესხებელი, უზრუნველყოფის საგნის დასახელება</t>
  </si>
  <si>
    <t>უზრუნველყოფილი სესხების (გრძელვადიანი) მიმდინარე წილი</t>
  </si>
  <si>
    <t xml:space="preserve">უზრუნველყოფილი სესხები (გრძელვადიანი) </t>
  </si>
  <si>
    <t xml:space="preserve">სხვა სესხები (მოკლევადიანი) </t>
  </si>
  <si>
    <t>მსესხებელი</t>
  </si>
  <si>
    <t xml:space="preserve">სხვა სესხების (გრძელვადიანი) მიმდინარე წილი </t>
  </si>
  <si>
    <t xml:space="preserve">სხვა სესხები (გრძელვადიანი) </t>
  </si>
  <si>
    <t>სხვა სესხები</t>
  </si>
  <si>
    <t>მოკლევადიანი</t>
  </si>
  <si>
    <t>ფინანსური აქტივები</t>
  </si>
  <si>
    <t>გასაყიდად არსებული ფინანსური აქტივები</t>
  </si>
  <si>
    <t>დაფარვის ვადამდე მფლობელობაში არსებული ფინანსური აქტივები</t>
  </si>
  <si>
    <t>გრძელვადიანი</t>
  </si>
  <si>
    <t>წილობრივი ინსტრუმენტები</t>
  </si>
  <si>
    <t xml:space="preserve"> სულ გასაყიდი ფინანსური აქტივები, წმინდა: (1+2+3+4)</t>
  </si>
  <si>
    <t>გრძელვადიანის მიმდინარე წილი</t>
  </si>
  <si>
    <t xml:space="preserve">წილობრივი ინსტრუმენტის დასახელება, ემიტენტი, რეგისტრაციის ქვეყანა </t>
  </si>
  <si>
    <t>სახელმწიფო სასესხო ფასიანი ქაღალდები</t>
  </si>
  <si>
    <t xml:space="preserve">სასესხო ფასიანი ქაღალდის დასახელება, ემიტენტი, რეგისტრაციის ქვეყანა </t>
  </si>
  <si>
    <t>კორპორაციული სასესხო ფასიანი ქაღალდები</t>
  </si>
  <si>
    <t>სხვა გასაყიდად არსებული ფინანსური აქტივები</t>
  </si>
  <si>
    <t xml:space="preserve">სხვა ფინანსური აქტივის დასახელება, ემიტენტი, რეგისტრაციის ქვეყანა </t>
  </si>
  <si>
    <t>მოკლევადიანზე დარიცხული %</t>
  </si>
  <si>
    <t>გრძელვადიანის მიმდინარე წილზე დარიცხული %</t>
  </si>
  <si>
    <t>გრძელვადიანზე დარიცხული %</t>
  </si>
  <si>
    <t>სხვა დაფარვის ვადამდე მფლობელობაში არსებული ფინანსური აქტივები</t>
  </si>
  <si>
    <t>რეალური ღირებულებით ასახული ფინანსური აქტივები, მოგებაში ან ზარალში ასახვით</t>
  </si>
  <si>
    <t>სულ რეალური ღირებულებით ასახული ფინანსური აქტივები: (1+2+3+4)</t>
  </si>
  <si>
    <t>მინუს: ბროკერების დებიტორების გაუფასურების რეზერვი</t>
  </si>
  <si>
    <t>მინუს: აგენტების დებიტორების გაუფასურების რეზერვი</t>
  </si>
  <si>
    <t>მინუს: სადაზღვევო დებიტორების გაუფასურების რეზერვი</t>
  </si>
  <si>
    <t>მინუს: გადაზღვევის დებიტორების გაუფასურების რეზერვი</t>
  </si>
  <si>
    <t>სადაზღვევო მოთხოვნები</t>
  </si>
  <si>
    <t>სადაზღვევო მოთხოვნები ბროკერებისგან</t>
  </si>
  <si>
    <t>სადაზღვევო მოთხოვნები ბროკერებისგან, წმინდა   (4-5)</t>
  </si>
  <si>
    <t>სადაზღვევო მოთხოვნები აგენტებისგან</t>
  </si>
  <si>
    <t>სხვა მოთხოვნები გადაზღვევიდან</t>
  </si>
  <si>
    <t>გადაზღვევის მოთხოვნები ბროკერებისგან</t>
  </si>
  <si>
    <t>გადაზღვევის მოთხოვნები აგენტებისგან</t>
  </si>
  <si>
    <t xml:space="preserve">ლარი </t>
  </si>
  <si>
    <t xml:space="preserve">ევრო </t>
  </si>
  <si>
    <t xml:space="preserve">მოკლევადიანი საბანკო დეპოზიტები (90 დღეზე ნაკლები ვადით) </t>
  </si>
  <si>
    <t>ნაღდი ფული სალაროში</t>
  </si>
  <si>
    <t>ფული ბანკებში (მიმდინარე ანგარიშებზე)</t>
  </si>
  <si>
    <t>მიმდინარე ანგარიშებზე, რეზიდენტ ბანკებში</t>
  </si>
  <si>
    <t>მიმდინარე ანგარიშებზე, არარეზიდენტ ბანკებში</t>
  </si>
  <si>
    <t>მოკლევადიანი საბანკო დეპოზიტები, რეზიდენტ ბანკებში</t>
  </si>
  <si>
    <t>მოკლევადიანი საბანკო დეპოზიტები, არარეზიდენტ ბანკებში</t>
  </si>
  <si>
    <t xml:space="preserve">აშშ დოლარი </t>
  </si>
  <si>
    <t xml:space="preserve">მოკლევადიანი ინვესტიციები (90 დღეზე ნაკლები ვადით) </t>
  </si>
  <si>
    <t>ფულადი სახსრები და მათი ექვივალენტები (სახეობების მიხედვით)</t>
  </si>
  <si>
    <t>საბანკო დეპოზიტები (მოთხოვნამდე)</t>
  </si>
  <si>
    <t>საბანკო დეპოზიტები (მოთხოვნამდე), რეზიდენტ ბანკებში</t>
  </si>
  <si>
    <t>საბანკო დეპოზიტები (მოთხოვნამდე), არარეზიდენტ ბანკებში</t>
  </si>
  <si>
    <t>სხვა ფულადი სახსრები და მათი ექვივალენტები</t>
  </si>
  <si>
    <t>სულ ფულადი სახსრები და მათი ექვივალენტები: (1+2+3+4+5+6)</t>
  </si>
  <si>
    <t>ფულადი სახსრები და მათი ექვივალენტები (ვალუტაში კონცენტრირებული)</t>
  </si>
  <si>
    <t>ბანკის დასახელება, ბანკის რეგისტრაციის ქვეყანა</t>
  </si>
  <si>
    <t xml:space="preserve">საინვესტიციო ობიექტის დასახელება, ინვესტიციის სახეობა, რეგისტრაციის ქვეყანა </t>
  </si>
  <si>
    <t xml:space="preserve">ობიექტის დასახელება, სახეობა, რეგისტრაციის ქვეყანა </t>
  </si>
  <si>
    <t xml:space="preserve">სხვა </t>
  </si>
  <si>
    <t>ვადიანი დეპოზიტები რეზიდენტ ბანკებში</t>
  </si>
  <si>
    <t>ვადიანი დეპოზიტები არარეზიდენტ ბანკებში</t>
  </si>
  <si>
    <t xml:space="preserve"> - გრძელვადიანის მიმდინარე წილი (7+8+9+10)</t>
  </si>
  <si>
    <t>მოთხოვნები საკრედიტო დაწესებულებების მიმართ</t>
  </si>
  <si>
    <t>სხვა</t>
  </si>
  <si>
    <t>კაპიტალი</t>
  </si>
  <si>
    <t xml:space="preserve"> - საემისიო კაპიტალი</t>
  </si>
  <si>
    <t>ვალდებულებები</t>
  </si>
  <si>
    <t xml:space="preserve"> - საპენსიო ვალდებულებები</t>
  </si>
  <si>
    <t xml:space="preserve"> - აკუმულირებული მოგება/(ზარალი)</t>
  </si>
  <si>
    <t xml:space="preserve"> - ფინანსური ვალდებულებები </t>
  </si>
  <si>
    <t>აქტივები</t>
  </si>
  <si>
    <t xml:space="preserve">მზღვეველი: </t>
  </si>
  <si>
    <t xml:space="preserve"> - სადაზღვევო რეზერვები, ბრუტო</t>
  </si>
  <si>
    <t xml:space="preserve"> - გასაყიდად არსებული ფინანსური აქტივები</t>
  </si>
  <si>
    <t xml:space="preserve"> - დაფარვის ვადამდე მფლობელობაში არსებული ფინანსური აქტივები</t>
  </si>
  <si>
    <t xml:space="preserve"> - ვალდებულებები მეკავშირე კომპანიებთან</t>
  </si>
  <si>
    <t xml:space="preserve"> - ვალდებულებები შვილობილ კომპანიებთან</t>
  </si>
  <si>
    <t xml:space="preserve"> - გადავადებული საკომისიო შემოსავალი</t>
  </si>
  <si>
    <t>საანგარიშო პერიოდი</t>
  </si>
  <si>
    <t>ლარებში</t>
  </si>
  <si>
    <t xml:space="preserve"> - ვალდებულებები რეგრესიდან და გადარჩენილი ქონებიდან</t>
  </si>
  <si>
    <t xml:space="preserve"> - ინვესტიციები მეკავშირე კომპანიებში</t>
  </si>
  <si>
    <t xml:space="preserve"> - ინვესტიციები შვილობილ კომპანიებში</t>
  </si>
  <si>
    <t xml:space="preserve"> - საინვესტიციო ქონება</t>
  </si>
  <si>
    <t xml:space="preserve"> - სააქციო კაპიტალი/კაპიტალი შპს-ში</t>
  </si>
  <si>
    <t xml:space="preserve"> - გამოსყიდული აქციები</t>
  </si>
  <si>
    <t xml:space="preserve"> - გადამზღვევლის წილი სადაზღვევო რეზერვებში</t>
  </si>
  <si>
    <t xml:space="preserve"> - ძირითადი საშუალებები, წმინდა</t>
  </si>
  <si>
    <t xml:space="preserve"> - პერიოდის წმინდა მოგება/(ზარალი)</t>
  </si>
  <si>
    <t>გასული წლის შესაბამისი პერიოდი</t>
  </si>
  <si>
    <t xml:space="preserve"> - ფულადი სახსრები და მათი ექვივალენტები</t>
  </si>
  <si>
    <t xml:space="preserve"> - მოთხოვნები საკრედიტო დაწესებულებების მიმართ</t>
  </si>
  <si>
    <t xml:space="preserve"> - სადაზღვევო მოთხოვნები, წმინდა</t>
  </si>
  <si>
    <t xml:space="preserve"> - გადაზღვევის მოთხოვნები, წმინდა</t>
  </si>
  <si>
    <t xml:space="preserve"> - გაცემული სესხები</t>
  </si>
  <si>
    <t xml:space="preserve"> - გუდვილი და სხვა არამატერიალური აქტივები, წმინდა</t>
  </si>
  <si>
    <t xml:space="preserve"> - გადავადებული საგადასახადო აქტივი</t>
  </si>
  <si>
    <t xml:space="preserve"> - სხვა აქტივები</t>
  </si>
  <si>
    <t xml:space="preserve"> - სხვა სადაზღვევო ვალდებულებები</t>
  </si>
  <si>
    <t xml:space="preserve"> - გადავადებული საგადასახადო ვალდებულება</t>
  </si>
  <si>
    <t xml:space="preserve"> - სხვა ვალდებულებები</t>
  </si>
  <si>
    <t xml:space="preserve"> - სხვა რეზერვები</t>
  </si>
  <si>
    <t xml:space="preserve"> - გადავადებული საკომისიო ხარჯი</t>
  </si>
  <si>
    <t>მზღვეველის ფინანსური ანგარიშგების ფორმები</t>
  </si>
  <si>
    <t>ორგანიზაციის გენერალური დირექტორი (დირექტორი)</t>
  </si>
  <si>
    <t>ორგანიზაციის მთავარი ბუღალტერი</t>
  </si>
  <si>
    <t>ორგანიზაციის მისამართი</t>
  </si>
  <si>
    <t>ორგანიზაციის ტელეფონი</t>
  </si>
  <si>
    <t>ორგანიზაციის ფაქსი</t>
  </si>
  <si>
    <t>ორგანიზაციის ვებ - გვერდი</t>
  </si>
  <si>
    <t>ორგანიზაციის ფილიალების რაოდენობა</t>
  </si>
  <si>
    <t>ორგანიზაციის თანამშრომელთა რაოდენობა</t>
  </si>
  <si>
    <t>ორგანიზაციის გასული წლის გარე აუდიტორი</t>
  </si>
  <si>
    <t>ზოგადი ინფორმაცია მზღვეველის შესახებ</t>
  </si>
  <si>
    <t>ანგარიშგებაზე პასუხისმგებელი პირი</t>
  </si>
  <si>
    <t>ორგანიზაციის სამეთვალყურეო საბჭოს თავმჯდომარე</t>
  </si>
  <si>
    <t>8.3.3.1</t>
  </si>
  <si>
    <t>8.3.3.2</t>
  </si>
  <si>
    <t>8.3.3.3</t>
  </si>
  <si>
    <t>8.3.3.4</t>
  </si>
  <si>
    <t>8.3.3.5</t>
  </si>
  <si>
    <t>8.3.3.6</t>
  </si>
  <si>
    <t>8.3.3.7</t>
  </si>
  <si>
    <t>8.3.3.8</t>
  </si>
  <si>
    <t>8.3.3.9</t>
  </si>
  <si>
    <t>8.3.3.10</t>
  </si>
  <si>
    <t>8.3.3.11</t>
  </si>
  <si>
    <t>8.3.3.12</t>
  </si>
  <si>
    <t>8.3.3.13</t>
  </si>
  <si>
    <t>8.3.3.14</t>
  </si>
  <si>
    <t>8.3.3.15</t>
  </si>
  <si>
    <t>8.3.3.16</t>
  </si>
  <si>
    <t>8.3.3.17</t>
  </si>
  <si>
    <t>8.3.3.18</t>
  </si>
  <si>
    <t>8.3.3.19</t>
  </si>
  <si>
    <t>8.3.3.20</t>
  </si>
  <si>
    <t>8.4.1</t>
  </si>
  <si>
    <t>10.3.2</t>
  </si>
  <si>
    <t>10.3.3</t>
  </si>
  <si>
    <t>10.3.4</t>
  </si>
  <si>
    <t>10.3.5</t>
  </si>
  <si>
    <t>10.3.6</t>
  </si>
  <si>
    <t>10.3.7</t>
  </si>
  <si>
    <t>10.3.8</t>
  </si>
  <si>
    <t>10.3.9</t>
  </si>
  <si>
    <t>10.3.10</t>
  </si>
  <si>
    <t>10.3.11</t>
  </si>
  <si>
    <t>10.3.12</t>
  </si>
  <si>
    <t>10.3.13</t>
  </si>
  <si>
    <t>10.3.14</t>
  </si>
  <si>
    <t>10.3.15</t>
  </si>
  <si>
    <t>10.3.16</t>
  </si>
  <si>
    <t>10.3.17</t>
  </si>
  <si>
    <t>10.3.18</t>
  </si>
  <si>
    <t>10.3.19</t>
  </si>
  <si>
    <t>10.3.20</t>
  </si>
  <si>
    <t>1.5</t>
  </si>
  <si>
    <t>I</t>
  </si>
  <si>
    <t>II</t>
  </si>
  <si>
    <t>III</t>
  </si>
  <si>
    <t>IV</t>
  </si>
  <si>
    <t>V</t>
  </si>
  <si>
    <t>VI</t>
  </si>
  <si>
    <t>VII</t>
  </si>
  <si>
    <t>VIII</t>
  </si>
  <si>
    <t>3.1</t>
  </si>
  <si>
    <t>3.2</t>
  </si>
  <si>
    <t>3.3</t>
  </si>
  <si>
    <t>5.1</t>
  </si>
  <si>
    <t>5.2</t>
  </si>
  <si>
    <t>6.1</t>
  </si>
  <si>
    <t>6.2</t>
  </si>
  <si>
    <t>IX</t>
  </si>
  <si>
    <t>X</t>
  </si>
  <si>
    <t>XI</t>
  </si>
  <si>
    <t>XII</t>
  </si>
  <si>
    <t>XIII</t>
  </si>
  <si>
    <t>XIV</t>
  </si>
  <si>
    <t>XV</t>
  </si>
  <si>
    <t>XVI</t>
  </si>
  <si>
    <t>2.1</t>
  </si>
  <si>
    <t>2.2</t>
  </si>
  <si>
    <t>4</t>
  </si>
  <si>
    <t>4.1</t>
  </si>
  <si>
    <t>4.2</t>
  </si>
  <si>
    <t>5</t>
  </si>
  <si>
    <t>1.1</t>
  </si>
  <si>
    <t>1.2</t>
  </si>
  <si>
    <t>1.3</t>
  </si>
  <si>
    <t>1.4</t>
  </si>
  <si>
    <t>6.3</t>
  </si>
  <si>
    <t>5.3</t>
  </si>
  <si>
    <t>5.4</t>
  </si>
  <si>
    <t>2</t>
  </si>
  <si>
    <t>3</t>
  </si>
  <si>
    <t>4.3</t>
  </si>
  <si>
    <t>ლარი</t>
  </si>
  <si>
    <t>2.3</t>
  </si>
  <si>
    <t>4.1.2</t>
  </si>
  <si>
    <t>4.1.1</t>
  </si>
  <si>
    <t>4.2.1</t>
  </si>
  <si>
    <t>4.2.2</t>
  </si>
  <si>
    <t>1.1.1</t>
  </si>
  <si>
    <t>1.1.2</t>
  </si>
  <si>
    <t>2.1.1</t>
  </si>
  <si>
    <t>2.1.2</t>
  </si>
  <si>
    <t>3.1.1</t>
  </si>
  <si>
    <t>3.1.2</t>
  </si>
  <si>
    <t>1.2.1</t>
  </si>
  <si>
    <t>1.2.2</t>
  </si>
  <si>
    <t>3.2.1</t>
  </si>
  <si>
    <t>3.2.2</t>
  </si>
  <si>
    <t>1.1.3</t>
  </si>
  <si>
    <t>1.2.3</t>
  </si>
  <si>
    <t>3.1.3</t>
  </si>
  <si>
    <t>3.2.3</t>
  </si>
  <si>
    <t>4.1.3</t>
  </si>
  <si>
    <t>4.2.3</t>
  </si>
  <si>
    <t>1.6</t>
  </si>
  <si>
    <t>1.7</t>
  </si>
  <si>
    <t>1.8</t>
  </si>
  <si>
    <t>1.9</t>
  </si>
  <si>
    <t>1.10</t>
  </si>
  <si>
    <t>1.11</t>
  </si>
  <si>
    <t>1.12</t>
  </si>
  <si>
    <t>1.13</t>
  </si>
  <si>
    <t>1.14</t>
  </si>
  <si>
    <t>1.15</t>
  </si>
  <si>
    <t>1.16</t>
  </si>
  <si>
    <t>1.17</t>
  </si>
  <si>
    <t>1.18</t>
  </si>
  <si>
    <t>1.19</t>
  </si>
  <si>
    <t>1.20</t>
  </si>
  <si>
    <t>2.4</t>
  </si>
  <si>
    <t>2.5</t>
  </si>
  <si>
    <t>2.6</t>
  </si>
  <si>
    <t>2.7</t>
  </si>
  <si>
    <t>2.8</t>
  </si>
  <si>
    <t>2.9</t>
  </si>
  <si>
    <t>2.10</t>
  </si>
  <si>
    <t>2.11</t>
  </si>
  <si>
    <t>2.12</t>
  </si>
  <si>
    <t>2.13</t>
  </si>
  <si>
    <t>2.14</t>
  </si>
  <si>
    <t>2.15</t>
  </si>
  <si>
    <t>2.16</t>
  </si>
  <si>
    <t>2.17</t>
  </si>
  <si>
    <t>2.18</t>
  </si>
  <si>
    <t>2.19</t>
  </si>
  <si>
    <t>2.20</t>
  </si>
  <si>
    <t>3.4</t>
  </si>
  <si>
    <t>3.5</t>
  </si>
  <si>
    <t>3.6</t>
  </si>
  <si>
    <t>3.7</t>
  </si>
  <si>
    <t>3.8</t>
  </si>
  <si>
    <t>3.9</t>
  </si>
  <si>
    <t>3.10</t>
  </si>
  <si>
    <t>3.11</t>
  </si>
  <si>
    <t>3.12</t>
  </si>
  <si>
    <t>3.13</t>
  </si>
  <si>
    <t>3.14</t>
  </si>
  <si>
    <t>3.15</t>
  </si>
  <si>
    <t>3.16</t>
  </si>
  <si>
    <t>3.17</t>
  </si>
  <si>
    <t>3.18</t>
  </si>
  <si>
    <t>3.19</t>
  </si>
  <si>
    <t>3.20</t>
  </si>
  <si>
    <t>4.4</t>
  </si>
  <si>
    <t>4.5</t>
  </si>
  <si>
    <t>4.6</t>
  </si>
  <si>
    <t>4.7</t>
  </si>
  <si>
    <t>4.8</t>
  </si>
  <si>
    <t>4.9</t>
  </si>
  <si>
    <t>4.10</t>
  </si>
  <si>
    <t>4.11</t>
  </si>
  <si>
    <t>4.12</t>
  </si>
  <si>
    <t>4.13</t>
  </si>
  <si>
    <t>4.14</t>
  </si>
  <si>
    <t>4.15</t>
  </si>
  <si>
    <t>4.16</t>
  </si>
  <si>
    <t>4.17</t>
  </si>
  <si>
    <t>4.18</t>
  </si>
  <si>
    <t>4.19</t>
  </si>
  <si>
    <t>4.20</t>
  </si>
  <si>
    <t>1.1.4</t>
  </si>
  <si>
    <t>1.1.5</t>
  </si>
  <si>
    <t>1.1.6</t>
  </si>
  <si>
    <t>1.1.7</t>
  </si>
  <si>
    <t>1.1.8</t>
  </si>
  <si>
    <t>1.1.9</t>
  </si>
  <si>
    <t>1.1.10</t>
  </si>
  <si>
    <t>1.1.11</t>
  </si>
  <si>
    <t>1.1.12</t>
  </si>
  <si>
    <t>1.1.13</t>
  </si>
  <si>
    <t>1.1.14</t>
  </si>
  <si>
    <t>1.1.15</t>
  </si>
  <si>
    <t>1.1.16</t>
  </si>
  <si>
    <t>1.1.17</t>
  </si>
  <si>
    <t>1.1.18</t>
  </si>
  <si>
    <t>1.1.19</t>
  </si>
  <si>
    <t>1.1.20</t>
  </si>
  <si>
    <t>1.2.4</t>
  </si>
  <si>
    <t>1.2.5</t>
  </si>
  <si>
    <t>1.2.6</t>
  </si>
  <si>
    <t>1.2.7</t>
  </si>
  <si>
    <t>1.2.8</t>
  </si>
  <si>
    <t>1.2.9</t>
  </si>
  <si>
    <t>1.2.10</t>
  </si>
  <si>
    <t>1.2.11</t>
  </si>
  <si>
    <t>1.2.12</t>
  </si>
  <si>
    <t>1.2.13</t>
  </si>
  <si>
    <t>1.2.14</t>
  </si>
  <si>
    <t>1.2.15</t>
  </si>
  <si>
    <t>1.2.16</t>
  </si>
  <si>
    <t>1.2.17</t>
  </si>
  <si>
    <t>1.2.18</t>
  </si>
  <si>
    <t>1.2.19</t>
  </si>
  <si>
    <t>1.2.20</t>
  </si>
  <si>
    <t>2.1.3</t>
  </si>
  <si>
    <t>2.1.4</t>
  </si>
  <si>
    <t>2.1.5</t>
  </si>
  <si>
    <t>2.1.6</t>
  </si>
  <si>
    <t>2.1.7</t>
  </si>
  <si>
    <t>2.1.8</t>
  </si>
  <si>
    <t>2.1.9</t>
  </si>
  <si>
    <t>2.1.10</t>
  </si>
  <si>
    <t>2.1.11</t>
  </si>
  <si>
    <t>2.1.12</t>
  </si>
  <si>
    <t>2.1.13</t>
  </si>
  <si>
    <t>2.1.14</t>
  </si>
  <si>
    <t>2.1.15</t>
  </si>
  <si>
    <t>2.1.16</t>
  </si>
  <si>
    <t>2.1.17</t>
  </si>
  <si>
    <t>2.1.18</t>
  </si>
  <si>
    <t>2.1.19</t>
  </si>
  <si>
    <t>2.1.20</t>
  </si>
  <si>
    <t>2.2.1</t>
  </si>
  <si>
    <t>2.2.2</t>
  </si>
  <si>
    <t>2.2.3</t>
  </si>
  <si>
    <t>2.2.4</t>
  </si>
  <si>
    <t>2.2.5</t>
  </si>
  <si>
    <t>2.2.6</t>
  </si>
  <si>
    <t>2.2.7</t>
  </si>
  <si>
    <t>2.2.8</t>
  </si>
  <si>
    <t>2.2.9</t>
  </si>
  <si>
    <t>2.2.10</t>
  </si>
  <si>
    <t>2.2.11</t>
  </si>
  <si>
    <t>2.2.12</t>
  </si>
  <si>
    <t>2.2.13</t>
  </si>
  <si>
    <t>2.2.14</t>
  </si>
  <si>
    <t>2.2.15</t>
  </si>
  <si>
    <t>2.2.16</t>
  </si>
  <si>
    <t>2.2.17</t>
  </si>
  <si>
    <t>2.2.18</t>
  </si>
  <si>
    <t>2.2.19</t>
  </si>
  <si>
    <t>2.2.20</t>
  </si>
  <si>
    <t>3.1.4</t>
  </si>
  <si>
    <t>3.1.5</t>
  </si>
  <si>
    <t>3.1.6</t>
  </si>
  <si>
    <t>3.1.7</t>
  </si>
  <si>
    <t>3.1.8</t>
  </si>
  <si>
    <t>3.1.9</t>
  </si>
  <si>
    <t>3.1.10</t>
  </si>
  <si>
    <t>3.1.11</t>
  </si>
  <si>
    <t>3.1.12</t>
  </si>
  <si>
    <t>3.1.13</t>
  </si>
  <si>
    <t>3.1.14</t>
  </si>
  <si>
    <t>3.1.15</t>
  </si>
  <si>
    <t>3.1.16</t>
  </si>
  <si>
    <t>3.1.17</t>
  </si>
  <si>
    <t>3.1.18</t>
  </si>
  <si>
    <t>3.1.19</t>
  </si>
  <si>
    <t>3.1.20</t>
  </si>
  <si>
    <t>3.2.4</t>
  </si>
  <si>
    <t>3.2.5</t>
  </si>
  <si>
    <t>3.2.6</t>
  </si>
  <si>
    <t>3.2.7</t>
  </si>
  <si>
    <t>3.2.8</t>
  </si>
  <si>
    <t>3.2.9</t>
  </si>
  <si>
    <t>3.2.10</t>
  </si>
  <si>
    <t>3.2.11</t>
  </si>
  <si>
    <t>3.2.12</t>
  </si>
  <si>
    <t>3.2.13</t>
  </si>
  <si>
    <t>3.2.14</t>
  </si>
  <si>
    <t>3.2.15</t>
  </si>
  <si>
    <t>3.2.16</t>
  </si>
  <si>
    <t>3.2.17</t>
  </si>
  <si>
    <t>3.2.18</t>
  </si>
  <si>
    <t>3.2.19</t>
  </si>
  <si>
    <t>3.2.20</t>
  </si>
  <si>
    <t>4.1.4</t>
  </si>
  <si>
    <t>4.1.5</t>
  </si>
  <si>
    <t>4.1.6</t>
  </si>
  <si>
    <t>4.1.7</t>
  </si>
  <si>
    <t>4.1.8</t>
  </si>
  <si>
    <t>4.1.9</t>
  </si>
  <si>
    <t>4.1.10</t>
  </si>
  <si>
    <t>4.1.11</t>
  </si>
  <si>
    <t>4.1.12</t>
  </si>
  <si>
    <t>4.1.13</t>
  </si>
  <si>
    <t>4.1.14</t>
  </si>
  <si>
    <t>4.1.15</t>
  </si>
  <si>
    <t>4.1.16</t>
  </si>
  <si>
    <t>4.1.17</t>
  </si>
  <si>
    <t>4.1.18</t>
  </si>
  <si>
    <t>4.1.19</t>
  </si>
  <si>
    <t>4.1.20</t>
  </si>
  <si>
    <t>4.2.4</t>
  </si>
  <si>
    <t>4.2.5</t>
  </si>
  <si>
    <t>4.2.6</t>
  </si>
  <si>
    <t>4.2.7</t>
  </si>
  <si>
    <t>4.2.8</t>
  </si>
  <si>
    <t>4.2.9</t>
  </si>
  <si>
    <t>4.2.10</t>
  </si>
  <si>
    <t>4.2.11</t>
  </si>
  <si>
    <t>4.2.12</t>
  </si>
  <si>
    <t>4.2.13</t>
  </si>
  <si>
    <t>4.2.14</t>
  </si>
  <si>
    <t>4.2.15</t>
  </si>
  <si>
    <t>4.2.16</t>
  </si>
  <si>
    <t>4.2.17</t>
  </si>
  <si>
    <t>4.2.18</t>
  </si>
  <si>
    <t>4.2.19</t>
  </si>
  <si>
    <t>4.2.20</t>
  </si>
  <si>
    <t>ბანკის დასახელება</t>
  </si>
  <si>
    <t xml:space="preserve"> </t>
  </si>
  <si>
    <t>8.4.1.1</t>
  </si>
  <si>
    <t>8.4.1.2</t>
  </si>
  <si>
    <t>8.4.1.3</t>
  </si>
  <si>
    <t>8.4.1.4</t>
  </si>
  <si>
    <t>8.4.1.5</t>
  </si>
  <si>
    <t>8.4.1.6</t>
  </si>
  <si>
    <t>8.4.1.7</t>
  </si>
  <si>
    <t>8.4.1.8</t>
  </si>
  <si>
    <t>8.4.1.9</t>
  </si>
  <si>
    <t>8.4.1.10</t>
  </si>
  <si>
    <t>8.4.1.11</t>
  </si>
  <si>
    <t>8.4.1.12</t>
  </si>
  <si>
    <t>8.4.1.13</t>
  </si>
  <si>
    <t>8.4.1.14</t>
  </si>
  <si>
    <t>8.4.1.15</t>
  </si>
  <si>
    <t>8.4.1.16</t>
  </si>
  <si>
    <t>8.4.1.17</t>
  </si>
  <si>
    <t>8.4.1.18</t>
  </si>
  <si>
    <t>8.4.1.19</t>
  </si>
  <si>
    <t>8.4.1.20</t>
  </si>
  <si>
    <t>8.4.2.1</t>
  </si>
  <si>
    <t>8.4.2.2</t>
  </si>
  <si>
    <t>8.4.2.3</t>
  </si>
  <si>
    <t>8.4.2.4</t>
  </si>
  <si>
    <t>8.4.2.5</t>
  </si>
  <si>
    <t>8.4.2.6</t>
  </si>
  <si>
    <t>8.4.2.7</t>
  </si>
  <si>
    <t>8.4.2.8</t>
  </si>
  <si>
    <t>8.4.2.9</t>
  </si>
  <si>
    <t>8.4.2.10</t>
  </si>
  <si>
    <t>8.4.2.11</t>
  </si>
  <si>
    <t>8.4.2.12</t>
  </si>
  <si>
    <t>8.4.2.13</t>
  </si>
  <si>
    <t>8.4.2.14</t>
  </si>
  <si>
    <t>8.4.2.15</t>
  </si>
  <si>
    <t>8.4.2.16</t>
  </si>
  <si>
    <t>8.4.2.17</t>
  </si>
  <si>
    <t>8.4.2.18</t>
  </si>
  <si>
    <t>8.4.2.19</t>
  </si>
  <si>
    <t>8.4.2.20</t>
  </si>
  <si>
    <t>ფულადი სახსრები და მათი ექვივალენტები</t>
  </si>
  <si>
    <t>8.2.1</t>
  </si>
  <si>
    <t>8.2.1.1</t>
  </si>
  <si>
    <t>8.2.1.2</t>
  </si>
  <si>
    <t>8.2.1.3</t>
  </si>
  <si>
    <t>8.2.1.4</t>
  </si>
  <si>
    <t>8.2.1.5</t>
  </si>
  <si>
    <t>8.2.1.6</t>
  </si>
  <si>
    <t>8.2.1.7</t>
  </si>
  <si>
    <t>8.2.1.8</t>
  </si>
  <si>
    <t>8.2.1.9</t>
  </si>
  <si>
    <t>8.2.1.10</t>
  </si>
  <si>
    <t>8.2.1.11</t>
  </si>
  <si>
    <t>8.2.1.12</t>
  </si>
  <si>
    <t>8.2.1.13</t>
  </si>
  <si>
    <t>8.2.1.14</t>
  </si>
  <si>
    <t>8.2.1.15</t>
  </si>
  <si>
    <t>8.2.1.16</t>
  </si>
  <si>
    <t>8.2.1.17</t>
  </si>
  <si>
    <t>8.2.1.18</t>
  </si>
  <si>
    <t>8.2.1.19</t>
  </si>
  <si>
    <t>8.2.1.20</t>
  </si>
  <si>
    <t>8.2.2</t>
  </si>
  <si>
    <t>8.2.2.1</t>
  </si>
  <si>
    <t>8.2.2.2</t>
  </si>
  <si>
    <t>8.2.2.3</t>
  </si>
  <si>
    <t>8.2.2.4</t>
  </si>
  <si>
    <t>8.2.2.5</t>
  </si>
  <si>
    <t>8.2.2.6</t>
  </si>
  <si>
    <t>8.2.2.7</t>
  </si>
  <si>
    <t>8.2.2.8</t>
  </si>
  <si>
    <t>8.2.2.9</t>
  </si>
  <si>
    <t>8.2.2.10</t>
  </si>
  <si>
    <t>8.2.2.11</t>
  </si>
  <si>
    <t>8.2.2.12</t>
  </si>
  <si>
    <t>8.2.2.13</t>
  </si>
  <si>
    <t>8.2.2.14</t>
  </si>
  <si>
    <t>8.2.2.15</t>
  </si>
  <si>
    <t>8.2.2.16</t>
  </si>
  <si>
    <t>8.2.2.17</t>
  </si>
  <si>
    <t>8.2.2.18</t>
  </si>
  <si>
    <t>8.2.2.19</t>
  </si>
  <si>
    <t>8.2.2.20</t>
  </si>
  <si>
    <t>8.2.3</t>
  </si>
  <si>
    <t>8.2.3.1</t>
  </si>
  <si>
    <t>8.2.3.2</t>
  </si>
  <si>
    <t>8.2.3.3</t>
  </si>
  <si>
    <t>8.2.3.4</t>
  </si>
  <si>
    <t>8.2.3.5</t>
  </si>
  <si>
    <t>8.2.3.6</t>
  </si>
  <si>
    <t>8.2.3.7</t>
  </si>
  <si>
    <t>8.2.3.8</t>
  </si>
  <si>
    <t>8.2.3.9</t>
  </si>
  <si>
    <t>8.2.3.10</t>
  </si>
  <si>
    <t>8.2.3.11</t>
  </si>
  <si>
    <t>8.2.3.12</t>
  </si>
  <si>
    <t>8.2.3.13</t>
  </si>
  <si>
    <t>8.2.3.14</t>
  </si>
  <si>
    <t>8.2.3.15</t>
  </si>
  <si>
    <t>8.2.3.16</t>
  </si>
  <si>
    <t>8.2.3.17</t>
  </si>
  <si>
    <t>8.2.3.18</t>
  </si>
  <si>
    <t>8.2.3.19</t>
  </si>
  <si>
    <t>8.2.3.20</t>
  </si>
  <si>
    <t>8.2.4</t>
  </si>
  <si>
    <t>8.2.4.1</t>
  </si>
  <si>
    <t>8.2.4.2</t>
  </si>
  <si>
    <t>8.2.4.3</t>
  </si>
  <si>
    <t>8.2.4.4</t>
  </si>
  <si>
    <t>8.2.4.5</t>
  </si>
  <si>
    <t>8.2.4.6</t>
  </si>
  <si>
    <t>8.2.4.7</t>
  </si>
  <si>
    <t>8.2.4.8</t>
  </si>
  <si>
    <t>8.2.4.9</t>
  </si>
  <si>
    <t>8.2.4.10</t>
  </si>
  <si>
    <t>8.2.4.11</t>
  </si>
  <si>
    <t>8.2.4.12</t>
  </si>
  <si>
    <t>8.2.4.13</t>
  </si>
  <si>
    <t>8.2.4.14</t>
  </si>
  <si>
    <t>8.2.4.15</t>
  </si>
  <si>
    <t>8.2.4.16</t>
  </si>
  <si>
    <t>8.2.4.17</t>
  </si>
  <si>
    <t>8.2.4.18</t>
  </si>
  <si>
    <t>8.2.4.19</t>
  </si>
  <si>
    <t>8.2.4.20</t>
  </si>
  <si>
    <t>8.3.1</t>
  </si>
  <si>
    <t>8.3.1.1</t>
  </si>
  <si>
    <t>8.3.1.2</t>
  </si>
  <si>
    <t>8.3.1.3</t>
  </si>
  <si>
    <t>8.3.1.4</t>
  </si>
  <si>
    <t>8.3.1.5</t>
  </si>
  <si>
    <t>8.3.1.6</t>
  </si>
  <si>
    <t>8.3.1.7</t>
  </si>
  <si>
    <t>8.3.1.8</t>
  </si>
  <si>
    <t>8.3.1.9</t>
  </si>
  <si>
    <t>8.3.1.10</t>
  </si>
  <si>
    <t>8.3.1.11</t>
  </si>
  <si>
    <t>8.3.1.12</t>
  </si>
  <si>
    <t>8.3.1.13</t>
  </si>
  <si>
    <t>8.3.1.14</t>
  </si>
  <si>
    <t>8.3.1.15</t>
  </si>
  <si>
    <t>8.3.1.16</t>
  </si>
  <si>
    <t>8.3.1.17</t>
  </si>
  <si>
    <t>8.3.1.18</t>
  </si>
  <si>
    <t>8.3.1.19</t>
  </si>
  <si>
    <t>8.3.1.20</t>
  </si>
  <si>
    <t>8.3.2</t>
  </si>
  <si>
    <t>8.3.2.1</t>
  </si>
  <si>
    <t>8.3.2.2</t>
  </si>
  <si>
    <t>8.3.2.3</t>
  </si>
  <si>
    <t>8.3.2.4</t>
  </si>
  <si>
    <t>8.3.2.5</t>
  </si>
  <si>
    <t>8.3.2.6</t>
  </si>
  <si>
    <t>8.3.2.7</t>
  </si>
  <si>
    <t>8.3.2.8</t>
  </si>
  <si>
    <t>8.3.2.9</t>
  </si>
  <si>
    <t>8.3.2.10</t>
  </si>
  <si>
    <t>8.3.2.11</t>
  </si>
  <si>
    <t>8.3.2.12</t>
  </si>
  <si>
    <t>8.3.2.13</t>
  </si>
  <si>
    <t>8.3.2.14</t>
  </si>
  <si>
    <t>8.3.2.15</t>
  </si>
  <si>
    <t>8.3.2.16</t>
  </si>
  <si>
    <t>8.3.2.17</t>
  </si>
  <si>
    <t>8.3.2.18</t>
  </si>
  <si>
    <t>8.3.2.19</t>
  </si>
  <si>
    <t>8.3.2.20</t>
  </si>
  <si>
    <t>8.3.3</t>
  </si>
  <si>
    <t>8.3.4</t>
  </si>
  <si>
    <t>8.3.4.1</t>
  </si>
  <si>
    <t>8.3.4.2</t>
  </si>
  <si>
    <t>8.3.4.3</t>
  </si>
  <si>
    <t>8.3.4.4</t>
  </si>
  <si>
    <t>8.3.4.5</t>
  </si>
  <si>
    <t>8.3.4.6</t>
  </si>
  <si>
    <t>8.3.4.7</t>
  </si>
  <si>
    <t>8.3.4.8</t>
  </si>
  <si>
    <t>8.3.4.9</t>
  </si>
  <si>
    <t>8.3.4.10</t>
  </si>
  <si>
    <t>8.3.4.11</t>
  </si>
  <si>
    <t>8.3.4.12</t>
  </si>
  <si>
    <t>8.3.4.13</t>
  </si>
  <si>
    <t>8.3.4.14</t>
  </si>
  <si>
    <t>8.3.4.15</t>
  </si>
  <si>
    <t>8.3.4.16</t>
  </si>
  <si>
    <t>8.3.4.17</t>
  </si>
  <si>
    <t>8.3.4.18</t>
  </si>
  <si>
    <t>8.3.4.19</t>
  </si>
  <si>
    <t>8.3.4.20</t>
  </si>
  <si>
    <t>8.4.2</t>
  </si>
  <si>
    <t>8.4.3</t>
  </si>
  <si>
    <t>8.4.4</t>
  </si>
  <si>
    <t>8.4.4.1</t>
  </si>
  <si>
    <t>8.4.4.2</t>
  </si>
  <si>
    <t>8.4.4.3</t>
  </si>
  <si>
    <t>8.4.4.4</t>
  </si>
  <si>
    <t>8.4.4.5</t>
  </si>
  <si>
    <t>8.4.4.6</t>
  </si>
  <si>
    <t>8.4.4.7</t>
  </si>
  <si>
    <t>8.4.4.8</t>
  </si>
  <si>
    <t>8.4.4.9</t>
  </si>
  <si>
    <t>8.4.4.10</t>
  </si>
  <si>
    <t>8.4.4.11</t>
  </si>
  <si>
    <t>8.4.4.12</t>
  </si>
  <si>
    <t>8.4.4.13</t>
  </si>
  <si>
    <t>8.4.4.14</t>
  </si>
  <si>
    <t>8.4.4.15</t>
  </si>
  <si>
    <t>8.4.4.16</t>
  </si>
  <si>
    <t>8.4.4.17</t>
  </si>
  <si>
    <t>8.4.4.18</t>
  </si>
  <si>
    <t>8.4.4.19</t>
  </si>
  <si>
    <t>8.4.4.20</t>
  </si>
  <si>
    <t>8.5.3</t>
  </si>
  <si>
    <t>8.5.4</t>
  </si>
  <si>
    <t>8.5.5</t>
  </si>
  <si>
    <t>8.5.6</t>
  </si>
  <si>
    <t>8.5.7</t>
  </si>
  <si>
    <t>8.5.8</t>
  </si>
  <si>
    <t>8.5.9</t>
  </si>
  <si>
    <t>8.5.10</t>
  </si>
  <si>
    <t>8.5.11</t>
  </si>
  <si>
    <t>8.5.12</t>
  </si>
  <si>
    <t>8.5.13</t>
  </si>
  <si>
    <t>8.5.14</t>
  </si>
  <si>
    <t>8.5.15</t>
  </si>
  <si>
    <t>8.5.16</t>
  </si>
  <si>
    <t>8.5.17</t>
  </si>
  <si>
    <t>8.5.18</t>
  </si>
  <si>
    <t>8.5.19</t>
  </si>
  <si>
    <t>8.5.20</t>
  </si>
  <si>
    <t>8.6.1</t>
  </si>
  <si>
    <t>8.6.2</t>
  </si>
  <si>
    <t>8.6.3</t>
  </si>
  <si>
    <t>8.6.4</t>
  </si>
  <si>
    <t>8.6.5</t>
  </si>
  <si>
    <t>8.6.6</t>
  </si>
  <si>
    <t>8.6.7</t>
  </si>
  <si>
    <t>8.6.8</t>
  </si>
  <si>
    <t>8.6.9</t>
  </si>
  <si>
    <t>8.6.10</t>
  </si>
  <si>
    <t>8.6.11</t>
  </si>
  <si>
    <t>8.6.12</t>
  </si>
  <si>
    <t>8.6.13</t>
  </si>
  <si>
    <t>8.6.14</t>
  </si>
  <si>
    <t>8.6.15</t>
  </si>
  <si>
    <t>8.6.16</t>
  </si>
  <si>
    <t>8.6.17</t>
  </si>
  <si>
    <t>8.6.18</t>
  </si>
  <si>
    <t>8.6.19</t>
  </si>
  <si>
    <t>8.6.20</t>
  </si>
  <si>
    <t>9.2.1</t>
  </si>
  <si>
    <t>9.2.1.1</t>
  </si>
  <si>
    <t>9.2.1.2</t>
  </si>
  <si>
    <t>9.2.1.3</t>
  </si>
  <si>
    <t>9.2.1.4</t>
  </si>
  <si>
    <t>9.2.1.5</t>
  </si>
  <si>
    <t>9.2.1.6</t>
  </si>
  <si>
    <t>9.2.1.7</t>
  </si>
  <si>
    <t>9.2.1.8</t>
  </si>
  <si>
    <t>9.2.1.9</t>
  </si>
  <si>
    <t>9.2.1.10</t>
  </si>
  <si>
    <t>9.2.1.11</t>
  </si>
  <si>
    <t>9.2.1.12</t>
  </si>
  <si>
    <t>9.2.1.13</t>
  </si>
  <si>
    <t>9.2.1.14</t>
  </si>
  <si>
    <t>9.2.1.15</t>
  </si>
  <si>
    <t>9.2.1.16</t>
  </si>
  <si>
    <t>9.2.1.17</t>
  </si>
  <si>
    <t>9.2.1.18</t>
  </si>
  <si>
    <t>9.2.1.19</t>
  </si>
  <si>
    <t>9.2.1.20</t>
  </si>
  <si>
    <t>9.2.2</t>
  </si>
  <si>
    <t>9.2.2.1</t>
  </si>
  <si>
    <t>9.2.2.2</t>
  </si>
  <si>
    <t>9.2.2.3</t>
  </si>
  <si>
    <t>9.2.2.4</t>
  </si>
  <si>
    <t>9.2.2.5</t>
  </si>
  <si>
    <t>9.2.2.6</t>
  </si>
  <si>
    <t>9.2.2.7</t>
  </si>
  <si>
    <t>9.2.2.8</t>
  </si>
  <si>
    <t>9.2.2.9</t>
  </si>
  <si>
    <t>9.2.2.10</t>
  </si>
  <si>
    <t>9.2.2.11</t>
  </si>
  <si>
    <t>9.2.2.12</t>
  </si>
  <si>
    <t>9.2.2.13</t>
  </si>
  <si>
    <t>9.2.2.14</t>
  </si>
  <si>
    <t>9.2.2.15</t>
  </si>
  <si>
    <t>9.2.2.16</t>
  </si>
  <si>
    <t>9.2.2.17</t>
  </si>
  <si>
    <t>9.2.2.18</t>
  </si>
  <si>
    <t>9.2.2.19</t>
  </si>
  <si>
    <t>9.2.2.20</t>
  </si>
  <si>
    <t>9.2.3</t>
  </si>
  <si>
    <t>9.2.3.1</t>
  </si>
  <si>
    <t>9.2.3.2</t>
  </si>
  <si>
    <t>9.2.3.3</t>
  </si>
  <si>
    <t>9.2.3.4</t>
  </si>
  <si>
    <t>9.2.3.5</t>
  </si>
  <si>
    <t>9.2.3.6</t>
  </si>
  <si>
    <t>9.2.3.7</t>
  </si>
  <si>
    <t>9.2.3.8</t>
  </si>
  <si>
    <t>9.2.3.9</t>
  </si>
  <si>
    <t>9.2.3.10</t>
  </si>
  <si>
    <t>9.2.3.11</t>
  </si>
  <si>
    <t>9.2.3.12</t>
  </si>
  <si>
    <t>9.2.3.13</t>
  </si>
  <si>
    <t>9.2.3.14</t>
  </si>
  <si>
    <t>9.2.3.15</t>
  </si>
  <si>
    <t>9.2.3.16</t>
  </si>
  <si>
    <t>9.2.3.17</t>
  </si>
  <si>
    <t>9.2.3.18</t>
  </si>
  <si>
    <t>9.2.3.19</t>
  </si>
  <si>
    <t>9.2.3.20</t>
  </si>
  <si>
    <t>9.2.4</t>
  </si>
  <si>
    <t>9.2.4.1</t>
  </si>
  <si>
    <t>9.2.4.2</t>
  </si>
  <si>
    <t>9.2.4.3</t>
  </si>
  <si>
    <t>9.2.4.4</t>
  </si>
  <si>
    <t>9.2.4.5</t>
  </si>
  <si>
    <t>9.2.4.6</t>
  </si>
  <si>
    <t>9.2.4.7</t>
  </si>
  <si>
    <t>9.2.4.8</t>
  </si>
  <si>
    <t>9.2.4.9</t>
  </si>
  <si>
    <t>9.2.4.10</t>
  </si>
  <si>
    <t>9.2.4.11</t>
  </si>
  <si>
    <t>9.2.4.12</t>
  </si>
  <si>
    <t>9.2.4.13</t>
  </si>
  <si>
    <t>9.2.4.14</t>
  </si>
  <si>
    <t>9.2.4.15</t>
  </si>
  <si>
    <t>9.2.4.16</t>
  </si>
  <si>
    <t>9.2.4.17</t>
  </si>
  <si>
    <t>9.2.4.18</t>
  </si>
  <si>
    <t>9.2.4.19</t>
  </si>
  <si>
    <t>9.2.4.20</t>
  </si>
  <si>
    <t>9.3.1</t>
  </si>
  <si>
    <t>9.3.1.1</t>
  </si>
  <si>
    <t>9.3.1.2</t>
  </si>
  <si>
    <t>9.3.1.3</t>
  </si>
  <si>
    <t>9.3.1.4</t>
  </si>
  <si>
    <t>9.3.1.5</t>
  </si>
  <si>
    <t>9.3.1.6</t>
  </si>
  <si>
    <t>9.3.1.7</t>
  </si>
  <si>
    <t>9.3.1.8</t>
  </si>
  <si>
    <t>9.3.1.9</t>
  </si>
  <si>
    <t>9.3.1.10</t>
  </si>
  <si>
    <t>9.3.1.11</t>
  </si>
  <si>
    <t>9.3.1.12</t>
  </si>
  <si>
    <t>9.3.1.13</t>
  </si>
  <si>
    <t>9.3.1.14</t>
  </si>
  <si>
    <t>9.3.1.15</t>
  </si>
  <si>
    <t>9.3.1.16</t>
  </si>
  <si>
    <t>9.3.1.17</t>
  </si>
  <si>
    <t>9.3.1.18</t>
  </si>
  <si>
    <t>9.3.1.19</t>
  </si>
  <si>
    <t>9.3.1.20</t>
  </si>
  <si>
    <t>9.3.2</t>
  </si>
  <si>
    <t>9.3.2.1</t>
  </si>
  <si>
    <t>9.3.2.2</t>
  </si>
  <si>
    <t>9.3.2.3</t>
  </si>
  <si>
    <t>9.3.2.4</t>
  </si>
  <si>
    <t>9.3.2.5</t>
  </si>
  <si>
    <t>9.3.2.6</t>
  </si>
  <si>
    <t>9.3.2.7</t>
  </si>
  <si>
    <t>9.3.2.8</t>
  </si>
  <si>
    <t>9.3.2.9</t>
  </si>
  <si>
    <t>9.3.2.10</t>
  </si>
  <si>
    <t>9.3.2.11</t>
  </si>
  <si>
    <t>9.3.2.12</t>
  </si>
  <si>
    <t>9.3.2.13</t>
  </si>
  <si>
    <t>9.3.2.14</t>
  </si>
  <si>
    <t>9.3.2.15</t>
  </si>
  <si>
    <t>9.3.2.16</t>
  </si>
  <si>
    <t>9.3.2.17</t>
  </si>
  <si>
    <t>9.3.2.18</t>
  </si>
  <si>
    <t>9.3.2.19</t>
  </si>
  <si>
    <t>9.3.2.20</t>
  </si>
  <si>
    <t>9.3.3</t>
  </si>
  <si>
    <t>9.3.3.1</t>
  </si>
  <si>
    <t>9.3.3.2</t>
  </si>
  <si>
    <t>9.3.3.3</t>
  </si>
  <si>
    <t>9.3.3.4</t>
  </si>
  <si>
    <t>9.3.3.5</t>
  </si>
  <si>
    <t>9.3.3.6</t>
  </si>
  <si>
    <t>9.3.3.7</t>
  </si>
  <si>
    <t>9.3.3.8</t>
  </si>
  <si>
    <t>9.3.3.9</t>
  </si>
  <si>
    <t>9.3.3.10</t>
  </si>
  <si>
    <t>9.3.3.11</t>
  </si>
  <si>
    <t>9.3.3.12</t>
  </si>
  <si>
    <t>9.3.3.13</t>
  </si>
  <si>
    <t>9.3.3.14</t>
  </si>
  <si>
    <t>9.3.3.15</t>
  </si>
  <si>
    <t>9.3.3.16</t>
  </si>
  <si>
    <t>9.3.3.17</t>
  </si>
  <si>
    <t>9.3.3.18</t>
  </si>
  <si>
    <t>9.3.3.19</t>
  </si>
  <si>
    <t>9.3.3.20</t>
  </si>
  <si>
    <t>9.3.4</t>
  </si>
  <si>
    <t>9.3.4.1</t>
  </si>
  <si>
    <t>9.3.4.2</t>
  </si>
  <si>
    <t>9.3.4.3</t>
  </si>
  <si>
    <t>9.3.4.4</t>
  </si>
  <si>
    <t>9.3.4.5</t>
  </si>
  <si>
    <t>9.3.4.6</t>
  </si>
  <si>
    <t>9.3.4.7</t>
  </si>
  <si>
    <t>9.3.4.8</t>
  </si>
  <si>
    <t>9.3.4.9</t>
  </si>
  <si>
    <t>9.3.4.10</t>
  </si>
  <si>
    <t>9.3.4.11</t>
  </si>
  <si>
    <t>9.3.4.12</t>
  </si>
  <si>
    <t>9.3.4.13</t>
  </si>
  <si>
    <t>9.3.4.14</t>
  </si>
  <si>
    <t>9.3.4.15</t>
  </si>
  <si>
    <t>9.3.4.16</t>
  </si>
  <si>
    <t>9.3.4.17</t>
  </si>
  <si>
    <t>9.3.4.18</t>
  </si>
  <si>
    <t>9.3.4.19</t>
  </si>
  <si>
    <t>9.3.4.20</t>
  </si>
  <si>
    <t>9.4.1</t>
  </si>
  <si>
    <t>9.4.1.1</t>
  </si>
  <si>
    <t>9.4.1.2</t>
  </si>
  <si>
    <t>9.4.1.3</t>
  </si>
  <si>
    <t>9.4.1.4</t>
  </si>
  <si>
    <t>9.4.1.5</t>
  </si>
  <si>
    <t>9.4.1.6</t>
  </si>
  <si>
    <t>9.4.1.7</t>
  </si>
  <si>
    <t>9.4.1.8</t>
  </si>
  <si>
    <t>9.4.1.9</t>
  </si>
  <si>
    <t>9.4.1.10</t>
  </si>
  <si>
    <t>9.4.1.11</t>
  </si>
  <si>
    <t>9.4.1.12</t>
  </si>
  <si>
    <t>9.4.1.13</t>
  </si>
  <si>
    <t>9.4.1.14</t>
  </si>
  <si>
    <t>9.4.1.15</t>
  </si>
  <si>
    <t>9.4.1.16</t>
  </si>
  <si>
    <t>9.4.1.17</t>
  </si>
  <si>
    <t>9.4.1.18</t>
  </si>
  <si>
    <t>9.4.1.19</t>
  </si>
  <si>
    <t>9.4.1.20</t>
  </si>
  <si>
    <t>9.4.2</t>
  </si>
  <si>
    <t>9.4.2.1</t>
  </si>
  <si>
    <t>9.4.2.2</t>
  </si>
  <si>
    <t>9.4.2.3</t>
  </si>
  <si>
    <t>9.4.2.4</t>
  </si>
  <si>
    <t>9.4.2.5</t>
  </si>
  <si>
    <t>9.4.2.6</t>
  </si>
  <si>
    <t>9.4.2.7</t>
  </si>
  <si>
    <t>9.4.2.8</t>
  </si>
  <si>
    <t>9.4.2.9</t>
  </si>
  <si>
    <t>9.4.2.10</t>
  </si>
  <si>
    <t>9.4.2.11</t>
  </si>
  <si>
    <t>9.4.2.12</t>
  </si>
  <si>
    <t>9.4.2.13</t>
  </si>
  <si>
    <t>9.4.2.14</t>
  </si>
  <si>
    <t>9.4.2.15</t>
  </si>
  <si>
    <t>9.4.2.16</t>
  </si>
  <si>
    <t>9.4.2.17</t>
  </si>
  <si>
    <t>9.4.2.18</t>
  </si>
  <si>
    <t>9.4.2.19</t>
  </si>
  <si>
    <t>9.4.2.20</t>
  </si>
  <si>
    <t>9.4.3</t>
  </si>
  <si>
    <t>9.4.3.1</t>
  </si>
  <si>
    <t>9.4.3.2</t>
  </si>
  <si>
    <t>9.4.3.3</t>
  </si>
  <si>
    <t>9.4.3.4</t>
  </si>
  <si>
    <t>9.4.3.5</t>
  </si>
  <si>
    <t>9.4.3.6</t>
  </si>
  <si>
    <t>9.4.3.7</t>
  </si>
  <si>
    <t>9.4.3.8</t>
  </si>
  <si>
    <t>9.4.3.9</t>
  </si>
  <si>
    <t>9.4.3.10</t>
  </si>
  <si>
    <t>9.4.3.11</t>
  </si>
  <si>
    <t>წლის დასაწყისიდან საანგარიშო პერიოდის ბოლომდე გაფორმებული სადაზღვევო პოლისების რაოდენობა და მოზიდული პრემიის ოდენობა (სადაზღვევო საქმიანობა)</t>
  </si>
  <si>
    <t>საჰაერო სატრანსპორტო საშუალებათა დაზღვევა (კორპუსის დაზღვევა)</t>
  </si>
  <si>
    <t>სხვა პასუხისმგებლობის დაზღვევა, რომელიც დაკავშირებულია საჰაერო ტრანსპორტის გამოყენებასთან</t>
  </si>
  <si>
    <t>მცურავ სატრანსპორტო საშუალებათა გამოყენებასთან დაკავშირებული პასუხისმგებლობის დაზღვევა</t>
  </si>
  <si>
    <t>ვალდებულებათა შესრულების დაზღვევა</t>
  </si>
  <si>
    <t>სულ გადაზღვევის პრემია, ჯამური  
(1+2+5+6+9+13+14+15+18+19+22+23+24+25+29+30+34)</t>
  </si>
  <si>
    <t xml:space="preserve">სულ ანაზღაურებული ზარალები 
(1+2+5+6+9+13+14+15+18+19+22+23+24+25+29+30+34) </t>
  </si>
  <si>
    <t xml:space="preserve">სულ გადაზღვევის წილი ანაზღაურებულ ზარალებში 
(1+2+5+6+9+13+14+15+18+19+22+23+24+25+29+30+34)     </t>
  </si>
  <si>
    <t xml:space="preserve">სულ მოზიდული პრემია, ჯამური 
(1+2+5+6+9+13+14+15+18+19+22+23+24+25+29+30+34)     </t>
  </si>
  <si>
    <t xml:space="preserve">სულ მოზიდული პრემია, ჯამური (გადაზღვევის საქმიანობა) 
(1+2+5+6+9+13+14+15+18+19+22+23+24+25+29+30+34)   </t>
  </si>
  <si>
    <t xml:space="preserve">სულ მოზიდული პრემია, ჯამური (გადაზღვევის საქმიანობა) (1+2+5+6+9+13+14+15+18+19+22+23+24+25+29+30+34)         </t>
  </si>
  <si>
    <t>სიცოცხლის დაზღვევის სხვა ფორმები</t>
  </si>
  <si>
    <t>სულ გადაზღვევის პრემია, ჯამური (1+2+3+4)</t>
  </si>
  <si>
    <t>სულ ანაზღაურებული ზარალები (1+2+3+4)</t>
  </si>
  <si>
    <t>სულ გადაზღვევის წილი ანაზღაურებულ ზარალებში (1+2+3+4)</t>
  </si>
  <si>
    <t>ავტომოტოტრანსპორტის მფლობელთა სამოქალაქო პასუხისმგებლობის სავალდებულო დაზღვევა</t>
  </si>
  <si>
    <t>მცურავი სატრანსპორტო საშუალებების დაზღვევა (კორპუსის დაზღვევა)</t>
  </si>
  <si>
    <t>სხვა სახის პასუხისმგებლობის დაზღვევა</t>
  </si>
  <si>
    <t>საზღვაო გადამზიდველის პასუხისმგებლობის დაზღვევა</t>
  </si>
  <si>
    <t>სხვა პასუხისმგებლობის დაზღვევა, რომელიც დაკავშირებულია მცურავი ტრანსპორტის გამოყენებასთან</t>
  </si>
  <si>
    <t>ანაზღაურებულ ზარალებთან დაკავშირებული მოთხოვნები გადაზღვევიდან</t>
  </si>
  <si>
    <t>ანაზღაურებულ ზარალებთან დაკავშირებული მოთხოვნები გადაზღვევიდან, წმინდა   (10-11)</t>
  </si>
  <si>
    <r>
      <t>წლის დასაწყისიდან საანგარიშო პერიოდის ბოლომდე</t>
    </r>
    <r>
      <rPr>
        <b/>
        <sz val="10"/>
        <rFont val="Sylfaen"/>
        <family val="1"/>
        <charset val="204"/>
      </rPr>
      <t xml:space="preserve"> ანაზღაურებულ ზარალებში გადამზღვევლის წილის  ოდენობა</t>
    </r>
    <r>
      <rPr>
        <b/>
        <sz val="10"/>
        <rFont val="Sylfaen"/>
        <family val="1"/>
      </rPr>
      <t xml:space="preserve"> (სადაზღვევო საქმიანობა)</t>
    </r>
  </si>
  <si>
    <r>
      <t>წლის დასაწყისიდან საანგარიშო პერიოდის ბოლომდე ცედენტებთან გაფორმებული გადაზღვევის ხელშეკრულებების</t>
    </r>
    <r>
      <rPr>
        <b/>
        <sz val="10"/>
        <color indexed="10"/>
        <rFont val="Sylfaen"/>
        <family val="1"/>
      </rPr>
      <t xml:space="preserve"> </t>
    </r>
    <r>
      <rPr>
        <b/>
        <sz val="10"/>
        <rFont val="Sylfaen"/>
        <family val="1"/>
      </rPr>
      <t>რაოდენობა და მოზიდული პრემიის ოდენობა (გადაზღვევის საქმიანობა)</t>
    </r>
  </si>
  <si>
    <r>
      <t>წლის დასაწყისიდან საანგარიშო პერიოდის ბოლომდე რეტროცესიონერთან გაფორმებული  ხელშეკრულებების რაოდენობა და რეტროცესიის</t>
    </r>
    <r>
      <rPr>
        <b/>
        <sz val="10"/>
        <color indexed="10"/>
        <rFont val="Sylfaen"/>
        <family val="1"/>
      </rPr>
      <t xml:space="preserve"> </t>
    </r>
    <r>
      <rPr>
        <b/>
        <sz val="10"/>
        <rFont val="Sylfaen"/>
        <family val="1"/>
      </rPr>
      <t>პრემიის ოდენობა (გადაზღვევის საქმიანობა)</t>
    </r>
  </si>
  <si>
    <t>წლის დასაწყისიდან საანგარიშო პერიოდის ბოლომდე ანაზღაურებულ ზარალებში გადამზღვევლის/რეტროცესიონერის წილის ოდენობა (გადაზღვევის საქმიანობა)</t>
  </si>
  <si>
    <t>წლის დასაწყისიდან საანგარიშო პერიოდის ბოლომდე ანაზღაურებულ ზარალებში გადამზღვევლის წილის  ოდენობა  (სადაზღვევო საქმიანობა)</t>
  </si>
  <si>
    <t>წლის დასაწყისიდან საანგარიშო პერიოდის ბოლომდე ცედენტებთან გაფორმებული გადაზღვევის ხელშეკრულებების რაოდენობა და მოზიდული პრემიის ოდენობა (გადაზღვევის საქმიანობა)</t>
  </si>
  <si>
    <t>წლის დასაწყისიდან საანგარიშო პერიოდის ბოლომდე გადამზღვეველთან/რეტროცესიონერთან გაფორმებული ხელშეკრულებების რაოდენობა და გადაზღვევის პრემიის ოდენობა (გადაზღვევის საქმიანობა)</t>
  </si>
  <si>
    <t>წლის დასაწყისიდან საანგარიშო პერიოდის ბოლომდე ანაზღაურებულ ზარალებში გადამზღვევლის წილის  ოდენობა (გადაზღვევის საქმიანობა)</t>
  </si>
  <si>
    <t>ფორმა N4 (ნაწილი I)</t>
  </si>
  <si>
    <t xml:space="preserve"> ფორმა N4</t>
  </si>
  <si>
    <t>ფორმა N4 (ნაწილი II)</t>
  </si>
  <si>
    <t>ფორმა N4 (ნაწილი V)</t>
  </si>
  <si>
    <t>ფორმა N4 (ნაწილი VI)</t>
  </si>
  <si>
    <t>ფორმა N4 (ნაწილი VIII)</t>
  </si>
  <si>
    <t>ფორმა N4 (ნაწილი III)</t>
  </si>
  <si>
    <t>ფორმა N4 (ნაწილი IV)</t>
  </si>
  <si>
    <t>ფორმა N4 (ნაწილი VII)</t>
  </si>
  <si>
    <t xml:space="preserve"> ფორმა N5</t>
  </si>
  <si>
    <t>ფორმა N5 (ნაწილი I)</t>
  </si>
  <si>
    <t>ფორმა N5 (ნაწილი II)</t>
  </si>
  <si>
    <t>ფორმა N5 (ნაწილი III)</t>
  </si>
  <si>
    <t>ფორმა N5 (ნაწილი IV)</t>
  </si>
  <si>
    <t>ფორმა N5 (ნაწილი V)</t>
  </si>
  <si>
    <t>ფორმა N5 (ნაწილი VI)</t>
  </si>
  <si>
    <t>ფორმა N5 (ნაწილი VII)</t>
  </si>
  <si>
    <t>ფორმა N5 (ნაწილი VIII)</t>
  </si>
  <si>
    <t xml:space="preserve"> - დარიცხული ბონუსები (სიცოცხლის)</t>
  </si>
  <si>
    <t xml:space="preserve"> - დარიცხული ბონუსები</t>
  </si>
  <si>
    <t xml:space="preserve"> - გრძელვადიანი დეპოზიტებიდან (365 დღეზე მეტი ვადით) (17+18+19+20)</t>
  </si>
  <si>
    <t>შემოსავლები ინვესტიციებიდან დაკავშირებულ კომპანიებში: (1+2+3+4+5)</t>
  </si>
  <si>
    <t>შემოსავლები ინვესტიციებიდან შვილობილ კომპანიებში: (1+2+3+4+5)</t>
  </si>
  <si>
    <t xml:space="preserve">სულ ადმინისტრაციული ხარჯები:  (1+2+3+4+5+6+7+8+9+10+11+12+13+14+15)                                               </t>
  </si>
  <si>
    <t>სულ გადასახადები: (1+2)</t>
  </si>
  <si>
    <t>სულ ფინანსური ხარჯი: (1+2+3+4+5)</t>
  </si>
  <si>
    <t>სქემა განსაზღვრული შენატანით</t>
  </si>
  <si>
    <t>სქემა განსაზღვრული პენსიით</t>
  </si>
  <si>
    <t>დაზღვევა უბედური შემთხვევებისაგან</t>
  </si>
  <si>
    <t>მგზავრების, მძღოლის ან ეკიპაჟის დაზღვევა უბედური შემთხვევებისაგან</t>
  </si>
  <si>
    <t xml:space="preserve">დაზღვევა უბედური შემთხვევებისაგან: </t>
  </si>
  <si>
    <t xml:space="preserve">სახმელეთო სატრანსპორტო საშუალებათა დაზღვევა (გარდა სარკინიგზო ტრანსპორტისა): </t>
  </si>
  <si>
    <t xml:space="preserve">სახმელეთო ტრანსპორტის გამოყენებასთან დაკავშირებული სამოქალაქო პასუხისმგებლობის დაზღვევა: </t>
  </si>
  <si>
    <t xml:space="preserve"> საპენსიო სქემის საინვესტიციო საქმიანობიდან წარმოშობილი ზარალი</t>
  </si>
  <si>
    <t xml:space="preserve"> - ანაზღაურებული ზარალები</t>
  </si>
  <si>
    <t xml:space="preserve"> - გადამზღვევლის წილი ანაზღაურებულ ზარალებში</t>
  </si>
  <si>
    <t xml:space="preserve"> -  გადამზღვევლის წილი ანაზღაურებულ ზარალებში</t>
  </si>
  <si>
    <t>ანგარიშგების თარიღი:</t>
  </si>
  <si>
    <t xml:space="preserve">ფორმა N1 </t>
  </si>
  <si>
    <t>N</t>
  </si>
  <si>
    <t xml:space="preserve">ფორმა N1-1 </t>
  </si>
  <si>
    <t xml:space="preserve">ფორმა N1-2 </t>
  </si>
  <si>
    <t xml:space="preserve">ფორმა N1-3 </t>
  </si>
  <si>
    <t xml:space="preserve">ფორმა N1-4 </t>
  </si>
  <si>
    <t xml:space="preserve">ფორმა N1-5 </t>
  </si>
  <si>
    <t xml:space="preserve">ფორმა N1-6 </t>
  </si>
  <si>
    <t xml:space="preserve">სასესხო ფასიანი ქაღალდები </t>
  </si>
  <si>
    <t xml:space="preserve"> ფორმა N1-7 </t>
  </si>
  <si>
    <t xml:space="preserve"> - სიცოცხლის დაზღვევის რეზერვი (12-15)</t>
  </si>
  <si>
    <t xml:space="preserve"> ფორმა N1-8 </t>
  </si>
  <si>
    <t xml:space="preserve">ფორმა N1-9 </t>
  </si>
  <si>
    <t xml:space="preserve"> ფორმა N1-10 </t>
  </si>
  <si>
    <t xml:space="preserve">ფორმა N1-11 </t>
  </si>
  <si>
    <t xml:space="preserve"> ფორმა N1-12 </t>
  </si>
  <si>
    <t>სულ ფინანსური ვალდებულებები: (1+2+3)</t>
  </si>
  <si>
    <t xml:space="preserve">ფორმა N1-13 </t>
  </si>
  <si>
    <t xml:space="preserve"> ფორმა N1-14</t>
  </si>
  <si>
    <t xml:space="preserve"> - საპენსიო შემოსავალი:</t>
  </si>
  <si>
    <t xml:space="preserve"> - საპენსიო ხარჯები:</t>
  </si>
  <si>
    <t xml:space="preserve"> ფორმა N1-15 </t>
  </si>
  <si>
    <t xml:space="preserve">ფორმა N3 </t>
  </si>
  <si>
    <t xml:space="preserve"> ფორმა N2 </t>
  </si>
  <si>
    <t>შედეგი საპენსიო საქმიანობიდან, წმინდა   (33-34–35)</t>
  </si>
  <si>
    <t>გადაზღვევიდან კუთვნილი საკომისიო</t>
  </si>
  <si>
    <t xml:space="preserve">ფორმა N2-3 </t>
  </si>
  <si>
    <t xml:space="preserve"> ფორმა N2-2 </t>
  </si>
  <si>
    <t xml:space="preserve"> ფორმა N2-1 </t>
  </si>
  <si>
    <t xml:space="preserve">ფორმა N2-4 </t>
  </si>
  <si>
    <t xml:space="preserve">ფორმა N2-5 </t>
  </si>
  <si>
    <t xml:space="preserve">ფორმა N2-6 </t>
  </si>
  <si>
    <t xml:space="preserve">ფორმა N2-7 </t>
  </si>
  <si>
    <t>9.4.3.12</t>
  </si>
  <si>
    <t>9.4.3.13</t>
  </si>
  <si>
    <t>9.4.3.14</t>
  </si>
  <si>
    <t>9.4.3.15</t>
  </si>
  <si>
    <t>9.4.3.16</t>
  </si>
  <si>
    <t>9.4.3.17</t>
  </si>
  <si>
    <t>9.4.3.18</t>
  </si>
  <si>
    <t>9.4.3.19</t>
  </si>
  <si>
    <t>9.4.3.20</t>
  </si>
  <si>
    <t>9.4.4</t>
  </si>
  <si>
    <t>9.4.4.1</t>
  </si>
  <si>
    <t>9.4.4.2</t>
  </si>
  <si>
    <t>9.4.4.3</t>
  </si>
  <si>
    <t>9.4.4.4</t>
  </si>
  <si>
    <t>9.4.4.5</t>
  </si>
  <si>
    <t>9.4.4.6</t>
  </si>
  <si>
    <t>9.4.4.7</t>
  </si>
  <si>
    <t>9.4.4.8</t>
  </si>
  <si>
    <t>9.4.4.9</t>
  </si>
  <si>
    <t>9.4.4.10</t>
  </si>
  <si>
    <t>9.4.4.11</t>
  </si>
  <si>
    <t>9.4.4.12</t>
  </si>
  <si>
    <t>9.4.4.13</t>
  </si>
  <si>
    <t>9.4.4.14</t>
  </si>
  <si>
    <t>9.4.4.15</t>
  </si>
  <si>
    <t>9.4.4.16</t>
  </si>
  <si>
    <t>9.4.4.17</t>
  </si>
  <si>
    <t>9.4.4.18</t>
  </si>
  <si>
    <t>9.4.4.19</t>
  </si>
  <si>
    <t>9.4.4.20</t>
  </si>
  <si>
    <t>9.5.1</t>
  </si>
  <si>
    <t>9.5.2</t>
  </si>
  <si>
    <t>9.5.3</t>
  </si>
  <si>
    <t>9.5.4</t>
  </si>
  <si>
    <t>9.5.5</t>
  </si>
  <si>
    <t>9.5.6</t>
  </si>
  <si>
    <t>9.5.7</t>
  </si>
  <si>
    <t>9.5.8</t>
  </si>
  <si>
    <t>9.5.9</t>
  </si>
  <si>
    <t>9.5.10</t>
  </si>
  <si>
    <t>9.5.11</t>
  </si>
  <si>
    <t>9.5.12</t>
  </si>
  <si>
    <t>9.5.13</t>
  </si>
  <si>
    <t>9.5.14</t>
  </si>
  <si>
    <t>9.5.15</t>
  </si>
  <si>
    <t>9.5.16</t>
  </si>
  <si>
    <t>9.5.17</t>
  </si>
  <si>
    <t>9.5.18</t>
  </si>
  <si>
    <t>9.5.19</t>
  </si>
  <si>
    <t>9.5.20</t>
  </si>
  <si>
    <t>9.6.1</t>
  </si>
  <si>
    <t>9.6.2</t>
  </si>
  <si>
    <t>9.6.3</t>
  </si>
  <si>
    <t>9.6.4</t>
  </si>
  <si>
    <t>9.6.5</t>
  </si>
  <si>
    <t>9.6.6</t>
  </si>
  <si>
    <t>9.6.7</t>
  </si>
  <si>
    <t>9.6.8</t>
  </si>
  <si>
    <t>9.6.9</t>
  </si>
  <si>
    <t>9.6.10</t>
  </si>
  <si>
    <t>9.6.11</t>
  </si>
  <si>
    <t>9.6.12</t>
  </si>
  <si>
    <t>9.6.13</t>
  </si>
  <si>
    <t>9.6.14</t>
  </si>
  <si>
    <t>9.6.15</t>
  </si>
  <si>
    <t>9.6.16</t>
  </si>
  <si>
    <t>9.6.17</t>
  </si>
  <si>
    <t>9.6.18</t>
  </si>
  <si>
    <t>9.6.19</t>
  </si>
  <si>
    <t>9.6.20</t>
  </si>
  <si>
    <t>10.2.1</t>
  </si>
  <si>
    <t>10.2.1.1</t>
  </si>
  <si>
    <t>10.2.1.2</t>
  </si>
  <si>
    <t>10.2.1.3</t>
  </si>
  <si>
    <t>10.2.1.4</t>
  </si>
  <si>
    <t>10.2.1.5</t>
  </si>
  <si>
    <t>10.2.1.6</t>
  </si>
  <si>
    <t>10.2.1.7</t>
  </si>
  <si>
    <t>10.2.1.8</t>
  </si>
  <si>
    <t>10.2.1.9</t>
  </si>
  <si>
    <t>10.2.1.10</t>
  </si>
  <si>
    <t>10.2.1.11</t>
  </si>
  <si>
    <t>10.2.1.12</t>
  </si>
  <si>
    <t>10.2.1.13</t>
  </si>
  <si>
    <t>10.2.1.14</t>
  </si>
  <si>
    <t>10.2.1.15</t>
  </si>
  <si>
    <t>10.2.1.16</t>
  </si>
  <si>
    <t>10.2.1.17</t>
  </si>
  <si>
    <t>10.2.1.18</t>
  </si>
  <si>
    <t>10.2.1.19</t>
  </si>
  <si>
    <t>10.2.1.20</t>
  </si>
  <si>
    <t>10.2.2</t>
  </si>
  <si>
    <t>10.2.2.1</t>
  </si>
  <si>
    <t>10.2.2.2</t>
  </si>
  <si>
    <t>10.2.2.3</t>
  </si>
  <si>
    <t>10.2.2.4</t>
  </si>
  <si>
    <t>10.2.2.5</t>
  </si>
  <si>
    <t>10.2.2.6</t>
  </si>
  <si>
    <t>10.2.2.7</t>
  </si>
  <si>
    <t>10.2.2.8</t>
  </si>
  <si>
    <t>10.2.2.9</t>
  </si>
  <si>
    <t>10.2.2.10</t>
  </si>
  <si>
    <t>10.2.2.11</t>
  </si>
  <si>
    <t>10.2.2.12</t>
  </si>
  <si>
    <t>10.2.2.13</t>
  </si>
  <si>
    <t>10.2.2.14</t>
  </si>
  <si>
    <t>10.2.2.15</t>
  </si>
  <si>
    <t>10.2.2.16</t>
  </si>
  <si>
    <t>10.2.2.17</t>
  </si>
  <si>
    <t>10.2.2.18</t>
  </si>
  <si>
    <t>10.2.2.19</t>
  </si>
  <si>
    <t>10.2.2.20</t>
  </si>
  <si>
    <t>10.2.3</t>
  </si>
  <si>
    <t>10.2.3.1</t>
  </si>
  <si>
    <t>10.2.3.2</t>
  </si>
  <si>
    <t>10.2.3.3</t>
  </si>
  <si>
    <t>10.2.3.4</t>
  </si>
  <si>
    <t>10.2.3.5</t>
  </si>
  <si>
    <t>10.2.3.6</t>
  </si>
  <si>
    <t>10.2.3.7</t>
  </si>
  <si>
    <t>10.2.3.8</t>
  </si>
  <si>
    <t>10.2.3.9</t>
  </si>
  <si>
    <t>10.2.3.10</t>
  </si>
  <si>
    <t>10.2.3.11</t>
  </si>
  <si>
    <t>10.2.3.12</t>
  </si>
  <si>
    <t>10.2.3.13</t>
  </si>
  <si>
    <t>10.2.3.14</t>
  </si>
  <si>
    <t>10.2.3.15</t>
  </si>
  <si>
    <t>10.2.3.16</t>
  </si>
  <si>
    <t>10.2.3.17</t>
  </si>
  <si>
    <t>10.2.3.18</t>
  </si>
  <si>
    <t>10.2.3.19</t>
  </si>
  <si>
    <t>10.2.3.20</t>
  </si>
  <si>
    <t>10.2.4</t>
  </si>
  <si>
    <t>10.2.4.1</t>
  </si>
  <si>
    <t>10.2.4.2</t>
  </si>
  <si>
    <t>10.2.4.3</t>
  </si>
  <si>
    <t>10.2.4.4</t>
  </si>
  <si>
    <t>10.2.4.5</t>
  </si>
  <si>
    <t>10.2.4.6</t>
  </si>
  <si>
    <t>10.2.4.7</t>
  </si>
  <si>
    <t>10.2.4.8</t>
  </si>
  <si>
    <t>10.2.4.9</t>
  </si>
  <si>
    <t>10.2.4.10</t>
  </si>
  <si>
    <t>10.2.4.11</t>
  </si>
  <si>
    <t>10.2.4.12</t>
  </si>
  <si>
    <t>10.2.4.13</t>
  </si>
  <si>
    <t>10.2.4.14</t>
  </si>
  <si>
    <t>10.2.4.15</t>
  </si>
  <si>
    <t>10.2.4.16</t>
  </si>
  <si>
    <t>10.2.4.17</t>
  </si>
  <si>
    <t>10.2.4.18</t>
  </si>
  <si>
    <t>10.2.4.19</t>
  </si>
  <si>
    <t>10.2.4.20</t>
  </si>
  <si>
    <t>10.3.1</t>
  </si>
  <si>
    <t>10.3.1.1</t>
  </si>
  <si>
    <t>10.3.1.2</t>
  </si>
  <si>
    <t>10.3.1.3</t>
  </si>
  <si>
    <t>10.3.1.4</t>
  </si>
  <si>
    <t>10.3.1.5</t>
  </si>
  <si>
    <t>10.3.1.6</t>
  </si>
  <si>
    <t>10.3.1.7</t>
  </si>
  <si>
    <t>10.3.1.8</t>
  </si>
  <si>
    <t>10.3.1.9</t>
  </si>
  <si>
    <t>10.3.1.10</t>
  </si>
  <si>
    <t>10.3.1.11</t>
  </si>
  <si>
    <t>10.3.1.12</t>
  </si>
  <si>
    <t>10.3.1.13</t>
  </si>
  <si>
    <t>10.3.1.14</t>
  </si>
  <si>
    <t>10.3.1.15</t>
  </si>
  <si>
    <t>10.3.1.16</t>
  </si>
  <si>
    <t>10.3.1.17</t>
  </si>
  <si>
    <t>10.3.1.18</t>
  </si>
  <si>
    <t>10.3.1.19</t>
  </si>
  <si>
    <t>10.3.1.20</t>
  </si>
  <si>
    <t>10.3.2.1</t>
  </si>
  <si>
    <t>10.3.2.2</t>
  </si>
  <si>
    <t>10.3.2.3</t>
  </si>
  <si>
    <t>10.3.2.4</t>
  </si>
  <si>
    <t>10.3.2.5</t>
  </si>
  <si>
    <t>10.3.2.6</t>
  </si>
  <si>
    <t>10.3.2.7</t>
  </si>
  <si>
    <t>10.3.2.8</t>
  </si>
  <si>
    <t>10.3.2.9</t>
  </si>
  <si>
    <t>10.3.2.10</t>
  </si>
  <si>
    <t>10.3.2.11</t>
  </si>
  <si>
    <t>10.3.2.12</t>
  </si>
  <si>
    <t>10.3.2.13</t>
  </si>
  <si>
    <t>10.3.2.14</t>
  </si>
  <si>
    <t>10.3.2.15</t>
  </si>
  <si>
    <t>10.3.2.16</t>
  </si>
  <si>
    <t>10.3.2.17</t>
  </si>
  <si>
    <t>10.3.2.18</t>
  </si>
  <si>
    <t>10.3.2.19</t>
  </si>
  <si>
    <t>10.3.2.20</t>
  </si>
  <si>
    <t>10.3.3.1</t>
  </si>
  <si>
    <t>10.3.3.2</t>
  </si>
  <si>
    <t>10.3.3.3</t>
  </si>
  <si>
    <t>10.3.3.4</t>
  </si>
  <si>
    <t>10.3.3.5</t>
  </si>
  <si>
    <t>10.3.3.6</t>
  </si>
  <si>
    <t>10.3.3.7</t>
  </si>
  <si>
    <t>10.3.3.8</t>
  </si>
  <si>
    <t>10.3.3.9</t>
  </si>
  <si>
    <t>10.3.3.10</t>
  </si>
  <si>
    <t>10.3.3.11</t>
  </si>
  <si>
    <t>10.3.3.12</t>
  </si>
  <si>
    <t>10.3.3.13</t>
  </si>
  <si>
    <t>10.3.3.14</t>
  </si>
  <si>
    <t>10.3.3.15</t>
  </si>
  <si>
    <t>10.3.3.16</t>
  </si>
  <si>
    <t>10.3.3.17</t>
  </si>
  <si>
    <t>10.3.3.18</t>
  </si>
  <si>
    <t>10.3.3.19</t>
  </si>
  <si>
    <t>10.3.3.20</t>
  </si>
  <si>
    <t>10.3.4.1</t>
  </si>
  <si>
    <t>10.3.4.2</t>
  </si>
  <si>
    <t>10.3.4.3</t>
  </si>
  <si>
    <t>10.3.4.4</t>
  </si>
  <si>
    <t>10.3.4.5</t>
  </si>
  <si>
    <t>10.3.4.6</t>
  </si>
  <si>
    <t>10.3.4.7</t>
  </si>
  <si>
    <t>10.3.4.8</t>
  </si>
  <si>
    <t>10.3.4.9</t>
  </si>
  <si>
    <t>10.3.4.10</t>
  </si>
  <si>
    <t>10.3.4.11</t>
  </si>
  <si>
    <t>10.3.4.12</t>
  </si>
  <si>
    <t>10.3.4.13</t>
  </si>
  <si>
    <t>10.3.4.14</t>
  </si>
  <si>
    <t>10.3.4.15</t>
  </si>
  <si>
    <t>10.3.4.16</t>
  </si>
  <si>
    <t>10.3.4.17</t>
  </si>
  <si>
    <t>10.3.4.18</t>
  </si>
  <si>
    <t>10.3.4.19</t>
  </si>
  <si>
    <t>10.3.4.20</t>
  </si>
  <si>
    <t>10.4.1</t>
  </si>
  <si>
    <t>10.4.1.1</t>
  </si>
  <si>
    <t>10.4.1.2</t>
  </si>
  <si>
    <t>10.4.1.3</t>
  </si>
  <si>
    <t>10.4.1.4</t>
  </si>
  <si>
    <t>10.4.1.5</t>
  </si>
  <si>
    <t>10.4.1.6</t>
  </si>
  <si>
    <t>10.4.1.7</t>
  </si>
  <si>
    <t>10.4.1.8</t>
  </si>
  <si>
    <t>10.4.1.9</t>
  </si>
  <si>
    <t>10.4.1.10</t>
  </si>
  <si>
    <t>10.4.1.11</t>
  </si>
  <si>
    <t>10.4.1.12</t>
  </si>
  <si>
    <t>10.4.1.13</t>
  </si>
  <si>
    <t>10.4.1.14</t>
  </si>
  <si>
    <t>10.4.1.15</t>
  </si>
  <si>
    <t>10.4.1.16</t>
  </si>
  <si>
    <t>10.4.1.17</t>
  </si>
  <si>
    <t>10.4.1.18</t>
  </si>
  <si>
    <t>10.4.1.19</t>
  </si>
  <si>
    <t>10.4.1.20</t>
  </si>
  <si>
    <t>10.4.2</t>
  </si>
  <si>
    <t>10.4.2.1</t>
  </si>
  <si>
    <t>10.4.2.2</t>
  </si>
  <si>
    <t>10.4.2.3</t>
  </si>
  <si>
    <t>10.4.2.4</t>
  </si>
  <si>
    <t>10.4.2.5</t>
  </si>
  <si>
    <t>10.4.2.6</t>
  </si>
  <si>
    <t>10.4.2.7</t>
  </si>
  <si>
    <t>10.4.2.8</t>
  </si>
  <si>
    <t>10.4.2.9</t>
  </si>
  <si>
    <t>10.4.2.10</t>
  </si>
  <si>
    <t>10.4.2.11</t>
  </si>
  <si>
    <t>10.4.2.12</t>
  </si>
  <si>
    <t>10.4.2.13</t>
  </si>
  <si>
    <t>10.4.2.14</t>
  </si>
  <si>
    <t>10.4.2.15</t>
  </si>
  <si>
    <t>10.4.2.16</t>
  </si>
  <si>
    <t>10.4.2.17</t>
  </si>
  <si>
    <t>10.4.2.18</t>
  </si>
  <si>
    <t>10.4.2.19</t>
  </si>
  <si>
    <t>10.4.2.20</t>
  </si>
  <si>
    <t>10.4.3</t>
  </si>
  <si>
    <t>10.4.3.1</t>
  </si>
  <si>
    <t>10.4.3.2</t>
  </si>
  <si>
    <t>10.4.3.3</t>
  </si>
  <si>
    <t>10.4.3.4</t>
  </si>
  <si>
    <t>10.4.3.5</t>
  </si>
  <si>
    <t>10.4.3.6</t>
  </si>
  <si>
    <t>10.4.3.7</t>
  </si>
  <si>
    <t>10.4.3.8</t>
  </si>
  <si>
    <t>10.4.3.9</t>
  </si>
  <si>
    <t>10.4.3.10</t>
  </si>
  <si>
    <t>10.4.3.11</t>
  </si>
  <si>
    <t>10.4.3.12</t>
  </si>
  <si>
    <t>10.4.3.13</t>
  </si>
  <si>
    <t>10.4.3.14</t>
  </si>
  <si>
    <t>10.4.3.15</t>
  </si>
  <si>
    <t>10.4.3.16</t>
  </si>
  <si>
    <t>10.4.3.17</t>
  </si>
  <si>
    <t>10.4.3.18</t>
  </si>
  <si>
    <t>10.4.3.19</t>
  </si>
  <si>
    <t>10.4.3.20</t>
  </si>
  <si>
    <t>10.4.4</t>
  </si>
  <si>
    <t>10.4.4.1</t>
  </si>
  <si>
    <t>10.4.4.2</t>
  </si>
  <si>
    <t>10.4.4.3</t>
  </si>
  <si>
    <t>10.4.4.4</t>
  </si>
  <si>
    <t>10.4.4.5</t>
  </si>
  <si>
    <t>10.4.4.6</t>
  </si>
  <si>
    <t>10.4.4.7</t>
  </si>
  <si>
    <t>10.4.4.8</t>
  </si>
  <si>
    <t>10.4.4.9</t>
  </si>
  <si>
    <t>10.4.4.10</t>
  </si>
  <si>
    <t>10.4.4.11</t>
  </si>
  <si>
    <t>10.4.4.12</t>
  </si>
  <si>
    <t>10.4.4.13</t>
  </si>
  <si>
    <t>10.4.4.14</t>
  </si>
  <si>
    <t>10.4.4.15</t>
  </si>
  <si>
    <t>10.4.4.16</t>
  </si>
  <si>
    <t>10.4.4.17</t>
  </si>
  <si>
    <t>10.4.4.18</t>
  </si>
  <si>
    <t>10.4.4.19</t>
  </si>
  <si>
    <t>10.4.4.20</t>
  </si>
  <si>
    <t>10.5.1</t>
  </si>
  <si>
    <t>10.5.2</t>
  </si>
  <si>
    <t>10.5.3</t>
  </si>
  <si>
    <t>10.5.4</t>
  </si>
  <si>
    <t>10.5.5</t>
  </si>
  <si>
    <t>10.5.6</t>
  </si>
  <si>
    <t>10.5.7</t>
  </si>
  <si>
    <t>10.5.8</t>
  </si>
  <si>
    <t>10.5.9</t>
  </si>
  <si>
    <t>10.5.10</t>
  </si>
  <si>
    <t>10.5.11</t>
  </si>
  <si>
    <t>10.5.12</t>
  </si>
  <si>
    <t>10.5.13</t>
  </si>
  <si>
    <t>10.5.14</t>
  </si>
  <si>
    <t>10.5.15</t>
  </si>
  <si>
    <t>10.5.16</t>
  </si>
  <si>
    <t>10.5.17</t>
  </si>
  <si>
    <t>10.5.18</t>
  </si>
  <si>
    <t>10.5.19</t>
  </si>
  <si>
    <t>10.5.20</t>
  </si>
  <si>
    <t>10.6.1</t>
  </si>
  <si>
    <t>10.6.2</t>
  </si>
  <si>
    <t>10.6.3</t>
  </si>
  <si>
    <t>10.6.4</t>
  </si>
  <si>
    <t>10.6.5</t>
  </si>
  <si>
    <t>10.6.6</t>
  </si>
  <si>
    <t>10.6.7</t>
  </si>
  <si>
    <t>10.6.8</t>
  </si>
  <si>
    <t>10.6.9</t>
  </si>
  <si>
    <t>10.6.10</t>
  </si>
  <si>
    <t>10.6.11</t>
  </si>
  <si>
    <t>10.6.12</t>
  </si>
  <si>
    <t>10.6.13</t>
  </si>
  <si>
    <t>10.6.14</t>
  </si>
  <si>
    <t>10.6.15</t>
  </si>
  <si>
    <t>10.6.16</t>
  </si>
  <si>
    <t>10.6.17</t>
  </si>
  <si>
    <t>10.6.18</t>
  </si>
  <si>
    <t>10.6.19</t>
  </si>
  <si>
    <t>10.6.20</t>
  </si>
  <si>
    <t xml:space="preserve">     სათავოს მიხედვით</t>
  </si>
  <si>
    <t xml:space="preserve">     ფილიალების მიხედვით</t>
  </si>
  <si>
    <t>2.3.1</t>
  </si>
  <si>
    <t>2.3.2</t>
  </si>
  <si>
    <t>2.3.3</t>
  </si>
  <si>
    <t>2.3.4</t>
  </si>
  <si>
    <t>2.3.5</t>
  </si>
  <si>
    <t>2.3.6</t>
  </si>
  <si>
    <t>2.3.7</t>
  </si>
  <si>
    <t>2.3.8</t>
  </si>
  <si>
    <t>2.3.9</t>
  </si>
  <si>
    <t>2.3.10</t>
  </si>
  <si>
    <t>2.3.11</t>
  </si>
  <si>
    <t>2.3.12</t>
  </si>
  <si>
    <t>2.3.13</t>
  </si>
  <si>
    <t>2.3.14</t>
  </si>
  <si>
    <t>2.3.15</t>
  </si>
  <si>
    <t>2.3.16</t>
  </si>
  <si>
    <t>2.3.17</t>
  </si>
  <si>
    <t>2.3.18</t>
  </si>
  <si>
    <t>2.3.19</t>
  </si>
  <si>
    <t>2.3.20</t>
  </si>
  <si>
    <t>2.4.1</t>
  </si>
  <si>
    <t>2.4.2</t>
  </si>
  <si>
    <t>2.4.3</t>
  </si>
  <si>
    <t>2.4.4</t>
  </si>
  <si>
    <t>2.4.5</t>
  </si>
  <si>
    <t>2.4.6</t>
  </si>
  <si>
    <t>2.4.7</t>
  </si>
  <si>
    <t>2.4.8</t>
  </si>
  <si>
    <t>2.4.9</t>
  </si>
  <si>
    <t>2.4.10</t>
  </si>
  <si>
    <t>2.4.11</t>
  </si>
  <si>
    <t>2.4.12</t>
  </si>
  <si>
    <t>2.4.13</t>
  </si>
  <si>
    <t>2.4.14</t>
  </si>
  <si>
    <t>2.4.15</t>
  </si>
  <si>
    <t>2.4.16</t>
  </si>
  <si>
    <t>2.4.17</t>
  </si>
  <si>
    <t>2.4.18</t>
  </si>
  <si>
    <t>2.4.19</t>
  </si>
  <si>
    <t>2.4.20</t>
  </si>
  <si>
    <t>3.3.1</t>
  </si>
  <si>
    <t>3.3.2</t>
  </si>
  <si>
    <t>3.3.3</t>
  </si>
  <si>
    <t>3.3.4</t>
  </si>
  <si>
    <t>3.3.5</t>
  </si>
  <si>
    <t>3.3.6</t>
  </si>
  <si>
    <t>3.3.7</t>
  </si>
  <si>
    <t>3.3.8</t>
  </si>
  <si>
    <t>3.3.9</t>
  </si>
  <si>
    <t>3.3.10</t>
  </si>
  <si>
    <t>3.3.11</t>
  </si>
  <si>
    <t>3.3.12</t>
  </si>
  <si>
    <t>3.3.13</t>
  </si>
  <si>
    <t>3.3.14</t>
  </si>
  <si>
    <t>3.3.15</t>
  </si>
  <si>
    <t>3.3.16</t>
  </si>
  <si>
    <t>3.3.17</t>
  </si>
  <si>
    <t>3.3.18</t>
  </si>
  <si>
    <t>3.3.19</t>
  </si>
  <si>
    <t>3.3.20</t>
  </si>
  <si>
    <t>3.4.1</t>
  </si>
  <si>
    <t>3.4.2</t>
  </si>
  <si>
    <t>3.4.3</t>
  </si>
  <si>
    <t>3.4.4</t>
  </si>
  <si>
    <t>3.4.5</t>
  </si>
  <si>
    <t>3.4.6</t>
  </si>
  <si>
    <t>3.4.7</t>
  </si>
  <si>
    <t>3.4.8</t>
  </si>
  <si>
    <t>3.4.9</t>
  </si>
  <si>
    <t>3.4.10</t>
  </si>
  <si>
    <t>3.4.11</t>
  </si>
  <si>
    <t>3.4.12</t>
  </si>
  <si>
    <t>3.4.13</t>
  </si>
  <si>
    <t>3.4.14</t>
  </si>
  <si>
    <t>3.4.15</t>
  </si>
  <si>
    <t>3.4.16</t>
  </si>
  <si>
    <t>3.4.17</t>
  </si>
  <si>
    <t>3.4.18</t>
  </si>
  <si>
    <t>3.4.19</t>
  </si>
  <si>
    <t>3.4.20</t>
  </si>
  <si>
    <t>4.3.1</t>
  </si>
  <si>
    <t>4.3.2</t>
  </si>
  <si>
    <t>4.3.3</t>
  </si>
  <si>
    <t>4.3.4</t>
  </si>
  <si>
    <t>4.3.5</t>
  </si>
  <si>
    <t>4.3.6</t>
  </si>
  <si>
    <t>4.3.7</t>
  </si>
  <si>
    <t>4.3.8</t>
  </si>
  <si>
    <t>4.3.9</t>
  </si>
  <si>
    <t>4.3.10</t>
  </si>
  <si>
    <t>4.3.11</t>
  </si>
  <si>
    <t>4.3.12</t>
  </si>
  <si>
    <t>4.3.13</t>
  </si>
  <si>
    <t>4.3.14</t>
  </si>
  <si>
    <t>4.3.15</t>
  </si>
  <si>
    <t>4.3.16</t>
  </si>
  <si>
    <t>4.3.17</t>
  </si>
  <si>
    <t>4.3.18</t>
  </si>
  <si>
    <t>4.3.19</t>
  </si>
  <si>
    <t>4.3.20</t>
  </si>
  <si>
    <t>4.4.1</t>
  </si>
  <si>
    <t>4.4.2</t>
  </si>
  <si>
    <t>4.4.3</t>
  </si>
  <si>
    <t>4.4.4</t>
  </si>
  <si>
    <t>4.4.5</t>
  </si>
  <si>
    <t>4.4.6</t>
  </si>
  <si>
    <t>4.4.7</t>
  </si>
  <si>
    <t>4.4.8</t>
  </si>
  <si>
    <t>4.4.9</t>
  </si>
  <si>
    <t>4.4.10</t>
  </si>
  <si>
    <t>4.4.11</t>
  </si>
  <si>
    <t>4.4.12</t>
  </si>
  <si>
    <t>4.4.13</t>
  </si>
  <si>
    <t>4.4.14</t>
  </si>
  <si>
    <t>4.4.15</t>
  </si>
  <si>
    <t>4.4.16</t>
  </si>
  <si>
    <t>4.4.17</t>
  </si>
  <si>
    <t>4.4.18</t>
  </si>
  <si>
    <t>4.4.19</t>
  </si>
  <si>
    <t>4.4.20</t>
  </si>
  <si>
    <t>5.1.1</t>
  </si>
  <si>
    <t>5.1.2</t>
  </si>
  <si>
    <t>5.1.3</t>
  </si>
  <si>
    <t>5.1.4</t>
  </si>
  <si>
    <t>5.1.5</t>
  </si>
  <si>
    <t>5.1.6</t>
  </si>
  <si>
    <t>5.1.7</t>
  </si>
  <si>
    <t>5.1.8</t>
  </si>
  <si>
    <t>5.1.9</t>
  </si>
  <si>
    <t>5.1.10</t>
  </si>
  <si>
    <t>5.1.11</t>
  </si>
  <si>
    <t>5.1.12</t>
  </si>
  <si>
    <t>5.1.13</t>
  </si>
  <si>
    <t>5.1.14</t>
  </si>
  <si>
    <t>5.1.15</t>
  </si>
  <si>
    <t>5.1.16</t>
  </si>
  <si>
    <t>5.1.17</t>
  </si>
  <si>
    <t>5.1.18</t>
  </si>
  <si>
    <t>5.1.19</t>
  </si>
  <si>
    <t>5.1.20</t>
  </si>
  <si>
    <t>5.2.1</t>
  </si>
  <si>
    <t>5.2.2</t>
  </si>
  <si>
    <t>5.2.3</t>
  </si>
  <si>
    <t>5.2.4</t>
  </si>
  <si>
    <t>5.2.5</t>
  </si>
  <si>
    <t>5.2.6</t>
  </si>
  <si>
    <t>5.2.7</t>
  </si>
  <si>
    <t>5.2.8</t>
  </si>
  <si>
    <t>5.2.9</t>
  </si>
  <si>
    <t>5.2.10</t>
  </si>
  <si>
    <t>5.2.11</t>
  </si>
  <si>
    <t>5.2.12</t>
  </si>
  <si>
    <t>5.2.13</t>
  </si>
  <si>
    <t>5.2.14</t>
  </si>
  <si>
    <t>5.2.15</t>
  </si>
  <si>
    <t>5.2.16</t>
  </si>
  <si>
    <t>5.2.17</t>
  </si>
  <si>
    <t>5.2.18</t>
  </si>
  <si>
    <t>5.2.19</t>
  </si>
  <si>
    <t>5.2.20</t>
  </si>
  <si>
    <t>5.3.1</t>
  </si>
  <si>
    <t>5.3.2</t>
  </si>
  <si>
    <t>5.3.3</t>
  </si>
  <si>
    <t>5.3.4</t>
  </si>
  <si>
    <t>5.3.5</t>
  </si>
  <si>
    <t>5.3.6</t>
  </si>
  <si>
    <t>5.3.7</t>
  </si>
  <si>
    <t>5.3.8</t>
  </si>
  <si>
    <t>5.3.9</t>
  </si>
  <si>
    <t>5.3.10</t>
  </si>
  <si>
    <t>5.3.11</t>
  </si>
  <si>
    <t>5.3.12</t>
  </si>
  <si>
    <t>5.3.13</t>
  </si>
  <si>
    <t>5.3.14</t>
  </si>
  <si>
    <t>5.3.15</t>
  </si>
  <si>
    <t>5.3.16</t>
  </si>
  <si>
    <t>5.3.17</t>
  </si>
  <si>
    <t>5.3.18</t>
  </si>
  <si>
    <t>5.3.19</t>
  </si>
  <si>
    <t>5.3.20</t>
  </si>
  <si>
    <t>5.4.1</t>
  </si>
  <si>
    <t>5.4.2</t>
  </si>
  <si>
    <t>5.4.3</t>
  </si>
  <si>
    <t>5.4.4</t>
  </si>
  <si>
    <t>5.4.5</t>
  </si>
  <si>
    <t>5.4.6</t>
  </si>
  <si>
    <t>5.4.7</t>
  </si>
  <si>
    <t>5.4.8</t>
  </si>
  <si>
    <t>5.4.9</t>
  </si>
  <si>
    <t>5.4.10</t>
  </si>
  <si>
    <t>5.4.11</t>
  </si>
  <si>
    <t>5.4.12</t>
  </si>
  <si>
    <t>5.4.13</t>
  </si>
  <si>
    <t>5.4.14</t>
  </si>
  <si>
    <t>5.4.15</t>
  </si>
  <si>
    <t>5.4.16</t>
  </si>
  <si>
    <t>5.4.17</t>
  </si>
  <si>
    <t>5.4.18</t>
  </si>
  <si>
    <t>5.4.19</t>
  </si>
  <si>
    <t>5.4.20</t>
  </si>
  <si>
    <t>7.1.1</t>
  </si>
  <si>
    <t>7.1.2</t>
  </si>
  <si>
    <t>7.1.3</t>
  </si>
  <si>
    <t>7.1.4</t>
  </si>
  <si>
    <t>7.1.5</t>
  </si>
  <si>
    <t>7.1.6</t>
  </si>
  <si>
    <t>7.1.7</t>
  </si>
  <si>
    <t>7.1.8</t>
  </si>
  <si>
    <t>7.1.9</t>
  </si>
  <si>
    <t>7.1.10</t>
  </si>
  <si>
    <t>7.1.11</t>
  </si>
  <si>
    <t>7.1.12</t>
  </si>
  <si>
    <t>7.1.13</t>
  </si>
  <si>
    <t>7.1.14</t>
  </si>
  <si>
    <t>7.1.15</t>
  </si>
  <si>
    <t>7.1.16</t>
  </si>
  <si>
    <t>7.1.17</t>
  </si>
  <si>
    <t>7.1.18</t>
  </si>
  <si>
    <t>7.1.19</t>
  </si>
  <si>
    <t>7.1.20</t>
  </si>
  <si>
    <t>7.2.1</t>
  </si>
  <si>
    <t>7.2.2</t>
  </si>
  <si>
    <t>7.2.3</t>
  </si>
  <si>
    <t>7.2.4</t>
  </si>
  <si>
    <t>7.2.5</t>
  </si>
  <si>
    <t>7.2.6</t>
  </si>
  <si>
    <t>7.2.7</t>
  </si>
  <si>
    <t>7.2.8</t>
  </si>
  <si>
    <t>7.2.9</t>
  </si>
  <si>
    <t>7.2.10</t>
  </si>
  <si>
    <t>7.2.11</t>
  </si>
  <si>
    <t>7.2.12</t>
  </si>
  <si>
    <t>7.2.13</t>
  </si>
  <si>
    <t>7.2.14</t>
  </si>
  <si>
    <t>7.2.15</t>
  </si>
  <si>
    <t>7.2.16</t>
  </si>
  <si>
    <t>7.2.17</t>
  </si>
  <si>
    <t>7.2.18</t>
  </si>
  <si>
    <t>7.2.19</t>
  </si>
  <si>
    <t>7.2.20</t>
  </si>
  <si>
    <t>7.4.1</t>
  </si>
  <si>
    <t>7.3.2</t>
  </si>
  <si>
    <t>7.3.3</t>
  </si>
  <si>
    <t>7.3.4</t>
  </si>
  <si>
    <t>7.3.5</t>
  </si>
  <si>
    <t>7.3.6</t>
  </si>
  <si>
    <t>7.3.7</t>
  </si>
  <si>
    <t>7.3.8</t>
  </si>
  <si>
    <t>7.3.9</t>
  </si>
  <si>
    <t>7.3.10</t>
  </si>
  <si>
    <t>7.3.11</t>
  </si>
  <si>
    <t>7.3.12</t>
  </si>
  <si>
    <t>7.3.13</t>
  </si>
  <si>
    <t>7.3.14</t>
  </si>
  <si>
    <t>7.3.15</t>
  </si>
  <si>
    <t>7.3.16</t>
  </si>
  <si>
    <t>7.3.17</t>
  </si>
  <si>
    <t>7.3.18</t>
  </si>
  <si>
    <t>7.3.19</t>
  </si>
  <si>
    <t>7.3.20</t>
  </si>
  <si>
    <t>7.4.2</t>
  </si>
  <si>
    <t>7.4.3</t>
  </si>
  <si>
    <t>7.4.4</t>
  </si>
  <si>
    <t>7.4.5</t>
  </si>
  <si>
    <t>7.4.6</t>
  </si>
  <si>
    <t>7.4.7</t>
  </si>
  <si>
    <t>7.4.8</t>
  </si>
  <si>
    <t>7.4.9</t>
  </si>
  <si>
    <t>7.4.10</t>
  </si>
  <si>
    <t>7.4.11</t>
  </si>
  <si>
    <t>7.4.12</t>
  </si>
  <si>
    <t>7.4.13</t>
  </si>
  <si>
    <t>7.4.14</t>
  </si>
  <si>
    <t>7.4.15</t>
  </si>
  <si>
    <t>7.4.16</t>
  </si>
  <si>
    <t>7.4.17</t>
  </si>
  <si>
    <t>7.4.18</t>
  </si>
  <si>
    <t>7.4.19</t>
  </si>
  <si>
    <t>7.4.20</t>
  </si>
  <si>
    <t>8.1.1</t>
  </si>
  <si>
    <t>8.1.2</t>
  </si>
  <si>
    <t>8.1.3</t>
  </si>
  <si>
    <t>8.1.4</t>
  </si>
  <si>
    <t>8.1.5</t>
  </si>
  <si>
    <t>8.1.6</t>
  </si>
  <si>
    <t>8.1.7</t>
  </si>
  <si>
    <t>8.1.8</t>
  </si>
  <si>
    <t>8.1.9</t>
  </si>
  <si>
    <t>8.1.10</t>
  </si>
  <si>
    <t>8.1.11</t>
  </si>
  <si>
    <t>8.1.12</t>
  </si>
  <si>
    <t>8.1.13</t>
  </si>
  <si>
    <t>8.1.14</t>
  </si>
  <si>
    <t>8.1.15</t>
  </si>
  <si>
    <t>8.1.16</t>
  </si>
  <si>
    <t>8.1.17</t>
  </si>
  <si>
    <t>8.1.18</t>
  </si>
  <si>
    <t>8.1.19</t>
  </si>
  <si>
    <t>8.1.20</t>
  </si>
  <si>
    <t>8.2.5</t>
  </si>
  <si>
    <t>8.2.6</t>
  </si>
  <si>
    <t>8.2.7</t>
  </si>
  <si>
    <t>8.2.8</t>
  </si>
  <si>
    <t>8.2.9</t>
  </si>
  <si>
    <t>8.2.10</t>
  </si>
  <si>
    <t>8.2.11</t>
  </si>
  <si>
    <t>8.2.12</t>
  </si>
  <si>
    <t>8.2.13</t>
  </si>
  <si>
    <t>8.2.14</t>
  </si>
  <si>
    <t>8.2.15</t>
  </si>
  <si>
    <t>8.2.16</t>
  </si>
  <si>
    <t>8.2.17</t>
  </si>
  <si>
    <t>8.2.18</t>
  </si>
  <si>
    <t>8.2.19</t>
  </si>
  <si>
    <t>8.2.20</t>
  </si>
  <si>
    <t>8.3.5</t>
  </si>
  <si>
    <t>8.3.6</t>
  </si>
  <si>
    <t>8.3.7</t>
  </si>
  <si>
    <t>8.3.8</t>
  </si>
  <si>
    <t>8.3.9</t>
  </si>
  <si>
    <t>8.3.10</t>
  </si>
  <si>
    <t>8.3.11</t>
  </si>
  <si>
    <t>8.3.12</t>
  </si>
  <si>
    <t>8.3.13</t>
  </si>
  <si>
    <t>8.3.14</t>
  </si>
  <si>
    <t>8.3.15</t>
  </si>
  <si>
    <t>8.3.16</t>
  </si>
  <si>
    <t>8.3.17</t>
  </si>
  <si>
    <t>8.3.18</t>
  </si>
  <si>
    <t>8.3.19</t>
  </si>
  <si>
    <t>8.3.20</t>
  </si>
  <si>
    <t>8.4.5</t>
  </si>
  <si>
    <t>8.4.6</t>
  </si>
  <si>
    <t>8.4.7</t>
  </si>
  <si>
    <t>8.4.8</t>
  </si>
  <si>
    <t>8.4.9</t>
  </si>
  <si>
    <t>8.4.10</t>
  </si>
  <si>
    <t>8.4.11</t>
  </si>
  <si>
    <t>8.4.12</t>
  </si>
  <si>
    <t>8.4.13</t>
  </si>
  <si>
    <t>8.4.14</t>
  </si>
  <si>
    <t>8.4.15</t>
  </si>
  <si>
    <t>8.4.16</t>
  </si>
  <si>
    <t>8.4.17</t>
  </si>
  <si>
    <t>8.4.18</t>
  </si>
  <si>
    <t>8.4.19</t>
  </si>
  <si>
    <t>8.4.20</t>
  </si>
  <si>
    <t>9.1.1</t>
  </si>
  <si>
    <t>9.1.2</t>
  </si>
  <si>
    <t>9.1.3</t>
  </si>
  <si>
    <t>9.1.4</t>
  </si>
  <si>
    <t>9.1.5</t>
  </si>
  <si>
    <t>9.1.6</t>
  </si>
  <si>
    <t>9.1.7</t>
  </si>
  <si>
    <t>9.1.8</t>
  </si>
  <si>
    <t>9.1.9</t>
  </si>
  <si>
    <t>9.1.10</t>
  </si>
  <si>
    <t>9.1.11</t>
  </si>
  <si>
    <t>9.1.12</t>
  </si>
  <si>
    <t>9.1.13</t>
  </si>
  <si>
    <t>9.1.14</t>
  </si>
  <si>
    <t>9.1.15</t>
  </si>
  <si>
    <t>9.1.16</t>
  </si>
  <si>
    <t>9.1.17</t>
  </si>
  <si>
    <t>9.1.18</t>
  </si>
  <si>
    <t>9.1.19</t>
  </si>
  <si>
    <t>9.1.20</t>
  </si>
  <si>
    <t>9.2.5</t>
  </si>
  <si>
    <t>9.2.6</t>
  </si>
  <si>
    <t>9.2.7</t>
  </si>
  <si>
    <t>9.2.8</t>
  </si>
  <si>
    <t>9.2.9</t>
  </si>
  <si>
    <t>9.2.10</t>
  </si>
  <si>
    <t>9.2.11</t>
  </si>
  <si>
    <t>9.2.12</t>
  </si>
  <si>
    <t>9.2.13</t>
  </si>
  <si>
    <t>9.2.14</t>
  </si>
  <si>
    <t>9.2.15</t>
  </si>
  <si>
    <t>9.2.16</t>
  </si>
  <si>
    <t>9.2.17</t>
  </si>
  <si>
    <t>9.2.18</t>
  </si>
  <si>
    <t>9.2.19</t>
  </si>
  <si>
    <t>9.2.20</t>
  </si>
  <si>
    <t>9.3.5</t>
  </si>
  <si>
    <t>9.3.6</t>
  </si>
  <si>
    <t>9.3.7</t>
  </si>
  <si>
    <t>9.3.8</t>
  </si>
  <si>
    <t>9.3.9</t>
  </si>
  <si>
    <t>9.3.10</t>
  </si>
  <si>
    <t>9.3.11</t>
  </si>
  <si>
    <t>9.3.12</t>
  </si>
  <si>
    <t>9.3.13</t>
  </si>
  <si>
    <t>9.3.14</t>
  </si>
  <si>
    <t>9.3.15</t>
  </si>
  <si>
    <t>9.3.16</t>
  </si>
  <si>
    <t>9.3.17</t>
  </si>
  <si>
    <t>9.3.18</t>
  </si>
  <si>
    <t>9.3.19</t>
  </si>
  <si>
    <t>9.3.20</t>
  </si>
  <si>
    <t>9.4.5</t>
  </si>
  <si>
    <t>9.4.6</t>
  </si>
  <si>
    <t>9.4.7</t>
  </si>
  <si>
    <t>9.4.8</t>
  </si>
  <si>
    <t>9.4.9</t>
  </si>
  <si>
    <t>9.4.10</t>
  </si>
  <si>
    <t>9.4.11</t>
  </si>
  <si>
    <t>9.4.12</t>
  </si>
  <si>
    <t>9.4.13</t>
  </si>
  <si>
    <t>9.4.14</t>
  </si>
  <si>
    <t>9.4.15</t>
  </si>
  <si>
    <t>9.4.16</t>
  </si>
  <si>
    <t>9.4.17</t>
  </si>
  <si>
    <t>9.4.18</t>
  </si>
  <si>
    <t>9.4.19</t>
  </si>
  <si>
    <t>9.4.20</t>
  </si>
  <si>
    <t>10.1.1</t>
  </si>
  <si>
    <t>10.1.2</t>
  </si>
  <si>
    <t>10.1.3</t>
  </si>
  <si>
    <t>10.1.4</t>
  </si>
  <si>
    <t>10.1.5</t>
  </si>
  <si>
    <t>10.1.6</t>
  </si>
  <si>
    <t>10.1.7</t>
  </si>
  <si>
    <t>10.1.8</t>
  </si>
  <si>
    <t>10.1.9</t>
  </si>
  <si>
    <t>10.1.10</t>
  </si>
  <si>
    <t>10.1.11</t>
  </si>
  <si>
    <t>10.1.12</t>
  </si>
  <si>
    <t>10.1.13</t>
  </si>
  <si>
    <t>10.1.14</t>
  </si>
  <si>
    <t>10.1.15</t>
  </si>
  <si>
    <t>10.1.16</t>
  </si>
  <si>
    <t>10.1.17</t>
  </si>
  <si>
    <t>10.1.18</t>
  </si>
  <si>
    <t>10.1.19</t>
  </si>
  <si>
    <t>10.1.20</t>
  </si>
  <si>
    <t>10.2.5</t>
  </si>
  <si>
    <t>10.2.6</t>
  </si>
  <si>
    <t>10.2.7</t>
  </si>
  <si>
    <t>10.2.8</t>
  </si>
  <si>
    <t>10.2.9</t>
  </si>
  <si>
    <t>10.2.10</t>
  </si>
  <si>
    <t>10.2.11</t>
  </si>
  <si>
    <t>10.2.12</t>
  </si>
  <si>
    <t>10.2.13</t>
  </si>
  <si>
    <t>10.2.14</t>
  </si>
  <si>
    <t>10.2.15</t>
  </si>
  <si>
    <t>10.2.16</t>
  </si>
  <si>
    <t>10.2.17</t>
  </si>
  <si>
    <t>10.2.18</t>
  </si>
  <si>
    <t>10.2.19</t>
  </si>
  <si>
    <t>10.2.20</t>
  </si>
  <si>
    <t>10.4.5</t>
  </si>
  <si>
    <t>10.4.6</t>
  </si>
  <si>
    <t>10.4.7</t>
  </si>
  <si>
    <t>10.4.8</t>
  </si>
  <si>
    <t>10.4.9</t>
  </si>
  <si>
    <t>10.4.10</t>
  </si>
  <si>
    <t>10.4.11</t>
  </si>
  <si>
    <t>10.4.12</t>
  </si>
  <si>
    <t>10.4.13</t>
  </si>
  <si>
    <t>10.4.14</t>
  </si>
  <si>
    <t>10.4.15</t>
  </si>
  <si>
    <t>10.4.16</t>
  </si>
  <si>
    <t>10.4.17</t>
  </si>
  <si>
    <t>10.4.18</t>
  </si>
  <si>
    <t>10.4.19</t>
  </si>
  <si>
    <t>10.4.20</t>
  </si>
  <si>
    <t>12.1.1</t>
  </si>
  <si>
    <t>12.1.2</t>
  </si>
  <si>
    <t>12.1.3</t>
  </si>
  <si>
    <t>12.1.4</t>
  </si>
  <si>
    <t>12.1.5</t>
  </si>
  <si>
    <t>12.1.6</t>
  </si>
  <si>
    <t>12.1.7</t>
  </si>
  <si>
    <t>12.1.8</t>
  </si>
  <si>
    <t>12.1.9</t>
  </si>
  <si>
    <t>12.1.10</t>
  </si>
  <si>
    <t>12.1.11</t>
  </si>
  <si>
    <t>12.1.12</t>
  </si>
  <si>
    <t>12.1.13</t>
  </si>
  <si>
    <t>12.1.14</t>
  </si>
  <si>
    <t>12.1.15</t>
  </si>
  <si>
    <t>12.1.16</t>
  </si>
  <si>
    <t>12.1.17</t>
  </si>
  <si>
    <t>12.1.18</t>
  </si>
  <si>
    <t>12.1.19</t>
  </si>
  <si>
    <t>12.1.20</t>
  </si>
  <si>
    <t>12.2.1</t>
  </si>
  <si>
    <t>12.2.2</t>
  </si>
  <si>
    <t>12.2.3</t>
  </si>
  <si>
    <t>12.2.4</t>
  </si>
  <si>
    <t>12.2.5</t>
  </si>
  <si>
    <t>12.2.6</t>
  </si>
  <si>
    <t>12.2.7</t>
  </si>
  <si>
    <t>12.2.8</t>
  </si>
  <si>
    <t>12.2.9</t>
  </si>
  <si>
    <t>12.2.10</t>
  </si>
  <si>
    <t>12.2.11</t>
  </si>
  <si>
    <t>12.2.12</t>
  </si>
  <si>
    <t>12.2.13</t>
  </si>
  <si>
    <t>12.2.14</t>
  </si>
  <si>
    <t>12.2.15</t>
  </si>
  <si>
    <t>12.2.16</t>
  </si>
  <si>
    <t>12.2.17</t>
  </si>
  <si>
    <t>12.2.18</t>
  </si>
  <si>
    <t>12.2.19</t>
  </si>
  <si>
    <t>12.2.20</t>
  </si>
  <si>
    <t>12.3.1</t>
  </si>
  <si>
    <t>12.3.2</t>
  </si>
  <si>
    <t>12.3.3</t>
  </si>
  <si>
    <t>12.3.4</t>
  </si>
  <si>
    <t>12.3.5</t>
  </si>
  <si>
    <t>12.3.6</t>
  </si>
  <si>
    <t>12.3.7</t>
  </si>
  <si>
    <t>12.3.8</t>
  </si>
  <si>
    <t>12.3.9</t>
  </si>
  <si>
    <t>12.3.10</t>
  </si>
  <si>
    <t>12.3.11</t>
  </si>
  <si>
    <t>12.3.12</t>
  </si>
  <si>
    <t>12.3.13</t>
  </si>
  <si>
    <t>12.3.14</t>
  </si>
  <si>
    <t>12.3.15</t>
  </si>
  <si>
    <t>12.3.16</t>
  </si>
  <si>
    <t>12.3.17</t>
  </si>
  <si>
    <t>12.3.18</t>
  </si>
  <si>
    <t>12.3.19</t>
  </si>
  <si>
    <t>12.3.20</t>
  </si>
  <si>
    <t>12.4.1</t>
  </si>
  <si>
    <t>12.4.2</t>
  </si>
  <si>
    <t>12.4.3</t>
  </si>
  <si>
    <t>12.4.4</t>
  </si>
  <si>
    <t>12.4.5</t>
  </si>
  <si>
    <t>12.4.6</t>
  </si>
  <si>
    <t>12.4.7</t>
  </si>
  <si>
    <t>12.4.8</t>
  </si>
  <si>
    <t>12.4.9</t>
  </si>
  <si>
    <t>12.4.10</t>
  </si>
  <si>
    <t>12.4.11</t>
  </si>
  <si>
    <t>12.4.12</t>
  </si>
  <si>
    <t>12.4.13</t>
  </si>
  <si>
    <t>12.4.14</t>
  </si>
  <si>
    <t>12.4.15</t>
  </si>
  <si>
    <t>12.4.16</t>
  </si>
  <si>
    <t>12.4.17</t>
  </si>
  <si>
    <t>12.4.18</t>
  </si>
  <si>
    <t>12.4.19</t>
  </si>
  <si>
    <t>12.4.20</t>
  </si>
  <si>
    <t>13.1.1</t>
  </si>
  <si>
    <t>13.1.2</t>
  </si>
  <si>
    <t>13.1.3</t>
  </si>
  <si>
    <t>13.1.4</t>
  </si>
  <si>
    <t>13.1.5</t>
  </si>
  <si>
    <t>13.1.6</t>
  </si>
  <si>
    <t>13.1.7</t>
  </si>
  <si>
    <t>13.1.8</t>
  </si>
  <si>
    <t>13.1.9</t>
  </si>
  <si>
    <t>13.1.10</t>
  </si>
  <si>
    <t>13.1.11</t>
  </si>
  <si>
    <t>13.1.12</t>
  </si>
  <si>
    <t>13.1.13</t>
  </si>
  <si>
    <t>13.1.14</t>
  </si>
  <si>
    <t>13.1.15</t>
  </si>
  <si>
    <t>13.1.16</t>
  </si>
  <si>
    <t>13.1.17</t>
  </si>
  <si>
    <t>13.1.18</t>
  </si>
  <si>
    <t>13.1.19</t>
  </si>
  <si>
    <t>13.1.20</t>
  </si>
  <si>
    <t>13.2.1</t>
  </si>
  <si>
    <t>13.2.2</t>
  </si>
  <si>
    <t>13.2.3</t>
  </si>
  <si>
    <t>13.2.4</t>
  </si>
  <si>
    <t>13.2.5</t>
  </si>
  <si>
    <t>13.2.6</t>
  </si>
  <si>
    <t>13.2.7</t>
  </si>
  <si>
    <t>13.2.8</t>
  </si>
  <si>
    <t>13.2.9</t>
  </si>
  <si>
    <t>13.2.10</t>
  </si>
  <si>
    <t>13.2.11</t>
  </si>
  <si>
    <t>13.2.12</t>
  </si>
  <si>
    <t>13.2.13</t>
  </si>
  <si>
    <t>13.2.14</t>
  </si>
  <si>
    <t>13.2.15</t>
  </si>
  <si>
    <t>13.2.16</t>
  </si>
  <si>
    <t>13.2.17</t>
  </si>
  <si>
    <t>13.2.18</t>
  </si>
  <si>
    <t>13.2.19</t>
  </si>
  <si>
    <t>13.2.20</t>
  </si>
  <si>
    <t>13.3.1</t>
  </si>
  <si>
    <t>13.3.2</t>
  </si>
  <si>
    <t>13.3.3</t>
  </si>
  <si>
    <t>13.3.4</t>
  </si>
  <si>
    <t>13.3.5</t>
  </si>
  <si>
    <t>13.3.6</t>
  </si>
  <si>
    <t>13.3.7</t>
  </si>
  <si>
    <t>13.3.8</t>
  </si>
  <si>
    <t>13.3.9</t>
  </si>
  <si>
    <t>13.3.10</t>
  </si>
  <si>
    <t>13.3.11</t>
  </si>
  <si>
    <t>13.3.12</t>
  </si>
  <si>
    <t>13.3.13</t>
  </si>
  <si>
    <t>13.3.14</t>
  </si>
  <si>
    <t>13.3.15</t>
  </si>
  <si>
    <t>13.3.16</t>
  </si>
  <si>
    <t>13.3.17</t>
  </si>
  <si>
    <t>13.3.18</t>
  </si>
  <si>
    <t>13.3.19</t>
  </si>
  <si>
    <t>13.3.20</t>
  </si>
  <si>
    <t>13.4.1</t>
  </si>
  <si>
    <t>13.4.2</t>
  </si>
  <si>
    <t>13.4.3</t>
  </si>
  <si>
    <t>13.4.4</t>
  </si>
  <si>
    <t>13.4.5</t>
  </si>
  <si>
    <t>13.4.6</t>
  </si>
  <si>
    <t>13.4.7</t>
  </si>
  <si>
    <t>13.4.8</t>
  </si>
  <si>
    <t>13.4.9</t>
  </si>
  <si>
    <t>13.4.10</t>
  </si>
  <si>
    <t>13.4.11</t>
  </si>
  <si>
    <t>13.4.12</t>
  </si>
  <si>
    <t>13.4.13</t>
  </si>
  <si>
    <t>13.4.14</t>
  </si>
  <si>
    <t>13.4.15</t>
  </si>
  <si>
    <t>13.4.16</t>
  </si>
  <si>
    <t>13.4.17</t>
  </si>
  <si>
    <t>13.4.18</t>
  </si>
  <si>
    <t>13.4.19</t>
  </si>
  <si>
    <t>13.4.20</t>
  </si>
  <si>
    <t>14.1.1</t>
  </si>
  <si>
    <t>14.1.2</t>
  </si>
  <si>
    <t>14.1.3</t>
  </si>
  <si>
    <t>14.1.4</t>
  </si>
  <si>
    <t>14.1.5</t>
  </si>
  <si>
    <t>14.1.6</t>
  </si>
  <si>
    <t>14.1.7</t>
  </si>
  <si>
    <t>14.1.8</t>
  </si>
  <si>
    <t>14.1.9</t>
  </si>
  <si>
    <t>14.1.10</t>
  </si>
  <si>
    <t>14.1.11</t>
  </si>
  <si>
    <t>14.1.12</t>
  </si>
  <si>
    <t>14.1.13</t>
  </si>
  <si>
    <t>14.1.14</t>
  </si>
  <si>
    <t>14.1.15</t>
  </si>
  <si>
    <t>14.1.16</t>
  </si>
  <si>
    <t>14.1.17</t>
  </si>
  <si>
    <t>14.1.18</t>
  </si>
  <si>
    <t>14.1.19</t>
  </si>
  <si>
    <t>14.1.20</t>
  </si>
  <si>
    <t>14.2.1</t>
  </si>
  <si>
    <t>14.2.2</t>
  </si>
  <si>
    <t>14.2.3</t>
  </si>
  <si>
    <t>14.2.4</t>
  </si>
  <si>
    <t>14.2.5</t>
  </si>
  <si>
    <t>14.2.6</t>
  </si>
  <si>
    <t>14.2.7</t>
  </si>
  <si>
    <t>14.2.8</t>
  </si>
  <si>
    <t>14.2.9</t>
  </si>
  <si>
    <t>14.2.10</t>
  </si>
  <si>
    <t>14.2.11</t>
  </si>
  <si>
    <t>14.2.12</t>
  </si>
  <si>
    <t>14.2.13</t>
  </si>
  <si>
    <t>14.2.14</t>
  </si>
  <si>
    <t>14.2.15</t>
  </si>
  <si>
    <t>14.2.16</t>
  </si>
  <si>
    <t>14.2.17</t>
  </si>
  <si>
    <t>14.2.18</t>
  </si>
  <si>
    <t>14.2.19</t>
  </si>
  <si>
    <t>14.2.20</t>
  </si>
  <si>
    <t>14.3.1</t>
  </si>
  <si>
    <t>14.3.2</t>
  </si>
  <si>
    <t>14.3.3</t>
  </si>
  <si>
    <t>14.3.4</t>
  </si>
  <si>
    <t>14.3.5</t>
  </si>
  <si>
    <t>14.3.6</t>
  </si>
  <si>
    <t>14.3.7</t>
  </si>
  <si>
    <t>14.3.8</t>
  </si>
  <si>
    <t>14.3.9</t>
  </si>
  <si>
    <t>14.3.10</t>
  </si>
  <si>
    <t>14.3.11</t>
  </si>
  <si>
    <t>14.3.12</t>
  </si>
  <si>
    <t>14.3.13</t>
  </si>
  <si>
    <t>14.3.14</t>
  </si>
  <si>
    <t>14.3.15</t>
  </si>
  <si>
    <t>14.3.16</t>
  </si>
  <si>
    <t>14.3.17</t>
  </si>
  <si>
    <t>14.3.18</t>
  </si>
  <si>
    <t>14.3.19</t>
  </si>
  <si>
    <t>14.3.20</t>
  </si>
  <si>
    <t>14.4.1</t>
  </si>
  <si>
    <t>14.4.2</t>
  </si>
  <si>
    <t>14.4.3</t>
  </si>
  <si>
    <t>14.4.4</t>
  </si>
  <si>
    <t>14.4.5</t>
  </si>
  <si>
    <t>14.4.6</t>
  </si>
  <si>
    <t>14.4.7</t>
  </si>
  <si>
    <t>14.4.8</t>
  </si>
  <si>
    <t>14.4.9</t>
  </si>
  <si>
    <t>14.4.10</t>
  </si>
  <si>
    <t>14.4.11</t>
  </si>
  <si>
    <t>14.4.12</t>
  </si>
  <si>
    <t>14.4.13</t>
  </si>
  <si>
    <t>14.4.14</t>
  </si>
  <si>
    <t>14.4.15</t>
  </si>
  <si>
    <t>14.4.16</t>
  </si>
  <si>
    <t>14.4.17</t>
  </si>
  <si>
    <t>14.4.18</t>
  </si>
  <si>
    <t>14.4.19</t>
  </si>
  <si>
    <t>14.4.20</t>
  </si>
  <si>
    <t>15.1.1</t>
  </si>
  <si>
    <t>15.1.2</t>
  </si>
  <si>
    <t>15.1.3</t>
  </si>
  <si>
    <t>15.1.4</t>
  </si>
  <si>
    <t>15.1.5</t>
  </si>
  <si>
    <t>15.1.6</t>
  </si>
  <si>
    <t>15.1.7</t>
  </si>
  <si>
    <t>15.1.8</t>
  </si>
  <si>
    <t>15.1.9</t>
  </si>
  <si>
    <t>15.1.10</t>
  </si>
  <si>
    <t>15.1.11</t>
  </si>
  <si>
    <t>15.1.12</t>
  </si>
  <si>
    <t>15.1.13</t>
  </si>
  <si>
    <t>15.1.14</t>
  </si>
  <si>
    <t>15.1.15</t>
  </si>
  <si>
    <t>15.1.16</t>
  </si>
  <si>
    <t>15.1.17</t>
  </si>
  <si>
    <t>15.1.18</t>
  </si>
  <si>
    <t>15.1.19</t>
  </si>
  <si>
    <t>15.1.20</t>
  </si>
  <si>
    <t>15.2.1</t>
  </si>
  <si>
    <t>15.2.2</t>
  </si>
  <si>
    <t>15.2.3</t>
  </si>
  <si>
    <t>15.2.4</t>
  </si>
  <si>
    <t>15.2.5</t>
  </si>
  <si>
    <t>15.2.6</t>
  </si>
  <si>
    <t>15.2.7</t>
  </si>
  <si>
    <t>15.2.8</t>
  </si>
  <si>
    <t>15.2.9</t>
  </si>
  <si>
    <t>15.2.10</t>
  </si>
  <si>
    <t>15.2.11</t>
  </si>
  <si>
    <t>15.2.12</t>
  </si>
  <si>
    <t>15.2.13</t>
  </si>
  <si>
    <t>15.2.14</t>
  </si>
  <si>
    <t>15.2.15</t>
  </si>
  <si>
    <t>15.2.16</t>
  </si>
  <si>
    <t>15.2.17</t>
  </si>
  <si>
    <t>15.2.18</t>
  </si>
  <si>
    <t>15.2.19</t>
  </si>
  <si>
    <t>15.2.20</t>
  </si>
  <si>
    <t>15.3.1</t>
  </si>
  <si>
    <t>15.3.2</t>
  </si>
  <si>
    <t>15.3.3</t>
  </si>
  <si>
    <t>15.3.4</t>
  </si>
  <si>
    <t>15.3.5</t>
  </si>
  <si>
    <t>15.3.6</t>
  </si>
  <si>
    <t>15.3.7</t>
  </si>
  <si>
    <t>15.3.8</t>
  </si>
  <si>
    <t>15.3.9</t>
  </si>
  <si>
    <t>15.3.10</t>
  </si>
  <si>
    <t>15.3.11</t>
  </si>
  <si>
    <t>15.3.12</t>
  </si>
  <si>
    <t>15.3.13</t>
  </si>
  <si>
    <t>15.3.14</t>
  </si>
  <si>
    <t>15.3.15</t>
  </si>
  <si>
    <t>15.3.16</t>
  </si>
  <si>
    <t>15.3.17</t>
  </si>
  <si>
    <t>15.3.18</t>
  </si>
  <si>
    <t>15.3.19</t>
  </si>
  <si>
    <t>15.3.20</t>
  </si>
  <si>
    <t>15.4.1</t>
  </si>
  <si>
    <t>15.4.2</t>
  </si>
  <si>
    <t>15.4.3</t>
  </si>
  <si>
    <t>15.4.4</t>
  </si>
  <si>
    <t>15.4.5</t>
  </si>
  <si>
    <t>15.4.6</t>
  </si>
  <si>
    <t>15.4.7</t>
  </si>
  <si>
    <t>15.4.8</t>
  </si>
  <si>
    <t>15.4.9</t>
  </si>
  <si>
    <t>15.4.10</t>
  </si>
  <si>
    <t>15.4.11</t>
  </si>
  <si>
    <t>15.4.12</t>
  </si>
  <si>
    <t>15.4.13</t>
  </si>
  <si>
    <t>15.4.14</t>
  </si>
  <si>
    <t>15.4.15</t>
  </si>
  <si>
    <t>15.4.16</t>
  </si>
  <si>
    <t>15.4.17</t>
  </si>
  <si>
    <t>15.4.18</t>
  </si>
  <si>
    <t>15.4.19</t>
  </si>
  <si>
    <t>15.4.20</t>
  </si>
  <si>
    <t>2.5.1</t>
  </si>
  <si>
    <t>2.5.2</t>
  </si>
  <si>
    <t>2.5.3</t>
  </si>
  <si>
    <t>2.5.4</t>
  </si>
  <si>
    <t>2.5.5</t>
  </si>
  <si>
    <t>2.5.6</t>
  </si>
  <si>
    <t>2.5.7</t>
  </si>
  <si>
    <t>2.5.8</t>
  </si>
  <si>
    <t>2.5.9</t>
  </si>
  <si>
    <t>2.5.10</t>
  </si>
  <si>
    <t>2.5.11</t>
  </si>
  <si>
    <t>2.5.12</t>
  </si>
  <si>
    <t>2.5.13</t>
  </si>
  <si>
    <t>2.5.14</t>
  </si>
  <si>
    <t>2.5.15</t>
  </si>
  <si>
    <t>2.5.16</t>
  </si>
  <si>
    <t>2.5.17</t>
  </si>
  <si>
    <t>2.5.18</t>
  </si>
  <si>
    <t>2.5.19</t>
  </si>
  <si>
    <t>2.5.20</t>
  </si>
  <si>
    <t>2.6.1</t>
  </si>
  <si>
    <t>2.6.2</t>
  </si>
  <si>
    <t>2.6.3</t>
  </si>
  <si>
    <t>2.6.4</t>
  </si>
  <si>
    <t>2.6.5</t>
  </si>
  <si>
    <t>2.6.6</t>
  </si>
  <si>
    <t>2.6.7</t>
  </si>
  <si>
    <t>2.6.8</t>
  </si>
  <si>
    <t>2.6.9</t>
  </si>
  <si>
    <t>2.6.10</t>
  </si>
  <si>
    <t>2.6.11</t>
  </si>
  <si>
    <t>2.6.12</t>
  </si>
  <si>
    <t>2.6.13</t>
  </si>
  <si>
    <t>2.6.14</t>
  </si>
  <si>
    <t>2.6.15</t>
  </si>
  <si>
    <t>2.6.16</t>
  </si>
  <si>
    <t>2.6.17</t>
  </si>
  <si>
    <t>2.6.18</t>
  </si>
  <si>
    <t>2.6.19</t>
  </si>
  <si>
    <t>2.6.20</t>
  </si>
  <si>
    <t>3.5.1</t>
  </si>
  <si>
    <t>3.5.2</t>
  </si>
  <si>
    <t>3.5.3</t>
  </si>
  <si>
    <t>3.5.4</t>
  </si>
  <si>
    <t>3.5.5</t>
  </si>
  <si>
    <t>3.5.6</t>
  </si>
  <si>
    <t>3.5.7</t>
  </si>
  <si>
    <t>3.5.8</t>
  </si>
  <si>
    <t>3.5.9</t>
  </si>
  <si>
    <t>3.5.10</t>
  </si>
  <si>
    <t>3.5.11</t>
  </si>
  <si>
    <t>3.5.12</t>
  </si>
  <si>
    <t>3.5.13</t>
  </si>
  <si>
    <t>3.5.14</t>
  </si>
  <si>
    <t>3.5.15</t>
  </si>
  <si>
    <t>3.5.16</t>
  </si>
  <si>
    <t>3.5.17</t>
  </si>
  <si>
    <t>3.5.18</t>
  </si>
  <si>
    <t>3.5.19</t>
  </si>
  <si>
    <t>3.5.20</t>
  </si>
  <si>
    <t>3.6.1</t>
  </si>
  <si>
    <t>3.6.2</t>
  </si>
  <si>
    <t>3.6.3</t>
  </si>
  <si>
    <t>3.6.4</t>
  </si>
  <si>
    <t>3.6.5</t>
  </si>
  <si>
    <t>3.6.6</t>
  </si>
  <si>
    <t>3.6.7</t>
  </si>
  <si>
    <t>3.6.8</t>
  </si>
  <si>
    <t>3.6.9</t>
  </si>
  <si>
    <t>3.6.10</t>
  </si>
  <si>
    <t>3.6.11</t>
  </si>
  <si>
    <t>3.6.12</t>
  </si>
  <si>
    <t>3.6.13</t>
  </si>
  <si>
    <t>3.6.14</t>
  </si>
  <si>
    <t>3.6.15</t>
  </si>
  <si>
    <t>3.6.16</t>
  </si>
  <si>
    <t>3.6.17</t>
  </si>
  <si>
    <t>3.6.18</t>
  </si>
  <si>
    <t>3.6.19</t>
  </si>
  <si>
    <t>3.6.20</t>
  </si>
  <si>
    <t>გადაზღვევის მოთხოვნები ბროკერებისგან, წმინდა   (16-17)</t>
  </si>
  <si>
    <t>გადაზღვევის მოთხოვნები აგენტებისგან, წმინდა   (19-20)</t>
  </si>
  <si>
    <t>სადაზღვევო მოთხოვნები, წმინდა   (1-2)</t>
  </si>
  <si>
    <t>სადაზღვევო მოთხოვნები აგენტებისგან, წმინდა   (7-8)</t>
  </si>
  <si>
    <t>სულ სადაზღვევო მოთხოვნები, წმინდა:   (3+6+9)</t>
  </si>
  <si>
    <t>სხვა მოთხოვნები გადაზღვევიდან, წმინდა   (13-14)</t>
  </si>
  <si>
    <t>სულ გადაზღვევის მოთხოვნები, წმინდა:   (12+15+18+21)</t>
  </si>
  <si>
    <t>7.5.1</t>
  </si>
  <si>
    <t>7.5.2</t>
  </si>
  <si>
    <t>1.3.1</t>
  </si>
  <si>
    <t>1.3.2</t>
  </si>
  <si>
    <t>1.3.3</t>
  </si>
  <si>
    <t>1.3.4</t>
  </si>
  <si>
    <t>1.3.5</t>
  </si>
  <si>
    <t>1.3.6</t>
  </si>
  <si>
    <t>1.3.7</t>
  </si>
  <si>
    <t>1.3.8</t>
  </si>
  <si>
    <t>1.3.9</t>
  </si>
  <si>
    <t>1.3.10</t>
  </si>
  <si>
    <t>1.3.11</t>
  </si>
  <si>
    <t>1.3.12</t>
  </si>
  <si>
    <t>1.3.13</t>
  </si>
  <si>
    <t>1.3.14</t>
  </si>
  <si>
    <t>1.3.15</t>
  </si>
  <si>
    <t>1.3.16</t>
  </si>
  <si>
    <t>1.3.17</t>
  </si>
  <si>
    <t>1.3.18</t>
  </si>
  <si>
    <t>1.3.19</t>
  </si>
  <si>
    <t>1.3.20</t>
  </si>
  <si>
    <t>1.4.1</t>
  </si>
  <si>
    <t>1.4.2</t>
  </si>
  <si>
    <t>1.4.3</t>
  </si>
  <si>
    <t>1.4.4</t>
  </si>
  <si>
    <t>1.4.5</t>
  </si>
  <si>
    <t>1.4.6</t>
  </si>
  <si>
    <t>1.4.7</t>
  </si>
  <si>
    <t>1.4.8</t>
  </si>
  <si>
    <t>1.4.9</t>
  </si>
  <si>
    <t>1.4.10</t>
  </si>
  <si>
    <t>1.4.11</t>
  </si>
  <si>
    <t>1.4.12</t>
  </si>
  <si>
    <t>1.4.13</t>
  </si>
  <si>
    <t>1.4.14</t>
  </si>
  <si>
    <t>1.4.15</t>
  </si>
  <si>
    <t>1.4.16</t>
  </si>
  <si>
    <t>1.4.17</t>
  </si>
  <si>
    <t>1.4.18</t>
  </si>
  <si>
    <t>1.4.19</t>
  </si>
  <si>
    <t>1.4.20</t>
  </si>
  <si>
    <t>1.5.1</t>
  </si>
  <si>
    <t>1.5.2</t>
  </si>
  <si>
    <t>1.5.3</t>
  </si>
  <si>
    <t>1.5.4</t>
  </si>
  <si>
    <t>1.5.5</t>
  </si>
  <si>
    <t>1.5.6</t>
  </si>
  <si>
    <t>1.5.7</t>
  </si>
  <si>
    <t>1.5.8</t>
  </si>
  <si>
    <t>1.5.9</t>
  </si>
  <si>
    <t>1.5.10</t>
  </si>
  <si>
    <t>1.5.11</t>
  </si>
  <si>
    <t>1.5.12</t>
  </si>
  <si>
    <t>1.5.13</t>
  </si>
  <si>
    <t>1.5.14</t>
  </si>
  <si>
    <t>1.5.15</t>
  </si>
  <si>
    <t>1.5.16</t>
  </si>
  <si>
    <t>1.5.17</t>
  </si>
  <si>
    <t>1.5.18</t>
  </si>
  <si>
    <t>1.5.19</t>
  </si>
  <si>
    <t>1.5.20</t>
  </si>
  <si>
    <t>1.6.1</t>
  </si>
  <si>
    <t>1.6.2</t>
  </si>
  <si>
    <t>1.6.3</t>
  </si>
  <si>
    <t>1.6.4</t>
  </si>
  <si>
    <t>1.6.5</t>
  </si>
  <si>
    <t>1.6.6</t>
  </si>
  <si>
    <t>1.6.7</t>
  </si>
  <si>
    <t>1.6.8</t>
  </si>
  <si>
    <t>1.6.9</t>
  </si>
  <si>
    <t>1.6.10</t>
  </si>
  <si>
    <t>1.6.11</t>
  </si>
  <si>
    <t>1.6.12</t>
  </si>
  <si>
    <t>1.6.13</t>
  </si>
  <si>
    <t>1.6.14</t>
  </si>
  <si>
    <t>1.6.15</t>
  </si>
  <si>
    <t>1.6.16</t>
  </si>
  <si>
    <t>1.6.17</t>
  </si>
  <si>
    <t>1.6.18</t>
  </si>
  <si>
    <t>1.6.19</t>
  </si>
  <si>
    <t>1.6.20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</si>
  <si>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</si>
  <si>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</si>
  <si>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</si>
  <si>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</si>
  <si>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</si>
  <si>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</si>
  <si>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</si>
  <si>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</si>
  <si>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</si>
  <si>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</si>
  <si>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</si>
  <si>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</si>
  <si>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</si>
  <si>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</si>
  <si>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</si>
  <si>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</si>
  <si>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</si>
  <si>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</si>
  <si>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</si>
  <si>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</si>
  <si>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</si>
  <si>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</si>
  <si>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</si>
  <si>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</si>
  <si>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</si>
  <si>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</si>
  <si>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</si>
  <si>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</si>
  <si>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</si>
  <si>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</si>
  <si>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</si>
  <si>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</si>
  <si>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</si>
  <si>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</si>
  <si>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</si>
  <si>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</si>
  <si>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</si>
  <si>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</si>
  <si>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</si>
  <si>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</si>
  <si>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</si>
  <si>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</si>
  <si>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</si>
  <si>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</si>
  <si>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</si>
  <si>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</si>
  <si>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</si>
  <si>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</si>
  <si>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</si>
  <si>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</si>
  <si>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</si>
  <si>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</si>
  <si>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</si>
  <si>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</si>
  <si>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</si>
  <si>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</si>
  <si>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</si>
  <si>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</si>
  <si>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</si>
  <si>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</si>
  <si>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</si>
  <si>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</si>
  <si>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</si>
  <si>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</si>
  <si>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</si>
  <si>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</si>
  <si>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</si>
  <si>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</si>
  <si>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</si>
  <si>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</si>
  <si>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</si>
  <si>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</si>
  <si>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</si>
  <si>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</si>
  <si>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</si>
  <si>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</si>
  <si>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</si>
  <si>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</si>
  <si>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</si>
  <si>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</si>
  <si>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</si>
  <si>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</si>
  <si>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</si>
  <si>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</si>
  <si>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</si>
  <si>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</si>
  <si>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</si>
  <si>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</si>
  <si>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</si>
  <si>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</si>
  <si>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</si>
  <si>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</si>
  <si>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</si>
  <si>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</si>
  <si>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</si>
  <si>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</si>
  <si>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</si>
  <si>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</si>
  <si>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</si>
  <si>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</si>
  <si>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</si>
  <si>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</si>
  <si>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</si>
  <si>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</si>
  <si>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</si>
  <si>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</si>
  <si>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</si>
  <si>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</si>
  <si>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</si>
  <si>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</si>
  <si>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</si>
  <si>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</si>
  <si>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</si>
  <si>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</si>
  <si>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</si>
  <si>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</si>
  <si>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</si>
  <si>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</si>
  <si>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</si>
  <si>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</si>
  <si>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6.1.1</t>
  </si>
  <si>
    <t>6.1.2</t>
  </si>
  <si>
    <t>6.1.3</t>
  </si>
  <si>
    <t>6.1.4</t>
  </si>
  <si>
    <t>6.1.5</t>
  </si>
  <si>
    <t>6.1.6</t>
  </si>
  <si>
    <t>6.1.7</t>
  </si>
  <si>
    <t>6.1.8</t>
  </si>
  <si>
    <t>6.1.9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</si>
  <si>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</si>
  <si>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</si>
  <si>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</si>
  <si>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</si>
  <si>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</si>
  <si>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</si>
  <si>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</si>
  <si>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</si>
  <si>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</si>
  <si>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</si>
  <si>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</si>
  <si>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</si>
  <si>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</si>
  <si>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</si>
  <si>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</si>
  <si>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</si>
  <si>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</si>
  <si>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</si>
  <si>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</si>
  <si>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</si>
  <si>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</si>
  <si>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</si>
  <si>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</si>
  <si>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</si>
  <si>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</si>
  <si>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</si>
  <si>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</si>
  <si>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</si>
  <si>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</si>
  <si>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</si>
  <si>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</si>
  <si>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</si>
  <si>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</si>
  <si>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</si>
  <si>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</si>
  <si>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</si>
  <si>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</si>
  <si>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</si>
  <si>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</si>
  <si>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</si>
  <si>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</si>
  <si>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6.2.1</t>
  </si>
  <si>
    <t>6.2.2</t>
  </si>
  <si>
    <t>6.2.3</t>
  </si>
  <si>
    <t>6.2.4</t>
  </si>
  <si>
    <t>6.2.5</t>
  </si>
  <si>
    <t>6.2.6</t>
  </si>
  <si>
    <t>6.2.7</t>
  </si>
  <si>
    <t>6.2.8</t>
  </si>
  <si>
    <t>6.2.9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</si>
  <si>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</si>
  <si>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</si>
  <si>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</si>
  <si>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</si>
  <si>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</si>
  <si>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</si>
  <si>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</si>
  <si>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</si>
  <si>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</si>
  <si>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</si>
  <si>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</si>
  <si>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</si>
  <si>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</si>
  <si>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</si>
  <si>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</si>
  <si>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</si>
  <si>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</si>
  <si>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</si>
  <si>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</si>
  <si>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</si>
  <si>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</si>
  <si>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</si>
  <si>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</si>
  <si>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</si>
  <si>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</si>
  <si>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</si>
  <si>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</si>
  <si>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</si>
  <si>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</si>
  <si>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</si>
  <si>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</si>
  <si>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</si>
  <si>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</si>
  <si>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</si>
  <si>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</si>
  <si>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</si>
  <si>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</si>
  <si>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</si>
  <si>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</si>
  <si>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</si>
  <si>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</si>
  <si>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უძრავი ქონებით უზრუნველყოფილ სესხებზე დარიცხული %</t>
  </si>
  <si>
    <t>სხვა სესხებზე (მოკლევადიანი) დარიცხული %</t>
  </si>
  <si>
    <t>სხვა სესხებზე დარიცხული %</t>
  </si>
  <si>
    <t>4.5.1</t>
  </si>
  <si>
    <t>4.5.2</t>
  </si>
  <si>
    <t>4.5.3</t>
  </si>
  <si>
    <t>4.5.4</t>
  </si>
  <si>
    <t>4.5.5</t>
  </si>
  <si>
    <t>4.5.6</t>
  </si>
  <si>
    <t>4.5.7</t>
  </si>
  <si>
    <t>4.5.8</t>
  </si>
  <si>
    <t>4.5.9</t>
  </si>
  <si>
    <t>4.5.10</t>
  </si>
  <si>
    <t>4.5.11</t>
  </si>
  <si>
    <t>4.5.12</t>
  </si>
  <si>
    <t>4.5.13</t>
  </si>
  <si>
    <t>4.5.14</t>
  </si>
  <si>
    <t>4.5.15</t>
  </si>
  <si>
    <t>4.5.16</t>
  </si>
  <si>
    <t>4.5.17</t>
  </si>
  <si>
    <t>4.5.18</t>
  </si>
  <si>
    <t>4.5.19</t>
  </si>
  <si>
    <t>4.5.20</t>
  </si>
  <si>
    <t>4.6.1</t>
  </si>
  <si>
    <t>4.6.2</t>
  </si>
  <si>
    <t>4.6.3</t>
  </si>
  <si>
    <t>4.6.4</t>
  </si>
  <si>
    <t>4.6.5</t>
  </si>
  <si>
    <t>4.6.6</t>
  </si>
  <si>
    <t>4.6.7</t>
  </si>
  <si>
    <t>4.6.8</t>
  </si>
  <si>
    <t>4.6.9</t>
  </si>
  <si>
    <t>4.6.10</t>
  </si>
  <si>
    <t>4.6.11</t>
  </si>
  <si>
    <t>4.6.12</t>
  </si>
  <si>
    <t>4.6.13</t>
  </si>
  <si>
    <t>4.6.14</t>
  </si>
  <si>
    <t>4.6.15</t>
  </si>
  <si>
    <t>4.6.16</t>
  </si>
  <si>
    <t>4.6.17</t>
  </si>
  <si>
    <t>4.6.18</t>
  </si>
  <si>
    <t>4.6.19</t>
  </si>
  <si>
    <t>4.6.20</t>
  </si>
  <si>
    <t>გადამზღვევლის წილი სადაზღვევო რეზერვებში (სიცოცხლის)</t>
  </si>
  <si>
    <t>სადაზღვევო რეზერვები (სიცოცხლის), ნეტო</t>
  </si>
  <si>
    <t>ძირითადი საშუალებების წმინდა საბალანსო ღირებულების განსაზღვრა</t>
  </si>
  <si>
    <t>ნაშთი პერიოდის დასაწყისში  (1-2)</t>
  </si>
  <si>
    <t>ნაშთი პერიოდის ბოლოს  (3+4+5-6+7-8)</t>
  </si>
  <si>
    <t>6.4</t>
  </si>
  <si>
    <t>სულ ვალდებულებები:</t>
  </si>
  <si>
    <t>სულ კაპიტალი:</t>
  </si>
  <si>
    <t>სულ ვალდებულებები და კაპიტალი:</t>
  </si>
  <si>
    <t>სულ მოთხოვნები საკრედიტო დაწესებულებების მიმართ: (1+6+11)</t>
  </si>
  <si>
    <t xml:space="preserve"> - გამომუშავებული პრემია (ნეტო)/სადაზღვევო შემოსავალი   (1-2-3+4)</t>
  </si>
  <si>
    <t xml:space="preserve"> - საკომისიო შემოსავალი (ხარჯი), წმინდა</t>
  </si>
  <si>
    <t xml:space="preserve"> - სხვა  შემოსავალი (ხარჯი), წმინდა</t>
  </si>
  <si>
    <t xml:space="preserve"> - სადაზღვევო/დამდგარი ზარალები, ნეტო   (6-7+8-9-10)</t>
  </si>
  <si>
    <t>გადამზღვევლისაგან მიღებული საკომისიო, წმინდა (1+2-3)</t>
  </si>
  <si>
    <t>ცედენტის კუთვნილი საკომისიო, წმინდა (5+6-7)</t>
  </si>
  <si>
    <t>ბროკერის საკომისიო, წმინდა (9+10-11)</t>
  </si>
  <si>
    <t>აგენტის საკომისიო, წმინდა (13+14-15)</t>
  </si>
  <si>
    <t>გადამზღვევლისაგან მიღებული საკომისიო, წმინდა   (17+18-19)</t>
  </si>
  <si>
    <t>ცედენტის კუთვნილი საკომისიო, წმინდა   (21+22-23)</t>
  </si>
  <si>
    <t>ბროკერის საკომისიო, წმინდა   (25+26-27)</t>
  </si>
  <si>
    <t>აგენტის საკომისიო, წმინდა   (29+30-31)</t>
  </si>
  <si>
    <t>სხვა ფინანსური აქტივის დასახელება, ემიტენტი, რეგისტრაციის ქვეყანა</t>
  </si>
  <si>
    <t>სულ შემოსავლები სესხებიდან:   (1+2+3+4)</t>
  </si>
  <si>
    <t>ფინანსური ხარჯი</t>
  </si>
  <si>
    <t>რაოდენობა (I+III+V)</t>
  </si>
  <si>
    <t>რაოდენობა (IX+XI+XIII)</t>
  </si>
  <si>
    <t>ვადიანი დეპოზიტები ბანკებში</t>
  </si>
  <si>
    <t>საპენსიო ვალდებულებები პერიოდის ბოლოს:</t>
  </si>
  <si>
    <t>საკომისიო შემოსავალი (ხარჯი), წმინდა   (4-8-12-16)</t>
  </si>
  <si>
    <t xml:space="preserve">საკომისიო შემოსავალი (ხარჯი), წმინდა   (20-24-28-32) </t>
  </si>
  <si>
    <t>7.2.1.1</t>
  </si>
  <si>
    <t>7.2.1.2</t>
  </si>
  <si>
    <t>7.2.1.3</t>
  </si>
  <si>
    <t>7.2.1.4</t>
  </si>
  <si>
    <t>7.2.1.5</t>
  </si>
  <si>
    <t>7.2.1.6</t>
  </si>
  <si>
    <t>7.2.1.7</t>
  </si>
  <si>
    <t>7.2.1.8</t>
  </si>
  <si>
    <t>7.2.1.9</t>
  </si>
  <si>
    <t>7.2.1.10</t>
  </si>
  <si>
    <t>7.2.1.11</t>
  </si>
  <si>
    <t>7.2.1.12</t>
  </si>
  <si>
    <t>7.2.1.13</t>
  </si>
  <si>
    <t>7.2.1.14</t>
  </si>
  <si>
    <t>7.2.1.15</t>
  </si>
  <si>
    <t>7.2.1.16</t>
  </si>
  <si>
    <t>7.2.1.17</t>
  </si>
  <si>
    <t>7.2.1.18</t>
  </si>
  <si>
    <t>7.2.1.19</t>
  </si>
  <si>
    <t>7.2.1.20</t>
  </si>
  <si>
    <t>7.2.2.1</t>
  </si>
  <si>
    <t>7.2.2.2</t>
  </si>
  <si>
    <t>7.2.2.3</t>
  </si>
  <si>
    <t>7.2.2.4</t>
  </si>
  <si>
    <t>7.2.2.5</t>
  </si>
  <si>
    <t>7.2.2.6</t>
  </si>
  <si>
    <t>7.2.2.7</t>
  </si>
  <si>
    <t>7.2.2.8</t>
  </si>
  <si>
    <t>7.2.2.9</t>
  </si>
  <si>
    <t>7.2.2.10</t>
  </si>
  <si>
    <t>7.2.2.11</t>
  </si>
  <si>
    <t>7.2.2.12</t>
  </si>
  <si>
    <t>7.2.2.13</t>
  </si>
  <si>
    <t>7.2.2.14</t>
  </si>
  <si>
    <t>7.2.2.15</t>
  </si>
  <si>
    <t>7.2.2.16</t>
  </si>
  <si>
    <t>7.2.2.17</t>
  </si>
  <si>
    <t>7.2.2.18</t>
  </si>
  <si>
    <t>7.2.2.19</t>
  </si>
  <si>
    <t>7.2.2.20</t>
  </si>
  <si>
    <t>7.2.3.1</t>
  </si>
  <si>
    <t>7.2.3.2</t>
  </si>
  <si>
    <t>7.2.3.3</t>
  </si>
  <si>
    <t>7.2.3.4</t>
  </si>
  <si>
    <t>7.2.3.5</t>
  </si>
  <si>
    <t>7.2.3.6</t>
  </si>
  <si>
    <t>7.2.3.7</t>
  </si>
  <si>
    <t>7.2.3.8</t>
  </si>
  <si>
    <t>7.2.3.9</t>
  </si>
  <si>
    <t>7.2.3.10</t>
  </si>
  <si>
    <t>7.2.3.11</t>
  </si>
  <si>
    <t>7.2.3.12</t>
  </si>
  <si>
    <t>7.2.3.13</t>
  </si>
  <si>
    <t>7.2.3.14</t>
  </si>
  <si>
    <t>7.2.3.15</t>
  </si>
  <si>
    <t>7.2.3.16</t>
  </si>
  <si>
    <t>7.2.3.17</t>
  </si>
  <si>
    <t>7.2.3.18</t>
  </si>
  <si>
    <t>7.2.3.19</t>
  </si>
  <si>
    <t>7.2.3.20</t>
  </si>
  <si>
    <t>7.2.4.1</t>
  </si>
  <si>
    <t>7.2.4.2</t>
  </si>
  <si>
    <t>7.2.4.3</t>
  </si>
  <si>
    <t>7.2.4.4</t>
  </si>
  <si>
    <t>7.2.4.5</t>
  </si>
  <si>
    <t>7.2.4.6</t>
  </si>
  <si>
    <t>7.2.4.7</t>
  </si>
  <si>
    <t>7.2.4.8</t>
  </si>
  <si>
    <t>7.2.4.9</t>
  </si>
  <si>
    <t>7.2.4.10</t>
  </si>
  <si>
    <t>7.2.4.11</t>
  </si>
  <si>
    <t>7.2.4.12</t>
  </si>
  <si>
    <t>7.2.4.13</t>
  </si>
  <si>
    <t>7.2.4.14</t>
  </si>
  <si>
    <t>7.2.4.15</t>
  </si>
  <si>
    <t>7.2.4.16</t>
  </si>
  <si>
    <t>7.2.4.17</t>
  </si>
  <si>
    <t>7.2.4.18</t>
  </si>
  <si>
    <t>7.2.4.19</t>
  </si>
  <si>
    <t>7.2.4.20</t>
  </si>
  <si>
    <t>7.3.1</t>
  </si>
  <si>
    <t>7.3.1.1</t>
  </si>
  <si>
    <t>7.3.1.2</t>
  </si>
  <si>
    <t>7.3.1.3</t>
  </si>
  <si>
    <t>7.3.1.4</t>
  </si>
  <si>
    <t>7.3.1.5</t>
  </si>
  <si>
    <t>7.3.1.6</t>
  </si>
  <si>
    <t>7.3.1.7</t>
  </si>
  <si>
    <t>7.3.1.8</t>
  </si>
  <si>
    <t>7.3.1.9</t>
  </si>
  <si>
    <t>7.3.1.10</t>
  </si>
  <si>
    <t>7.3.1.11</t>
  </si>
  <si>
    <t>7.3.1.12</t>
  </si>
  <si>
    <t>7.3.1.13</t>
  </si>
  <si>
    <t>7.3.1.14</t>
  </si>
  <si>
    <t>7.3.1.15</t>
  </si>
  <si>
    <t>7.3.1.16</t>
  </si>
  <si>
    <t>7.3.1.17</t>
  </si>
  <si>
    <t>7.3.1.18</t>
  </si>
  <si>
    <t>7.3.1.19</t>
  </si>
  <si>
    <t>7.3.1.20</t>
  </si>
  <si>
    <t>7.3.2.1</t>
  </si>
  <si>
    <t>7.3.2.2</t>
  </si>
  <si>
    <t>7.3.2.3</t>
  </si>
  <si>
    <t>7.3.2.4</t>
  </si>
  <si>
    <t>7.3.2.5</t>
  </si>
  <si>
    <t>7.3.2.6</t>
  </si>
  <si>
    <t>7.3.2.7</t>
  </si>
  <si>
    <t>7.3.2.8</t>
  </si>
  <si>
    <t>7.3.2.9</t>
  </si>
  <si>
    <t>7.3.2.10</t>
  </si>
  <si>
    <t>7.3.2.11</t>
  </si>
  <si>
    <t>7.3.2.12</t>
  </si>
  <si>
    <t>7.3.2.13</t>
  </si>
  <si>
    <t>7.3.2.14</t>
  </si>
  <si>
    <t>7.3.2.15</t>
  </si>
  <si>
    <t>7.3.2.16</t>
  </si>
  <si>
    <t>7.3.2.17</t>
  </si>
  <si>
    <t>7.3.2.18</t>
  </si>
  <si>
    <t>7.3.2.19</t>
  </si>
  <si>
    <t>7.3.2.20</t>
  </si>
  <si>
    <t>7.3.3.1</t>
  </si>
  <si>
    <t>7.3.3.2</t>
  </si>
  <si>
    <t>7.3.3.3</t>
  </si>
  <si>
    <t>7.3.3.4</t>
  </si>
  <si>
    <t>7.3.3.5</t>
  </si>
  <si>
    <t>7.3.3.6</t>
  </si>
  <si>
    <t>7.3.3.7</t>
  </si>
  <si>
    <t>7.3.3.8</t>
  </si>
  <si>
    <t>7.3.3.9</t>
  </si>
  <si>
    <t>7.3.3.10</t>
  </si>
  <si>
    <t>7.3.3.11</t>
  </si>
  <si>
    <t>7.3.3.12</t>
  </si>
  <si>
    <t>7.3.3.13</t>
  </si>
  <si>
    <t>7.3.3.14</t>
  </si>
  <si>
    <t>7.3.3.15</t>
  </si>
  <si>
    <t>7.3.3.16</t>
  </si>
  <si>
    <t>7.3.3.17</t>
  </si>
  <si>
    <t>7.3.3.18</t>
  </si>
  <si>
    <t>7.3.3.19</t>
  </si>
  <si>
    <t>7.3.3.20</t>
  </si>
  <si>
    <t>7.3.4.1</t>
  </si>
  <si>
    <t>7.3.4.2</t>
  </si>
  <si>
    <t>7.3.4.3</t>
  </si>
  <si>
    <t>7.3.4.4</t>
  </si>
  <si>
    <t>7.3.4.5</t>
  </si>
  <si>
    <t>7.3.4.6</t>
  </si>
  <si>
    <t>7.3.4.7</t>
  </si>
  <si>
    <t>7.3.4.8</t>
  </si>
  <si>
    <t>7.3.4.9</t>
  </si>
  <si>
    <t>7.3.4.10</t>
  </si>
  <si>
    <t>7.3.4.11</t>
  </si>
  <si>
    <t>7.3.4.12</t>
  </si>
  <si>
    <t>7.3.4.13</t>
  </si>
  <si>
    <t>7.3.4.14</t>
  </si>
  <si>
    <t>7.3.4.15</t>
  </si>
  <si>
    <t>7.3.4.16</t>
  </si>
  <si>
    <t>7.3.4.17</t>
  </si>
  <si>
    <t>7.3.4.18</t>
  </si>
  <si>
    <t>7.3.4.19</t>
  </si>
  <si>
    <t>7.3.4.20</t>
  </si>
  <si>
    <t>7.4.1.1</t>
  </si>
  <si>
    <t>7.4.1.2</t>
  </si>
  <si>
    <t>7.4.1.3</t>
  </si>
  <si>
    <t>7.4.1.4</t>
  </si>
  <si>
    <t>7.4.1.5</t>
  </si>
  <si>
    <t>7.4.1.6</t>
  </si>
  <si>
    <t>7.4.1.7</t>
  </si>
  <si>
    <t>7.4.1.8</t>
  </si>
  <si>
    <t>7.4.1.9</t>
  </si>
  <si>
    <t>7.4.1.10</t>
  </si>
  <si>
    <t>7.4.1.11</t>
  </si>
  <si>
    <t>7.4.1.12</t>
  </si>
  <si>
    <t>7.4.1.13</t>
  </si>
  <si>
    <t>7.4.1.14</t>
  </si>
  <si>
    <t>7.4.1.15</t>
  </si>
  <si>
    <t>7.4.1.16</t>
  </si>
  <si>
    <t>7.4.1.17</t>
  </si>
  <si>
    <t>7.4.1.18</t>
  </si>
  <si>
    <t>7.4.1.19</t>
  </si>
  <si>
    <t>7.4.1.20</t>
  </si>
  <si>
    <t>7.4.2.1</t>
  </si>
  <si>
    <t>7.4.2.2</t>
  </si>
  <si>
    <t>7.4.2.3</t>
  </si>
  <si>
    <t>7.4.2.4</t>
  </si>
  <si>
    <t>7.4.2.5</t>
  </si>
  <si>
    <t>7.4.2.6</t>
  </si>
  <si>
    <t>7.4.2.7</t>
  </si>
  <si>
    <t>7.4.2.8</t>
  </si>
  <si>
    <t>7.4.2.9</t>
  </si>
  <si>
    <t>7.4.2.10</t>
  </si>
  <si>
    <t>7.4.2.11</t>
  </si>
  <si>
    <t>7.4.2.12</t>
  </si>
  <si>
    <t>7.4.2.13</t>
  </si>
  <si>
    <t>7.4.2.14</t>
  </si>
  <si>
    <t>7.4.2.15</t>
  </si>
  <si>
    <t>7.4.2.16</t>
  </si>
  <si>
    <t>7.4.2.17</t>
  </si>
  <si>
    <t>7.4.2.18</t>
  </si>
  <si>
    <t>7.4.2.19</t>
  </si>
  <si>
    <t>7.4.2.20</t>
  </si>
  <si>
    <t>7.4.3.1</t>
  </si>
  <si>
    <t>7.4.3.2</t>
  </si>
  <si>
    <t>7.4.3.3</t>
  </si>
  <si>
    <t>7.4.3.4</t>
  </si>
  <si>
    <t>7.4.3.5</t>
  </si>
  <si>
    <t>7.4.3.6</t>
  </si>
  <si>
    <t>7.4.3.7</t>
  </si>
  <si>
    <t>7.4.3.8</t>
  </si>
  <si>
    <t>7.4.3.9</t>
  </si>
  <si>
    <t>7.4.3.10</t>
  </si>
  <si>
    <t>7.4.3.11</t>
  </si>
  <si>
    <t>7.4.3.12</t>
  </si>
  <si>
    <t>7.4.3.13</t>
  </si>
  <si>
    <t>7.4.3.14</t>
  </si>
  <si>
    <t>7.4.3.15</t>
  </si>
  <si>
    <t>7.4.3.16</t>
  </si>
  <si>
    <t>7.4.3.17</t>
  </si>
  <si>
    <t>7.4.3.18</t>
  </si>
  <si>
    <t>7.4.3.19</t>
  </si>
  <si>
    <t>7.4.3.20</t>
  </si>
  <si>
    <t>7.4.4.1</t>
  </si>
  <si>
    <t>7.4.4.2</t>
  </si>
  <si>
    <t>7.4.4.3</t>
  </si>
  <si>
    <t>7.4.4.4</t>
  </si>
  <si>
    <t>7.4.4.5</t>
  </si>
  <si>
    <t>7.4.4.6</t>
  </si>
  <si>
    <t>7.4.4.7</t>
  </si>
  <si>
    <t>7.4.4.8</t>
  </si>
  <si>
    <t>7.4.4.9</t>
  </si>
  <si>
    <t>7.4.4.10</t>
  </si>
  <si>
    <t>7.4.4.11</t>
  </si>
  <si>
    <t>7.4.4.12</t>
  </si>
  <si>
    <t>7.4.4.13</t>
  </si>
  <si>
    <t>7.4.4.14</t>
  </si>
  <si>
    <t>7.4.4.15</t>
  </si>
  <si>
    <t>7.4.4.16</t>
  </si>
  <si>
    <t>7.4.4.17</t>
  </si>
  <si>
    <t>7.4.4.18</t>
  </si>
  <si>
    <t>7.4.4.19</t>
  </si>
  <si>
    <t>7.4.4.20</t>
  </si>
  <si>
    <t>7.5.3</t>
  </si>
  <si>
    <t>7.5.4</t>
  </si>
  <si>
    <t>7.5.5</t>
  </si>
  <si>
    <t>7.5.6</t>
  </si>
  <si>
    <t>7.5.7</t>
  </si>
  <si>
    <t>7.5.8</t>
  </si>
  <si>
    <t>7.5.9</t>
  </si>
  <si>
    <t>7.5.10</t>
  </si>
  <si>
    <t>7.5.11</t>
  </si>
  <si>
    <t>7.5.12</t>
  </si>
  <si>
    <t>7.5.13</t>
  </si>
  <si>
    <t>7.5.14</t>
  </si>
  <si>
    <t>7.5.15</t>
  </si>
  <si>
    <t>7.5.16</t>
  </si>
  <si>
    <t>7.5.17</t>
  </si>
  <si>
    <t>7.5.18</t>
  </si>
  <si>
    <t>7.5.19</t>
  </si>
  <si>
    <t>7.5.20</t>
  </si>
  <si>
    <t>7.6.1</t>
  </si>
  <si>
    <t>7.6.2</t>
  </si>
  <si>
    <t>7.6.3</t>
  </si>
  <si>
    <t>7.6.4</t>
  </si>
  <si>
    <t>7.6.5</t>
  </si>
  <si>
    <t>7.6.6</t>
  </si>
  <si>
    <t>7.6.7</t>
  </si>
  <si>
    <t>7.6.8</t>
  </si>
  <si>
    <t>7.6.9</t>
  </si>
  <si>
    <t>7.6.10</t>
  </si>
  <si>
    <t>7.6.11</t>
  </si>
  <si>
    <t>7.6.12</t>
  </si>
  <si>
    <t>7.6.13</t>
  </si>
  <si>
    <t>7.6.14</t>
  </si>
  <si>
    <t>7.6.15</t>
  </si>
  <si>
    <t>7.6.16</t>
  </si>
  <si>
    <t>7.6.17</t>
  </si>
  <si>
    <t>7.6.18</t>
  </si>
  <si>
    <t>7.6.19</t>
  </si>
  <si>
    <t>7.6.20</t>
  </si>
  <si>
    <t>8.4.3.1</t>
  </si>
  <si>
    <t>8.4.3.2</t>
  </si>
  <si>
    <t>8.4.3.3</t>
  </si>
  <si>
    <t>8.4.3.4</t>
  </si>
  <si>
    <t>8.4.3.5</t>
  </si>
  <si>
    <t>8.4.3.6</t>
  </si>
  <si>
    <t>8.4.3.7</t>
  </si>
  <si>
    <t>8.4.3.8</t>
  </si>
  <si>
    <t>8.4.3.9</t>
  </si>
  <si>
    <t>8.4.3.10</t>
  </si>
  <si>
    <t>8.4.3.11</t>
  </si>
  <si>
    <t>8.4.3.12</t>
  </si>
  <si>
    <t>8.4.3.13</t>
  </si>
  <si>
    <t>8.4.3.14</t>
  </si>
  <si>
    <t>8.4.3.15</t>
  </si>
  <si>
    <t>8.4.3.16</t>
  </si>
  <si>
    <t>8.4.3.17</t>
  </si>
  <si>
    <t>8.4.3.18</t>
  </si>
  <si>
    <t>8.4.3.19</t>
  </si>
  <si>
    <t>8.4.3.20</t>
  </si>
  <si>
    <t>8.5.1</t>
  </si>
  <si>
    <t>8.5.2</t>
  </si>
  <si>
    <t>სადაზღვევო მოგება (ზარალი), წმინდა   (5-11-12+13)</t>
  </si>
  <si>
    <t>17.1.1</t>
  </si>
  <si>
    <t>17.1.2</t>
  </si>
  <si>
    <t>17.1.3</t>
  </si>
  <si>
    <t>17.1.4</t>
  </si>
  <si>
    <t>17.1.5</t>
  </si>
  <si>
    <t>17.1.6</t>
  </si>
  <si>
    <t>17.1.7</t>
  </si>
  <si>
    <t>17.1.8</t>
  </si>
  <si>
    <t>17.1.9</t>
  </si>
  <si>
    <t>17.1.10</t>
  </si>
  <si>
    <t>17.1.11</t>
  </si>
  <si>
    <t>17.1.12</t>
  </si>
  <si>
    <t>17.1.13</t>
  </si>
  <si>
    <t>17.1.14</t>
  </si>
  <si>
    <t>17.1.15</t>
  </si>
  <si>
    <t>17.1.16</t>
  </si>
  <si>
    <t>17.1.17</t>
  </si>
  <si>
    <t>17.1.18</t>
  </si>
  <si>
    <t>17.1.19</t>
  </si>
  <si>
    <t>17.1.20</t>
  </si>
  <si>
    <t>17.2.1</t>
  </si>
  <si>
    <t>17.2.2</t>
  </si>
  <si>
    <t>17.2.3</t>
  </si>
  <si>
    <t>17.2.4</t>
  </si>
  <si>
    <t>17.2.5</t>
  </si>
  <si>
    <t>17.2.6</t>
  </si>
  <si>
    <t>17.2.7</t>
  </si>
  <si>
    <t>17.2.8</t>
  </si>
  <si>
    <t>17.2.9</t>
  </si>
  <si>
    <t>17.2.10</t>
  </si>
  <si>
    <t>17.2.11</t>
  </si>
  <si>
    <t>17.2.12</t>
  </si>
  <si>
    <t>17.2.13</t>
  </si>
  <si>
    <t>17.2.14</t>
  </si>
  <si>
    <t>17.2.15</t>
  </si>
  <si>
    <t>17.2.16</t>
  </si>
  <si>
    <t>17.2.17</t>
  </si>
  <si>
    <t>17.2.18</t>
  </si>
  <si>
    <t>17.2.19</t>
  </si>
  <si>
    <t>17.2.20</t>
  </si>
  <si>
    <t>18.1.1</t>
  </si>
  <si>
    <t>18.1.2</t>
  </si>
  <si>
    <t>18.1.3</t>
  </si>
  <si>
    <t>18.1.4</t>
  </si>
  <si>
    <t>18.1.5</t>
  </si>
  <si>
    <t>18.1.6</t>
  </si>
  <si>
    <t>18.1.7</t>
  </si>
  <si>
    <t>18.1.8</t>
  </si>
  <si>
    <t>18.1.9</t>
  </si>
  <si>
    <t>18.1.10</t>
  </si>
  <si>
    <t>18.1.11</t>
  </si>
  <si>
    <t>18.1.12</t>
  </si>
  <si>
    <t>18.1.13</t>
  </si>
  <si>
    <t>18.1.14</t>
  </si>
  <si>
    <t>18.1.15</t>
  </si>
  <si>
    <t>18.1.16</t>
  </si>
  <si>
    <t>18.1.17</t>
  </si>
  <si>
    <t>18.1.18</t>
  </si>
  <si>
    <t>18.1.19</t>
  </si>
  <si>
    <t>18.1.20</t>
  </si>
  <si>
    <t>18.2.1</t>
  </si>
  <si>
    <t>18.2.2</t>
  </si>
  <si>
    <t>18.2.3</t>
  </si>
  <si>
    <t>18.2.4</t>
  </si>
  <si>
    <t>18.2.5</t>
  </si>
  <si>
    <t>18.2.6</t>
  </si>
  <si>
    <t>18.2.7</t>
  </si>
  <si>
    <t>18.2.8</t>
  </si>
  <si>
    <t>18.2.9</t>
  </si>
  <si>
    <t>18.2.10</t>
  </si>
  <si>
    <t>18.2.11</t>
  </si>
  <si>
    <t>18.2.12</t>
  </si>
  <si>
    <t>18.2.13</t>
  </si>
  <si>
    <t>18.2.14</t>
  </si>
  <si>
    <t>18.2.15</t>
  </si>
  <si>
    <t>18.2.16</t>
  </si>
  <si>
    <t>18.2.17</t>
  </si>
  <si>
    <t>18.2.18</t>
  </si>
  <si>
    <t>18.2.19</t>
  </si>
  <si>
    <t>18.2.20</t>
  </si>
  <si>
    <t>19.1.1</t>
  </si>
  <si>
    <t>19.1.2</t>
  </si>
  <si>
    <t>19.1.3</t>
  </si>
  <si>
    <t>19.1.4</t>
  </si>
  <si>
    <t>19.1.5</t>
  </si>
  <si>
    <t>19.1.6</t>
  </si>
  <si>
    <t>19.1.7</t>
  </si>
  <si>
    <t>19.1.8</t>
  </si>
  <si>
    <t>19.1.9</t>
  </si>
  <si>
    <t>19.1.10</t>
  </si>
  <si>
    <t>19.1.11</t>
  </si>
  <si>
    <t>19.1.12</t>
  </si>
  <si>
    <t>19.1.13</t>
  </si>
  <si>
    <t>19.1.14</t>
  </si>
  <si>
    <t>19.1.15</t>
  </si>
  <si>
    <t>19.1.16</t>
  </si>
  <si>
    <t>19.1.17</t>
  </si>
  <si>
    <t>19.1.18</t>
  </si>
  <si>
    <t>19.1.19</t>
  </si>
  <si>
    <t>19.1.20</t>
  </si>
  <si>
    <t>19.2.1</t>
  </si>
  <si>
    <t>19.2.2</t>
  </si>
  <si>
    <t>19.2.3</t>
  </si>
  <si>
    <t>19.2.4</t>
  </si>
  <si>
    <t>19.2.5</t>
  </si>
  <si>
    <t>19.2.6</t>
  </si>
  <si>
    <t>19.2.7</t>
  </si>
  <si>
    <t>19.2.8</t>
  </si>
  <si>
    <t>19.2.9</t>
  </si>
  <si>
    <t>19.2.10</t>
  </si>
  <si>
    <t>19.2.11</t>
  </si>
  <si>
    <t>19.2.12</t>
  </si>
  <si>
    <t>19.2.13</t>
  </si>
  <si>
    <t>19.2.14</t>
  </si>
  <si>
    <t>19.2.15</t>
  </si>
  <si>
    <t>19.2.16</t>
  </si>
  <si>
    <t>19.2.17</t>
  </si>
  <si>
    <t>19.2.18</t>
  </si>
  <si>
    <t>19.2.19</t>
  </si>
  <si>
    <t>19.2.20</t>
  </si>
  <si>
    <t>20.1.1</t>
  </si>
  <si>
    <t>20.1.2</t>
  </si>
  <si>
    <t>20.1.3</t>
  </si>
  <si>
    <t>20.1.4</t>
  </si>
  <si>
    <t>20.1.5</t>
  </si>
  <si>
    <t>20.1.6</t>
  </si>
  <si>
    <t>20.1.7</t>
  </si>
  <si>
    <t>20.1.8</t>
  </si>
  <si>
    <t>20.1.9</t>
  </si>
  <si>
    <t>20.1.10</t>
  </si>
  <si>
    <t>20.1.11</t>
  </si>
  <si>
    <t>20.1.12</t>
  </si>
  <si>
    <t>20.1.13</t>
  </si>
  <si>
    <t>20.1.14</t>
  </si>
  <si>
    <t>20.1.15</t>
  </si>
  <si>
    <t>20.1.16</t>
  </si>
  <si>
    <t>20.1.17</t>
  </si>
  <si>
    <t>20.1.18</t>
  </si>
  <si>
    <t>20.1.19</t>
  </si>
  <si>
    <t>20.1.20</t>
  </si>
  <si>
    <t>20.2.1</t>
  </si>
  <si>
    <t>20.2.2</t>
  </si>
  <si>
    <t>20.2.3</t>
  </si>
  <si>
    <t>20.2.4</t>
  </si>
  <si>
    <t>20.2.5</t>
  </si>
  <si>
    <t>20.2.6</t>
  </si>
  <si>
    <t>20.2.7</t>
  </si>
  <si>
    <t>20.2.8</t>
  </si>
  <si>
    <t>20.2.9</t>
  </si>
  <si>
    <t>20.2.10</t>
  </si>
  <si>
    <t>20.2.11</t>
  </si>
  <si>
    <t>20.2.12</t>
  </si>
  <si>
    <t>20.2.13</t>
  </si>
  <si>
    <t>20.2.14</t>
  </si>
  <si>
    <t>20.2.15</t>
  </si>
  <si>
    <t>20.2.16</t>
  </si>
  <si>
    <t>20.2.17</t>
  </si>
  <si>
    <t>20.2.18</t>
  </si>
  <si>
    <t>20.2.19</t>
  </si>
  <si>
    <t>20.2.20</t>
  </si>
  <si>
    <t>სულ შემოსავლები საინვესტიციო ქონებიდან:   (1+2+3)</t>
  </si>
  <si>
    <t xml:space="preserve">სულ აქტივები: </t>
  </si>
  <si>
    <t xml:space="preserve"> - გრძელვადიანი (365 დღეზე მეტი) (12+13+14+15)</t>
  </si>
  <si>
    <t>სულ საინვესტიციო ქონება: (1+2+3)</t>
  </si>
  <si>
    <t>საინვესტიციო შემოსავალი</t>
  </si>
  <si>
    <t>ორგანიზაციის ელექტრონული ფოსტის მისამართი</t>
  </si>
  <si>
    <t>ანგარიშგებაზე პასუხისმგებელი პირის ელექტრონული ფოსტა</t>
  </si>
  <si>
    <t>ანგარიშგებაზე პასუხისმგებელი პირის ტელეფონის ნომერი</t>
  </si>
  <si>
    <t>სადაზღვევო რეზერვები (არასიცოცხლის), ბრუტო</t>
  </si>
  <si>
    <t>გადამზღვევლის წილი სადაზღვევო რეზერვებში (არასიცოცხლის)</t>
  </si>
  <si>
    <t>სადაზღვევო რეზერვები (არასიცოცხლის), ნეტო</t>
  </si>
  <si>
    <t xml:space="preserve">გადავადებული საკომისიო ხარჯი (არასიცოცხლის) </t>
  </si>
  <si>
    <t>გადავადებული საკომისიო შემოსავალი (არასიცოცხლის)</t>
  </si>
  <si>
    <t>სადაზღვევო პრემიებისა და ზარალების ანალიზი (არასიცოცხლის დაზღვევა)</t>
  </si>
  <si>
    <t>არასიცოცხლე - საანგარიშო პერიოდი</t>
  </si>
  <si>
    <t>არასიცოცხლე - გასული წლის შესაბამისი პერიოდი</t>
  </si>
  <si>
    <t>სადაზღვევო და გადაზღვევის მოთხოვნები</t>
  </si>
  <si>
    <t>მეკავშირე კომპანიები</t>
  </si>
  <si>
    <t>შვილობილ კომპანიებში</t>
  </si>
  <si>
    <t>შვილობილი კომპანიები</t>
  </si>
  <si>
    <t>საინვესტიციო ქონება და სხვა აქტივები</t>
  </si>
  <si>
    <t>გადამზღვევლისგან მიღებული ავანსები (სადაზღვევო ზარალებთან დაკავშირებული)</t>
  </si>
  <si>
    <t>სულ სხვა სადაზღვევო ვალდებულებები: (1+2+3+4+5)</t>
  </si>
  <si>
    <t>ვალდებულებები მეკავშირე და შვილობილ კომპანიებთან</t>
  </si>
  <si>
    <t>შემოსავლები ინვესტიციებიდან</t>
  </si>
  <si>
    <t>საკომისიო შემოსავალი (ხარჯი)</t>
  </si>
  <si>
    <t>შემოსავლები საინვესტიციო ქონებიდან და სესხებიდან</t>
  </si>
  <si>
    <t>გადასახადები, ფინანსური ხარჯი და სხვა საოპერაციო შემოსავალი (ხარჯი)</t>
  </si>
  <si>
    <t>სხვა საოპერაციო შემოსავალი (ხარჯი)</t>
  </si>
  <si>
    <t xml:space="preserve">     სხვა თანამშრომლები</t>
  </si>
  <si>
    <t>გადაზღვევის მოთხოვნები</t>
  </si>
  <si>
    <t>სხვა ვალდებულებები</t>
  </si>
  <si>
    <t>შემოსავალი ინვესტიციებიდან   (37+38+39+40+41+42+43+44+45)</t>
  </si>
  <si>
    <t xml:space="preserve"> - გამომუშავებული პრემია (ნეტო)/სადაზღვევო შემოსავალი (15-16-17+18)</t>
  </si>
  <si>
    <t xml:space="preserve"> - ცვლილება სიცოცხლის რეზერვში, ნეტო   (26-27)</t>
  </si>
  <si>
    <t>სადაზღვევო მოგება (ზარალი), წმინდა   (19-25+28-29+30)</t>
  </si>
  <si>
    <t>ბანკის სესხებზე (მოკლევადიანი)</t>
  </si>
  <si>
    <t>ბანკის სესხებზე (გრძელვადიანი)</t>
  </si>
  <si>
    <t>სხვა ფინანსურ ვალდებულებებზე (მოკლევადიანი)</t>
  </si>
  <si>
    <t>სხვა ფინანსურ ვალდებულებებზე (გრძელვადიანი)</t>
  </si>
  <si>
    <t xml:space="preserve"> - კაპიტალის ემისია</t>
  </si>
  <si>
    <t xml:space="preserve"> - ინვესტიციების გადაფასების რეზერვი</t>
  </si>
  <si>
    <t xml:space="preserve"> - ძირითადი საშუალებების გადაფასების რეზერვი</t>
  </si>
  <si>
    <t xml:space="preserve"> - პერიოდის წმინდა მოგება (ზარალი)</t>
  </si>
  <si>
    <t xml:space="preserve"> - გაცხადებული დივიდენდები</t>
  </si>
  <si>
    <t xml:space="preserve">სხვა აქტივები სულ: (1+2+3+4+5+6+7+8+9) </t>
  </si>
  <si>
    <t>I. სადაზღვევო საქმიანობა (არასიცოცხლე)</t>
  </si>
  <si>
    <t>II. სადაზღვევო საქმიანობა (სიცოცხლე)</t>
  </si>
  <si>
    <t>III. საპენსიო საქმიანობა</t>
  </si>
  <si>
    <t>IV. შემოსავალი ინვესტიციებიდან</t>
  </si>
  <si>
    <t>V. სხვა ხარჯები და შემოსავლები</t>
  </si>
  <si>
    <t>სულ ფულადი სახსრები და მათი ექვივალენტები: (7+8+9+10)</t>
  </si>
  <si>
    <t>სულ სესხები: (1+2+3+4+5+6+7)</t>
  </si>
  <si>
    <t>ინვესტიციები მეკავშირე კომპანიებში: (1+2+3+4+5)</t>
  </si>
  <si>
    <t>ინვესტიციები შვილობილ კომპანიებში: (1+2+3+4+5)</t>
  </si>
  <si>
    <t>სულ სადაზღვევო რეზერვები, ბრუტო: (1+2+3)</t>
  </si>
  <si>
    <t>სულ გადამზღვევლის წილი სადაზღვევო რეზერვებში: (4+5)</t>
  </si>
  <si>
    <t xml:space="preserve"> - გამოუმუშავებელი პრემიიის რეზერვი (1-4)</t>
  </si>
  <si>
    <t>სულ სადაზღვევო რეზერვები, ნეტო: (6+7+8)</t>
  </si>
  <si>
    <t>სულ სადაზღვევო რეზერვები,  ბრუტო: (9+10+11+12)</t>
  </si>
  <si>
    <t>სულ გადამზღვევლის წილი სადაზღვევო რეზერვებში: (13+14+15)</t>
  </si>
  <si>
    <t xml:space="preserve"> - მომხდარი, მაგრამ განუცხადებელი ზარალების რეზერვი (=11)</t>
  </si>
  <si>
    <t xml:space="preserve"> - მომხდარი, მაგრამ განუცხადებელი ზარალების რეზერვი (=3)</t>
  </si>
  <si>
    <t>სულ სადაზღვევო რეზერვები, ნეტო: (16+17+18+19)</t>
  </si>
  <si>
    <t>სულ გადავადებული საკომისიო ხარჯი (არასიცოცხლის): (1+2+3)</t>
  </si>
  <si>
    <t>სულ გადავადებული საკომისიო შემოსავალი (არასიცოცხლის): (=4)</t>
  </si>
  <si>
    <t>სულ გადავადებული საკომისიო ხარჯი (სიცოცხლის): (5+6+7)</t>
  </si>
  <si>
    <t>სულ გადავადებული საკომისიო შემოსავალი (სიცოცხლის): (=8)</t>
  </si>
  <si>
    <t>სულ ვალდებულებები მეკავშირე კომპანიებთან: (1+2+3)</t>
  </si>
  <si>
    <t>სულ ვალდებულებები შვილობილ კომპანიებთან: (1+2+3)</t>
  </si>
  <si>
    <t>სადაზღვევო მოგება (ზარალი), წმინდა (14+31)</t>
  </si>
  <si>
    <t xml:space="preserve"> - მოგება (ზარალი) დაბეგვრამდე (32+36+46-47-48-49-50-51-52+53)</t>
  </si>
  <si>
    <t>პერიოდის წმინდა მოგება (ზარალი)   (54-55)</t>
  </si>
  <si>
    <t>სულ შემოსავლები საკრედიტო დაწესებულებებში განთავსებული დეპოზიტებიდან: (1+6+11+16)</t>
  </si>
  <si>
    <t xml:space="preserve"> - მიმდინარე ანგარიშებიდან (2+3+4+5)</t>
  </si>
  <si>
    <t xml:space="preserve"> - მოთხოვნამდე დეპოზიტებიდან  (7+8+9+10)  </t>
  </si>
  <si>
    <t>ბროკერის კუთვნილი საკომისიო</t>
  </si>
  <si>
    <t>აგენტის კუთვნილი საკომისიო</t>
  </si>
  <si>
    <t>ბროკერის კუთვნილი საკომისიო (გადავადებას დაქვემდებარებული)</t>
  </si>
  <si>
    <t>აგენტის კუთვნილი საკომისიო (გადავადებას დაქვემდებარებული)</t>
  </si>
  <si>
    <t>გადაზღვევიდან კუთვნილი საკომისიო (გადავადებას დაქვემდებარებული)</t>
  </si>
  <si>
    <t>ცვლილება გადავადებულ შემოსავალში (გადაზღვევიდან კუთვნილი საკომისიო)</t>
  </si>
  <si>
    <t>მცურავ სატრანსპორტო საშუალებათა გამოყენებასთან დაკავშირებული პასუხისმგებლობის დაზღვევა:</t>
  </si>
  <si>
    <t>გუდვილის გაუფასურება</t>
  </si>
  <si>
    <t>ნაშთი პერიოდის ბოლოს  (3+4+5-6+7-8-9)</t>
  </si>
  <si>
    <t>სულ მოზიდული პრემია, ჯამური
(1+2+5+6+9+13+14+15+18+19+22+23+24+25+29+30+34)</t>
  </si>
  <si>
    <t>სახმელეთო ავტოსატრანსპორტო საშუალებათა დაზღვევა (ავტოკასკო)</t>
  </si>
  <si>
    <t>სულ ოდენობა (I+II+II)</t>
  </si>
  <si>
    <t>სულ ოდენობა (V+VI+VII)</t>
  </si>
  <si>
    <t xml:space="preserve"> - რეალური ღირებულებით აღრიცხული ფინანსური აქტივები, მოგებაში ან ზარალში ასახვით</t>
  </si>
  <si>
    <t>სიცოცხლე - გასული წლის შესაბამისი პერიოდი</t>
  </si>
  <si>
    <t>სულ მოზიდული პრემია, ჯამური (1+2+3+4)</t>
  </si>
  <si>
    <t>სულ ოდენობა (I+II+III)</t>
  </si>
  <si>
    <t>სრული შემოსავლის ანგარიშგება (მოგება-ზარალის უწყისი)</t>
  </si>
  <si>
    <t>სიცოცხლის დაზღვევის მაგროვებადი და დაბრუნებადი სახეობები</t>
  </si>
  <si>
    <t>10000</t>
  </si>
  <si>
    <t>10010</t>
  </si>
  <si>
    <t>10020</t>
  </si>
  <si>
    <t>10030</t>
  </si>
  <si>
    <t>10040</t>
  </si>
  <si>
    <t>10050</t>
  </si>
  <si>
    <t>10060</t>
  </si>
  <si>
    <t>10070</t>
  </si>
  <si>
    <t>10080</t>
  </si>
  <si>
    <t>10090</t>
  </si>
  <si>
    <t>10100</t>
  </si>
  <si>
    <t>10110</t>
  </si>
  <si>
    <t>10120</t>
  </si>
  <si>
    <t>10130</t>
  </si>
  <si>
    <t>10140</t>
  </si>
  <si>
    <t>10150</t>
  </si>
  <si>
    <t>10160</t>
  </si>
  <si>
    <t>10170</t>
  </si>
  <si>
    <t>10180</t>
  </si>
  <si>
    <t>10190</t>
  </si>
  <si>
    <t>10200</t>
  </si>
  <si>
    <t>10210</t>
  </si>
  <si>
    <t>10220</t>
  </si>
  <si>
    <t>10230</t>
  </si>
  <si>
    <t>10240</t>
  </si>
  <si>
    <t>10250</t>
  </si>
  <si>
    <t>10260</t>
  </si>
  <si>
    <t>10270</t>
  </si>
  <si>
    <t>10280</t>
  </si>
  <si>
    <t>10290</t>
  </si>
  <si>
    <t>10300</t>
  </si>
  <si>
    <t>10310</t>
  </si>
  <si>
    <t>10320</t>
  </si>
  <si>
    <t>10330</t>
  </si>
  <si>
    <t>10340</t>
  </si>
  <si>
    <t>10350</t>
  </si>
  <si>
    <t>10360</t>
  </si>
  <si>
    <t>10370</t>
  </si>
  <si>
    <t>10380</t>
  </si>
  <si>
    <t>10390</t>
  </si>
  <si>
    <t>10400</t>
  </si>
  <si>
    <t>10410</t>
  </si>
  <si>
    <t>10420</t>
  </si>
  <si>
    <t>10430</t>
  </si>
  <si>
    <t>10440</t>
  </si>
  <si>
    <t>10450</t>
  </si>
  <si>
    <t>10460</t>
  </si>
  <si>
    <t>10470</t>
  </si>
  <si>
    <t>10480</t>
  </si>
  <si>
    <t>10490</t>
  </si>
  <si>
    <t>10500</t>
  </si>
  <si>
    <t>10510</t>
  </si>
  <si>
    <t>10520</t>
  </si>
  <si>
    <t>10530</t>
  </si>
  <si>
    <t>10540</t>
  </si>
  <si>
    <t>10550</t>
  </si>
  <si>
    <t>10560</t>
  </si>
  <si>
    <t>10570</t>
  </si>
  <si>
    <t>10580</t>
  </si>
  <si>
    <t>10590</t>
  </si>
  <si>
    <t>10600</t>
  </si>
  <si>
    <t>10610</t>
  </si>
  <si>
    <t>10620</t>
  </si>
  <si>
    <t>10630</t>
  </si>
  <si>
    <t>10640</t>
  </si>
  <si>
    <t>10650</t>
  </si>
  <si>
    <t>10660</t>
  </si>
  <si>
    <t>10670</t>
  </si>
  <si>
    <t>10680</t>
  </si>
  <si>
    <t>10690</t>
  </si>
  <si>
    <t>10700</t>
  </si>
  <si>
    <t>10710</t>
  </si>
  <si>
    <t>10720</t>
  </si>
  <si>
    <t>10730</t>
  </si>
  <si>
    <t>10740</t>
  </si>
  <si>
    <t>10750</t>
  </si>
  <si>
    <t>10760</t>
  </si>
  <si>
    <t>10770</t>
  </si>
  <si>
    <t>10780</t>
  </si>
  <si>
    <t>10790</t>
  </si>
  <si>
    <t>10800</t>
  </si>
  <si>
    <t>10810</t>
  </si>
  <si>
    <t>10820</t>
  </si>
  <si>
    <t>10830</t>
  </si>
  <si>
    <t>10840</t>
  </si>
  <si>
    <t>10850</t>
  </si>
  <si>
    <t>10860</t>
  </si>
  <si>
    <t>10870</t>
  </si>
  <si>
    <t>10880</t>
  </si>
  <si>
    <t>10890</t>
  </si>
  <si>
    <t>10900</t>
  </si>
  <si>
    <t>10910</t>
  </si>
  <si>
    <t>10920</t>
  </si>
  <si>
    <t>10930</t>
  </si>
  <si>
    <t>10940</t>
  </si>
  <si>
    <t>10950</t>
  </si>
  <si>
    <t>10960</t>
  </si>
  <si>
    <t>10970</t>
  </si>
  <si>
    <t>10980</t>
  </si>
  <si>
    <t>10990</t>
  </si>
  <si>
    <t>11000</t>
  </si>
  <si>
    <t>11010</t>
  </si>
  <si>
    <t>11020</t>
  </si>
  <si>
    <t>11030</t>
  </si>
  <si>
    <t>11040</t>
  </si>
  <si>
    <t>11050</t>
  </si>
  <si>
    <t>11060</t>
  </si>
  <si>
    <t>11070</t>
  </si>
  <si>
    <t>11080</t>
  </si>
  <si>
    <t>11090</t>
  </si>
  <si>
    <t>11100</t>
  </si>
  <si>
    <t>11110</t>
  </si>
  <si>
    <t>11120</t>
  </si>
  <si>
    <t>11130</t>
  </si>
  <si>
    <t>11140</t>
  </si>
  <si>
    <t>11150</t>
  </si>
  <si>
    <t>11160</t>
  </si>
  <si>
    <t>11170</t>
  </si>
  <si>
    <t>11180</t>
  </si>
  <si>
    <t>11190</t>
  </si>
  <si>
    <t>11200</t>
  </si>
  <si>
    <t>11210</t>
  </si>
  <si>
    <t>11220</t>
  </si>
  <si>
    <t>11230</t>
  </si>
  <si>
    <t>11240</t>
  </si>
  <si>
    <t>11250</t>
  </si>
  <si>
    <t>11260</t>
  </si>
  <si>
    <t>11270</t>
  </si>
  <si>
    <t>11280</t>
  </si>
  <si>
    <t>11290</t>
  </si>
  <si>
    <t>11300</t>
  </si>
  <si>
    <t>11310</t>
  </si>
  <si>
    <t>11320</t>
  </si>
  <si>
    <t>11330</t>
  </si>
  <si>
    <t>11340</t>
  </si>
  <si>
    <t>11350</t>
  </si>
  <si>
    <t>11360</t>
  </si>
  <si>
    <t>11370</t>
  </si>
  <si>
    <t>11380</t>
  </si>
  <si>
    <t>11390</t>
  </si>
  <si>
    <t>11400</t>
  </si>
  <si>
    <t>11410</t>
  </si>
  <si>
    <t>11420</t>
  </si>
  <si>
    <t>11430</t>
  </si>
  <si>
    <t>11440</t>
  </si>
  <si>
    <t>11450</t>
  </si>
  <si>
    <t>11460</t>
  </si>
  <si>
    <t>11470</t>
  </si>
  <si>
    <t>11480</t>
  </si>
  <si>
    <t>11490</t>
  </si>
  <si>
    <t>11500</t>
  </si>
  <si>
    <t>11510</t>
  </si>
  <si>
    <t>11520</t>
  </si>
  <si>
    <t>11530</t>
  </si>
  <si>
    <t>11540</t>
  </si>
  <si>
    <t>11550</t>
  </si>
  <si>
    <t>11560</t>
  </si>
  <si>
    <t>11570</t>
  </si>
  <si>
    <t>11580</t>
  </si>
  <si>
    <t>11590</t>
  </si>
  <si>
    <t>11600</t>
  </si>
  <si>
    <t>11610</t>
  </si>
  <si>
    <t>11620</t>
  </si>
  <si>
    <t>11630</t>
  </si>
  <si>
    <t>11640</t>
  </si>
  <si>
    <t>11650</t>
  </si>
  <si>
    <t>11660</t>
  </si>
  <si>
    <t>11670</t>
  </si>
  <si>
    <t>11680</t>
  </si>
  <si>
    <t>11690</t>
  </si>
  <si>
    <t>11700</t>
  </si>
  <si>
    <t>11710</t>
  </si>
  <si>
    <t>11720</t>
  </si>
  <si>
    <t>11730</t>
  </si>
  <si>
    <t>11740</t>
  </si>
  <si>
    <t>11750</t>
  </si>
  <si>
    <t>11760</t>
  </si>
  <si>
    <t>11770</t>
  </si>
  <si>
    <t>11780</t>
  </si>
  <si>
    <t>11790</t>
  </si>
  <si>
    <t>11800</t>
  </si>
  <si>
    <t>11810</t>
  </si>
  <si>
    <t>11820</t>
  </si>
  <si>
    <t>11830</t>
  </si>
  <si>
    <t>11840</t>
  </si>
  <si>
    <t>11850</t>
  </si>
  <si>
    <t>11860</t>
  </si>
  <si>
    <t>11870</t>
  </si>
  <si>
    <t>11880</t>
  </si>
  <si>
    <t>11890</t>
  </si>
  <si>
    <t>11900</t>
  </si>
  <si>
    <t>11910</t>
  </si>
  <si>
    <t>11920</t>
  </si>
  <si>
    <t>11930</t>
  </si>
  <si>
    <t>11940</t>
  </si>
  <si>
    <t>11950</t>
  </si>
  <si>
    <t>11960</t>
  </si>
  <si>
    <t>11970</t>
  </si>
  <si>
    <t>11980</t>
  </si>
  <si>
    <t>11990</t>
  </si>
  <si>
    <t>12000</t>
  </si>
  <si>
    <t>12010</t>
  </si>
  <si>
    <t>12020</t>
  </si>
  <si>
    <t>12030</t>
  </si>
  <si>
    <t>12040</t>
  </si>
  <si>
    <t>12050</t>
  </si>
  <si>
    <t>12060</t>
  </si>
  <si>
    <t>12070</t>
  </si>
  <si>
    <t>12080</t>
  </si>
  <si>
    <t>12090</t>
  </si>
  <si>
    <t>12100</t>
  </si>
  <si>
    <t>12110</t>
  </si>
  <si>
    <t>12120</t>
  </si>
  <si>
    <t>12130</t>
  </si>
  <si>
    <t>12140</t>
  </si>
  <si>
    <t>12150</t>
  </si>
  <si>
    <t>12160</t>
  </si>
  <si>
    <t>00010</t>
  </si>
  <si>
    <t>00020</t>
  </si>
  <si>
    <t>00030</t>
  </si>
  <si>
    <t>00040</t>
  </si>
  <si>
    <t>00050</t>
  </si>
  <si>
    <t>00060</t>
  </si>
  <si>
    <t>00070</t>
  </si>
  <si>
    <t>00080</t>
  </si>
  <si>
    <t>00090</t>
  </si>
  <si>
    <t>00100</t>
  </si>
  <si>
    <t>00110</t>
  </si>
  <si>
    <t>00120</t>
  </si>
  <si>
    <t>00130</t>
  </si>
  <si>
    <t>00140</t>
  </si>
  <si>
    <t>00150</t>
  </si>
  <si>
    <t>00160</t>
  </si>
  <si>
    <t>00170</t>
  </si>
  <si>
    <t>00180</t>
  </si>
  <si>
    <t>00190</t>
  </si>
  <si>
    <t>00200</t>
  </si>
  <si>
    <t>00210</t>
  </si>
  <si>
    <t>00220</t>
  </si>
  <si>
    <t>00230</t>
  </si>
  <si>
    <t>00240</t>
  </si>
  <si>
    <t>00250</t>
  </si>
  <si>
    <t>00260</t>
  </si>
  <si>
    <t>00270</t>
  </si>
  <si>
    <t>00280</t>
  </si>
  <si>
    <t>00290</t>
  </si>
  <si>
    <t>00300</t>
  </si>
  <si>
    <t>00310</t>
  </si>
  <si>
    <t>00320</t>
  </si>
  <si>
    <t>00330</t>
  </si>
  <si>
    <t>00340</t>
  </si>
  <si>
    <t>00350</t>
  </si>
  <si>
    <t>00360</t>
  </si>
  <si>
    <t>00370</t>
  </si>
  <si>
    <t>00380</t>
  </si>
  <si>
    <t>00390</t>
  </si>
  <si>
    <t>00400</t>
  </si>
  <si>
    <t>00410</t>
  </si>
  <si>
    <t>00420</t>
  </si>
  <si>
    <t>00430</t>
  </si>
  <si>
    <t>00440</t>
  </si>
  <si>
    <t>00450</t>
  </si>
  <si>
    <t>00460</t>
  </si>
  <si>
    <t>00470</t>
  </si>
  <si>
    <t>00480</t>
  </si>
  <si>
    <t>00490</t>
  </si>
  <si>
    <t>00500</t>
  </si>
  <si>
    <t>00510</t>
  </si>
  <si>
    <t>00520</t>
  </si>
  <si>
    <t>00530</t>
  </si>
  <si>
    <t>00540</t>
  </si>
  <si>
    <t>00550</t>
  </si>
  <si>
    <t>00560</t>
  </si>
  <si>
    <t>00570</t>
  </si>
  <si>
    <t>00580</t>
  </si>
  <si>
    <t>00590</t>
  </si>
  <si>
    <t>00600</t>
  </si>
  <si>
    <t>00610</t>
  </si>
  <si>
    <t>00620</t>
  </si>
  <si>
    <t>00630</t>
  </si>
  <si>
    <t>00640</t>
  </si>
  <si>
    <t>00650</t>
  </si>
  <si>
    <t>00660</t>
  </si>
  <si>
    <t>00670</t>
  </si>
  <si>
    <t>00680</t>
  </si>
  <si>
    <t>00690</t>
  </si>
  <si>
    <t>00700</t>
  </si>
  <si>
    <t>00710</t>
  </si>
  <si>
    <t>00720</t>
  </si>
  <si>
    <t>00730</t>
  </si>
  <si>
    <t>00740</t>
  </si>
  <si>
    <t>00750</t>
  </si>
  <si>
    <t>00760</t>
  </si>
  <si>
    <t>00770</t>
  </si>
  <si>
    <t>00780</t>
  </si>
  <si>
    <t>00790</t>
  </si>
  <si>
    <t>00800</t>
  </si>
  <si>
    <t>00810</t>
  </si>
  <si>
    <t>00820</t>
  </si>
  <si>
    <t>00830</t>
  </si>
  <si>
    <t>00840</t>
  </si>
  <si>
    <t>00850</t>
  </si>
  <si>
    <t>00860</t>
  </si>
  <si>
    <t>00870</t>
  </si>
  <si>
    <t>00880</t>
  </si>
  <si>
    <t>00890</t>
  </si>
  <si>
    <t>00900</t>
  </si>
  <si>
    <t>00910</t>
  </si>
  <si>
    <t>00920</t>
  </si>
  <si>
    <t>00930</t>
  </si>
  <si>
    <t>00940</t>
  </si>
  <si>
    <t>00950</t>
  </si>
  <si>
    <t>00960</t>
  </si>
  <si>
    <t>00970</t>
  </si>
  <si>
    <t>00980</t>
  </si>
  <si>
    <t>00990</t>
  </si>
  <si>
    <t>01000</t>
  </si>
  <si>
    <t>01010</t>
  </si>
  <si>
    <t>01020</t>
  </si>
  <si>
    <t>01030</t>
  </si>
  <si>
    <t>01040</t>
  </si>
  <si>
    <t>01050</t>
  </si>
  <si>
    <t>01060</t>
  </si>
  <si>
    <t>01070</t>
  </si>
  <si>
    <t>01080</t>
  </si>
  <si>
    <t>01090</t>
  </si>
  <si>
    <t>01100</t>
  </si>
  <si>
    <t>01110</t>
  </si>
  <si>
    <t>01120</t>
  </si>
  <si>
    <t>01130</t>
  </si>
  <si>
    <t>01140</t>
  </si>
  <si>
    <t>01150</t>
  </si>
  <si>
    <t>01160</t>
  </si>
  <si>
    <t>01170</t>
  </si>
  <si>
    <t>01180</t>
  </si>
  <si>
    <t>01190</t>
  </si>
  <si>
    <t>01200</t>
  </si>
  <si>
    <t>01210</t>
  </si>
  <si>
    <t>01220</t>
  </si>
  <si>
    <t>01230</t>
  </si>
  <si>
    <t>01240</t>
  </si>
  <si>
    <t>01250</t>
  </si>
  <si>
    <t>01260</t>
  </si>
  <si>
    <t>01270</t>
  </si>
  <si>
    <t>01280</t>
  </si>
  <si>
    <t>01290</t>
  </si>
  <si>
    <t>01300</t>
  </si>
  <si>
    <t>01310</t>
  </si>
  <si>
    <t>01320</t>
  </si>
  <si>
    <t>01330</t>
  </si>
  <si>
    <t>01340</t>
  </si>
  <si>
    <t>01350</t>
  </si>
  <si>
    <t>01360</t>
  </si>
  <si>
    <t>01370</t>
  </si>
  <si>
    <t>01380</t>
  </si>
  <si>
    <t>01390</t>
  </si>
  <si>
    <t>01400</t>
  </si>
  <si>
    <t>01410</t>
  </si>
  <si>
    <t>01420</t>
  </si>
  <si>
    <t>01430</t>
  </si>
  <si>
    <t>01440</t>
  </si>
  <si>
    <t>01450</t>
  </si>
  <si>
    <t>01460</t>
  </si>
  <si>
    <t>01470</t>
  </si>
  <si>
    <t>01480</t>
  </si>
  <si>
    <t>01490</t>
  </si>
  <si>
    <t>01500</t>
  </si>
  <si>
    <t>01510</t>
  </si>
  <si>
    <t>01520</t>
  </si>
  <si>
    <t>01530</t>
  </si>
  <si>
    <t>01540</t>
  </si>
  <si>
    <t>01550</t>
  </si>
  <si>
    <t>01560</t>
  </si>
  <si>
    <t>01570</t>
  </si>
  <si>
    <t>01580</t>
  </si>
  <si>
    <t>01590</t>
  </si>
  <si>
    <t>01600</t>
  </si>
  <si>
    <t>01610</t>
  </si>
  <si>
    <t>01620</t>
  </si>
  <si>
    <t>01630</t>
  </si>
  <si>
    <t>01640</t>
  </si>
  <si>
    <t>01650</t>
  </si>
  <si>
    <t>01660</t>
  </si>
  <si>
    <t>01670</t>
  </si>
  <si>
    <t>01680</t>
  </si>
  <si>
    <t>01690</t>
  </si>
  <si>
    <t>01700</t>
  </si>
  <si>
    <t>01710</t>
  </si>
  <si>
    <t>01720</t>
  </si>
  <si>
    <t>01730</t>
  </si>
  <si>
    <t>01740</t>
  </si>
  <si>
    <t>01750</t>
  </si>
  <si>
    <t>01760</t>
  </si>
  <si>
    <t>01770</t>
  </si>
  <si>
    <t>01780</t>
  </si>
  <si>
    <t>01790</t>
  </si>
  <si>
    <t>01800</t>
  </si>
  <si>
    <t>01810</t>
  </si>
  <si>
    <t>01820</t>
  </si>
  <si>
    <t>01830</t>
  </si>
  <si>
    <t>01840</t>
  </si>
  <si>
    <t>01850</t>
  </si>
  <si>
    <t>01860</t>
  </si>
  <si>
    <t>01870</t>
  </si>
  <si>
    <t>01880</t>
  </si>
  <si>
    <t>01890</t>
  </si>
  <si>
    <t>01900</t>
  </si>
  <si>
    <t>01910</t>
  </si>
  <si>
    <t>01920</t>
  </si>
  <si>
    <t>01930</t>
  </si>
  <si>
    <t>01940</t>
  </si>
  <si>
    <t>01950</t>
  </si>
  <si>
    <t>01960</t>
  </si>
  <si>
    <t>01970</t>
  </si>
  <si>
    <t>01980</t>
  </si>
  <si>
    <t>01990</t>
  </si>
  <si>
    <t>02000</t>
  </si>
  <si>
    <t>02010</t>
  </si>
  <si>
    <t>02020</t>
  </si>
  <si>
    <t>02030</t>
  </si>
  <si>
    <t>02040</t>
  </si>
  <si>
    <t>02050</t>
  </si>
  <si>
    <t>02060</t>
  </si>
  <si>
    <t>02070</t>
  </si>
  <si>
    <t>02080</t>
  </si>
  <si>
    <t>02090</t>
  </si>
  <si>
    <t>02100</t>
  </si>
  <si>
    <t>02110</t>
  </si>
  <si>
    <t>02120</t>
  </si>
  <si>
    <t>02130</t>
  </si>
  <si>
    <t>02140</t>
  </si>
  <si>
    <t>02150</t>
  </si>
  <si>
    <t>02160</t>
  </si>
  <si>
    <t>02170</t>
  </si>
  <si>
    <t>02180</t>
  </si>
  <si>
    <t>02190</t>
  </si>
  <si>
    <t>02200</t>
  </si>
  <si>
    <t>02210</t>
  </si>
  <si>
    <t>02220</t>
  </si>
  <si>
    <t>02230</t>
  </si>
  <si>
    <t>02240</t>
  </si>
  <si>
    <t>02250</t>
  </si>
  <si>
    <t>02260</t>
  </si>
  <si>
    <t>02270</t>
  </si>
  <si>
    <t>02280</t>
  </si>
  <si>
    <t>02290</t>
  </si>
  <si>
    <t>02300</t>
  </si>
  <si>
    <t>02310</t>
  </si>
  <si>
    <t>02320</t>
  </si>
  <si>
    <t>02330</t>
  </si>
  <si>
    <t>02340</t>
  </si>
  <si>
    <t>02350</t>
  </si>
  <si>
    <t>02360</t>
  </si>
  <si>
    <t>02370</t>
  </si>
  <si>
    <t>02380</t>
  </si>
  <si>
    <t>02390</t>
  </si>
  <si>
    <t>02400</t>
  </si>
  <si>
    <t>02410</t>
  </si>
  <si>
    <t>02420</t>
  </si>
  <si>
    <t>02430</t>
  </si>
  <si>
    <t>02440</t>
  </si>
  <si>
    <t>02450</t>
  </si>
  <si>
    <t>02460</t>
  </si>
  <si>
    <t>02470</t>
  </si>
  <si>
    <t>02480</t>
  </si>
  <si>
    <t>02490</t>
  </si>
  <si>
    <t>02500</t>
  </si>
  <si>
    <t>02510</t>
  </si>
  <si>
    <t>02520</t>
  </si>
  <si>
    <t>02530</t>
  </si>
  <si>
    <t>02540</t>
  </si>
  <si>
    <t>02550</t>
  </si>
  <si>
    <t>02560</t>
  </si>
  <si>
    <t>02570</t>
  </si>
  <si>
    <t>02580</t>
  </si>
  <si>
    <t>02590</t>
  </si>
  <si>
    <t>02600</t>
  </si>
  <si>
    <t>02610</t>
  </si>
  <si>
    <t>02620</t>
  </si>
  <si>
    <t>02630</t>
  </si>
  <si>
    <t>02640</t>
  </si>
  <si>
    <t>02650</t>
  </si>
  <si>
    <t>02660</t>
  </si>
  <si>
    <t>02670</t>
  </si>
  <si>
    <t>02680</t>
  </si>
  <si>
    <t>02690</t>
  </si>
  <si>
    <t>02700</t>
  </si>
  <si>
    <t>02710</t>
  </si>
  <si>
    <t>02720</t>
  </si>
  <si>
    <t>02730</t>
  </si>
  <si>
    <t>02740</t>
  </si>
  <si>
    <t>02750</t>
  </si>
  <si>
    <t>02760</t>
  </si>
  <si>
    <t>02770</t>
  </si>
  <si>
    <t>02780</t>
  </si>
  <si>
    <t>02790</t>
  </si>
  <si>
    <t>02800</t>
  </si>
  <si>
    <t>02810</t>
  </si>
  <si>
    <t>02820</t>
  </si>
  <si>
    <t>02830</t>
  </si>
  <si>
    <t>02840</t>
  </si>
  <si>
    <t>02850</t>
  </si>
  <si>
    <t>02860</t>
  </si>
  <si>
    <t>02870</t>
  </si>
  <si>
    <t>02880</t>
  </si>
  <si>
    <t>02890</t>
  </si>
  <si>
    <t>02900</t>
  </si>
  <si>
    <t>02910</t>
  </si>
  <si>
    <t>02920</t>
  </si>
  <si>
    <t>02930</t>
  </si>
  <si>
    <t>02940</t>
  </si>
  <si>
    <t>02950</t>
  </si>
  <si>
    <t>02960</t>
  </si>
  <si>
    <t>02970</t>
  </si>
  <si>
    <t>02980</t>
  </si>
  <si>
    <t>02990</t>
  </si>
  <si>
    <t>03000</t>
  </si>
  <si>
    <t>03010</t>
  </si>
  <si>
    <t>03020</t>
  </si>
  <si>
    <t>03030</t>
  </si>
  <si>
    <t>03040</t>
  </si>
  <si>
    <t>03050</t>
  </si>
  <si>
    <t>03060</t>
  </si>
  <si>
    <t>03070</t>
  </si>
  <si>
    <t>03080</t>
  </si>
  <si>
    <t>03090</t>
  </si>
  <si>
    <t>03100</t>
  </si>
  <si>
    <t>03110</t>
  </si>
  <si>
    <t>03120</t>
  </si>
  <si>
    <t>03130</t>
  </si>
  <si>
    <t>03140</t>
  </si>
  <si>
    <t>03150</t>
  </si>
  <si>
    <t>03160</t>
  </si>
  <si>
    <t>03170</t>
  </si>
  <si>
    <t>03180</t>
  </si>
  <si>
    <t>03190</t>
  </si>
  <si>
    <t>03200</t>
  </si>
  <si>
    <t>03210</t>
  </si>
  <si>
    <t>03220</t>
  </si>
  <si>
    <t>03230</t>
  </si>
  <si>
    <t>03240</t>
  </si>
  <si>
    <t>03250</t>
  </si>
  <si>
    <t>03260</t>
  </si>
  <si>
    <t>03270</t>
  </si>
  <si>
    <t>03280</t>
  </si>
  <si>
    <t>03290</t>
  </si>
  <si>
    <t>03300</t>
  </si>
  <si>
    <t>03310</t>
  </si>
  <si>
    <t>03320</t>
  </si>
  <si>
    <t>03330</t>
  </si>
  <si>
    <t>03340</t>
  </si>
  <si>
    <t>03350</t>
  </si>
  <si>
    <t>03360</t>
  </si>
  <si>
    <t>03370</t>
  </si>
  <si>
    <t>03380</t>
  </si>
  <si>
    <t>03390</t>
  </si>
  <si>
    <t>03400</t>
  </si>
  <si>
    <t>03410</t>
  </si>
  <si>
    <t>03420</t>
  </si>
  <si>
    <t>03430</t>
  </si>
  <si>
    <t>03440</t>
  </si>
  <si>
    <t>03450</t>
  </si>
  <si>
    <t>03460</t>
  </si>
  <si>
    <t>03470</t>
  </si>
  <si>
    <t>03480</t>
  </si>
  <si>
    <t>03490</t>
  </si>
  <si>
    <t>03500</t>
  </si>
  <si>
    <t>03510</t>
  </si>
  <si>
    <t>03520</t>
  </si>
  <si>
    <t>03530</t>
  </si>
  <si>
    <t>03540</t>
  </si>
  <si>
    <t>03550</t>
  </si>
  <si>
    <t>03560</t>
  </si>
  <si>
    <t>03570</t>
  </si>
  <si>
    <t>03580</t>
  </si>
  <si>
    <t>03590</t>
  </si>
  <si>
    <t>03600</t>
  </si>
  <si>
    <t>03610</t>
  </si>
  <si>
    <t>03620</t>
  </si>
  <si>
    <t>03630</t>
  </si>
  <si>
    <t>03640</t>
  </si>
  <si>
    <t>03650</t>
  </si>
  <si>
    <t>03660</t>
  </si>
  <si>
    <t>03670</t>
  </si>
  <si>
    <t>03680</t>
  </si>
  <si>
    <t>03690</t>
  </si>
  <si>
    <t>03700</t>
  </si>
  <si>
    <t>03710</t>
  </si>
  <si>
    <t>03720</t>
  </si>
  <si>
    <t>03730</t>
  </si>
  <si>
    <t>03740</t>
  </si>
  <si>
    <t>03750</t>
  </si>
  <si>
    <t>03760</t>
  </si>
  <si>
    <t>03770</t>
  </si>
  <si>
    <t>03780</t>
  </si>
  <si>
    <t>03790</t>
  </si>
  <si>
    <t>03800</t>
  </si>
  <si>
    <t>03810</t>
  </si>
  <si>
    <t>03820</t>
  </si>
  <si>
    <t>03830</t>
  </si>
  <si>
    <t>03840</t>
  </si>
  <si>
    <t>03850</t>
  </si>
  <si>
    <t>03860</t>
  </si>
  <si>
    <t>03870</t>
  </si>
  <si>
    <t>03880</t>
  </si>
  <si>
    <t>03890</t>
  </si>
  <si>
    <t>03900</t>
  </si>
  <si>
    <t>03910</t>
  </si>
  <si>
    <t>03920</t>
  </si>
  <si>
    <t>03930</t>
  </si>
  <si>
    <t>03940</t>
  </si>
  <si>
    <t>03950</t>
  </si>
  <si>
    <t>03960</t>
  </si>
  <si>
    <t>03970</t>
  </si>
  <si>
    <t>03980</t>
  </si>
  <si>
    <t>03990</t>
  </si>
  <si>
    <t>04000</t>
  </si>
  <si>
    <t>04010</t>
  </si>
  <si>
    <t>04020</t>
  </si>
  <si>
    <t>04030</t>
  </si>
  <si>
    <t>04040</t>
  </si>
  <si>
    <t>04050</t>
  </si>
  <si>
    <t>04060</t>
  </si>
  <si>
    <t>04070</t>
  </si>
  <si>
    <t>04080</t>
  </si>
  <si>
    <t>04090</t>
  </si>
  <si>
    <t>04100</t>
  </si>
  <si>
    <t>04110</t>
  </si>
  <si>
    <t>04120</t>
  </si>
  <si>
    <t>04130</t>
  </si>
  <si>
    <t>04140</t>
  </si>
  <si>
    <t>04150</t>
  </si>
  <si>
    <t>04160</t>
  </si>
  <si>
    <t>04170</t>
  </si>
  <si>
    <t>04180</t>
  </si>
  <si>
    <t>04190</t>
  </si>
  <si>
    <t>04200</t>
  </si>
  <si>
    <t>04210</t>
  </si>
  <si>
    <t>04220</t>
  </si>
  <si>
    <t>04230</t>
  </si>
  <si>
    <t>04240</t>
  </si>
  <si>
    <t>04250</t>
  </si>
  <si>
    <t>04260</t>
  </si>
  <si>
    <t>04270</t>
  </si>
  <si>
    <t>04280</t>
  </si>
  <si>
    <t>04290</t>
  </si>
  <si>
    <t>04300</t>
  </si>
  <si>
    <t>04310</t>
  </si>
  <si>
    <t>04320</t>
  </si>
  <si>
    <t>04330</t>
  </si>
  <si>
    <t>04340</t>
  </si>
  <si>
    <t>04350</t>
  </si>
  <si>
    <t>04360</t>
  </si>
  <si>
    <t>04370</t>
  </si>
  <si>
    <t>04380</t>
  </si>
  <si>
    <t>04390</t>
  </si>
  <si>
    <t>04400</t>
  </si>
  <si>
    <t>04410</t>
  </si>
  <si>
    <t>04420</t>
  </si>
  <si>
    <t>04430</t>
  </si>
  <si>
    <t>04440</t>
  </si>
  <si>
    <t>04450</t>
  </si>
  <si>
    <t>04460</t>
  </si>
  <si>
    <t>04470</t>
  </si>
  <si>
    <t>04480</t>
  </si>
  <si>
    <t>04490</t>
  </si>
  <si>
    <t>04500</t>
  </si>
  <si>
    <t>04510</t>
  </si>
  <si>
    <t>04520</t>
  </si>
  <si>
    <t>04530</t>
  </si>
  <si>
    <t>04540</t>
  </si>
  <si>
    <t>04550</t>
  </si>
  <si>
    <t>04560</t>
  </si>
  <si>
    <t>04570</t>
  </si>
  <si>
    <t>04580</t>
  </si>
  <si>
    <t>04590</t>
  </si>
  <si>
    <t>04600</t>
  </si>
  <si>
    <t>04610</t>
  </si>
  <si>
    <t>04620</t>
  </si>
  <si>
    <t>04630</t>
  </si>
  <si>
    <t>04640</t>
  </si>
  <si>
    <t>04650</t>
  </si>
  <si>
    <t>04660</t>
  </si>
  <si>
    <t>04670</t>
  </si>
  <si>
    <t>04680</t>
  </si>
  <si>
    <t>04690</t>
  </si>
  <si>
    <t>04700</t>
  </si>
  <si>
    <t>04710</t>
  </si>
  <si>
    <t>04720</t>
  </si>
  <si>
    <t>04730</t>
  </si>
  <si>
    <t>04740</t>
  </si>
  <si>
    <t>04750</t>
  </si>
  <si>
    <t>04760</t>
  </si>
  <si>
    <t>04770</t>
  </si>
  <si>
    <t>04780</t>
  </si>
  <si>
    <t>04790</t>
  </si>
  <si>
    <t>04800</t>
  </si>
  <si>
    <t>04810</t>
  </si>
  <si>
    <t>04820</t>
  </si>
  <si>
    <t>04830</t>
  </si>
  <si>
    <t>04840</t>
  </si>
  <si>
    <t>04850</t>
  </si>
  <si>
    <t>04860</t>
  </si>
  <si>
    <t>04870</t>
  </si>
  <si>
    <t>04880</t>
  </si>
  <si>
    <t>04890</t>
  </si>
  <si>
    <t>04900</t>
  </si>
  <si>
    <t>04910</t>
  </si>
  <si>
    <t>04920</t>
  </si>
  <si>
    <t>04930</t>
  </si>
  <si>
    <t>04940</t>
  </si>
  <si>
    <t>04950</t>
  </si>
  <si>
    <t>04960</t>
  </si>
  <si>
    <t>04970</t>
  </si>
  <si>
    <t>04980</t>
  </si>
  <si>
    <t>04990</t>
  </si>
  <si>
    <t>05000</t>
  </si>
  <si>
    <t>05010</t>
  </si>
  <si>
    <t>05020</t>
  </si>
  <si>
    <t>05030</t>
  </si>
  <si>
    <t>05040</t>
  </si>
  <si>
    <t>05050</t>
  </si>
  <si>
    <t>05060</t>
  </si>
  <si>
    <t>05070</t>
  </si>
  <si>
    <t>05080</t>
  </si>
  <si>
    <t>05090</t>
  </si>
  <si>
    <t>05100</t>
  </si>
  <si>
    <t>05110</t>
  </si>
  <si>
    <t>05120</t>
  </si>
  <si>
    <t>05130</t>
  </si>
  <si>
    <t>05140</t>
  </si>
  <si>
    <t>05150</t>
  </si>
  <si>
    <t>05160</t>
  </si>
  <si>
    <t>05170</t>
  </si>
  <si>
    <t>05180</t>
  </si>
  <si>
    <t>05190</t>
  </si>
  <si>
    <t>05200</t>
  </si>
  <si>
    <t>05210</t>
  </si>
  <si>
    <t>05220</t>
  </si>
  <si>
    <t>05230</t>
  </si>
  <si>
    <t>05240</t>
  </si>
  <si>
    <t>05250</t>
  </si>
  <si>
    <t>05260</t>
  </si>
  <si>
    <t>05270</t>
  </si>
  <si>
    <t>05280</t>
  </si>
  <si>
    <t>05290</t>
  </si>
  <si>
    <t>05300</t>
  </si>
  <si>
    <t>05310</t>
  </si>
  <si>
    <t>05320</t>
  </si>
  <si>
    <t>05330</t>
  </si>
  <si>
    <t>05340</t>
  </si>
  <si>
    <t>05350</t>
  </si>
  <si>
    <t>05360</t>
  </si>
  <si>
    <t>05370</t>
  </si>
  <si>
    <t>05380</t>
  </si>
  <si>
    <t>05390</t>
  </si>
  <si>
    <t>05400</t>
  </si>
  <si>
    <t>05410</t>
  </si>
  <si>
    <t>05420</t>
  </si>
  <si>
    <t>05430</t>
  </si>
  <si>
    <t>05440</t>
  </si>
  <si>
    <t>05450</t>
  </si>
  <si>
    <t>05460</t>
  </si>
  <si>
    <t>05470</t>
  </si>
  <si>
    <t>05480</t>
  </si>
  <si>
    <t>05490</t>
  </si>
  <si>
    <t>05500</t>
  </si>
  <si>
    <t>05510</t>
  </si>
  <si>
    <t>05520</t>
  </si>
  <si>
    <t>05530</t>
  </si>
  <si>
    <t>05540</t>
  </si>
  <si>
    <t>05550</t>
  </si>
  <si>
    <t>05560</t>
  </si>
  <si>
    <t>05570</t>
  </si>
  <si>
    <t>05580</t>
  </si>
  <si>
    <t>05590</t>
  </si>
  <si>
    <t>05600</t>
  </si>
  <si>
    <t>05610</t>
  </si>
  <si>
    <t>05620</t>
  </si>
  <si>
    <t>05630</t>
  </si>
  <si>
    <t>05640</t>
  </si>
  <si>
    <t>05650</t>
  </si>
  <si>
    <t>05660</t>
  </si>
  <si>
    <t>05670</t>
  </si>
  <si>
    <t>05680</t>
  </si>
  <si>
    <t>05690</t>
  </si>
  <si>
    <t>05700</t>
  </si>
  <si>
    <t>05710</t>
  </si>
  <si>
    <t>05720</t>
  </si>
  <si>
    <t>05730</t>
  </si>
  <si>
    <t>05740</t>
  </si>
  <si>
    <t>05750</t>
  </si>
  <si>
    <t>05760</t>
  </si>
  <si>
    <t>05770</t>
  </si>
  <si>
    <t>05780</t>
  </si>
  <si>
    <t>05790</t>
  </si>
  <si>
    <t>05800</t>
  </si>
  <si>
    <t>05810</t>
  </si>
  <si>
    <t>05820</t>
  </si>
  <si>
    <t>05830</t>
  </si>
  <si>
    <t>05840</t>
  </si>
  <si>
    <t>05850</t>
  </si>
  <si>
    <t>05860</t>
  </si>
  <si>
    <t>05870</t>
  </si>
  <si>
    <t>05880</t>
  </si>
  <si>
    <t>05890</t>
  </si>
  <si>
    <t>05900</t>
  </si>
  <si>
    <t>05910</t>
  </si>
  <si>
    <t>05920</t>
  </si>
  <si>
    <t>05930</t>
  </si>
  <si>
    <t>05940</t>
  </si>
  <si>
    <t>05950</t>
  </si>
  <si>
    <t>05960</t>
  </si>
  <si>
    <t>05970</t>
  </si>
  <si>
    <t>05980</t>
  </si>
  <si>
    <t>05990</t>
  </si>
  <si>
    <t>06000</t>
  </si>
  <si>
    <t>06010</t>
  </si>
  <si>
    <t>06020</t>
  </si>
  <si>
    <t>06030</t>
  </si>
  <si>
    <t>06040</t>
  </si>
  <si>
    <t>06050</t>
  </si>
  <si>
    <t>06060</t>
  </si>
  <si>
    <t>06070</t>
  </si>
  <si>
    <t>06080</t>
  </si>
  <si>
    <t>06090</t>
  </si>
  <si>
    <t>06100</t>
  </si>
  <si>
    <t>06110</t>
  </si>
  <si>
    <t>06120</t>
  </si>
  <si>
    <t>06130</t>
  </si>
  <si>
    <t>06140</t>
  </si>
  <si>
    <t>06150</t>
  </si>
  <si>
    <t>06160</t>
  </si>
  <si>
    <t>06170</t>
  </si>
  <si>
    <t>06180</t>
  </si>
  <si>
    <t>06190</t>
  </si>
  <si>
    <t>06200</t>
  </si>
  <si>
    <t>06210</t>
  </si>
  <si>
    <t>06220</t>
  </si>
  <si>
    <t>06230</t>
  </si>
  <si>
    <t>06240</t>
  </si>
  <si>
    <t>06250</t>
  </si>
  <si>
    <t>06260</t>
  </si>
  <si>
    <t>06270</t>
  </si>
  <si>
    <t>06280</t>
  </si>
  <si>
    <t>06290</t>
  </si>
  <si>
    <t>06300</t>
  </si>
  <si>
    <t>06310</t>
  </si>
  <si>
    <t>06320</t>
  </si>
  <si>
    <t>06330</t>
  </si>
  <si>
    <t>06340</t>
  </si>
  <si>
    <t>06350</t>
  </si>
  <si>
    <t>06360</t>
  </si>
  <si>
    <t>06370</t>
  </si>
  <si>
    <t>06380</t>
  </si>
  <si>
    <t>06390</t>
  </si>
  <si>
    <t>06400</t>
  </si>
  <si>
    <t>06410</t>
  </si>
  <si>
    <t>06420</t>
  </si>
  <si>
    <t>06430</t>
  </si>
  <si>
    <t>06440</t>
  </si>
  <si>
    <t>06450</t>
  </si>
  <si>
    <t>06460</t>
  </si>
  <si>
    <t>06470</t>
  </si>
  <si>
    <t>06480</t>
  </si>
  <si>
    <t>06490</t>
  </si>
  <si>
    <t>06500</t>
  </si>
  <si>
    <t>06510</t>
  </si>
  <si>
    <t>06520</t>
  </si>
  <si>
    <t>06530</t>
  </si>
  <si>
    <t>06540</t>
  </si>
  <si>
    <t>06550</t>
  </si>
  <si>
    <t>06560</t>
  </si>
  <si>
    <t>06570</t>
  </si>
  <si>
    <t>06580</t>
  </si>
  <si>
    <t>06590</t>
  </si>
  <si>
    <t>06600</t>
  </si>
  <si>
    <t>06610</t>
  </si>
  <si>
    <t>06620</t>
  </si>
  <si>
    <t>06630</t>
  </si>
  <si>
    <t>06640</t>
  </si>
  <si>
    <t>06650</t>
  </si>
  <si>
    <t>06660</t>
  </si>
  <si>
    <t>06670</t>
  </si>
  <si>
    <t>06680</t>
  </si>
  <si>
    <t>06690</t>
  </si>
  <si>
    <t>06700</t>
  </si>
  <si>
    <t>06710</t>
  </si>
  <si>
    <t>06720</t>
  </si>
  <si>
    <t>06730</t>
  </si>
  <si>
    <t>06740</t>
  </si>
  <si>
    <t>06750</t>
  </si>
  <si>
    <t>06760</t>
  </si>
  <si>
    <t>06770</t>
  </si>
  <si>
    <t>06780</t>
  </si>
  <si>
    <t>06790</t>
  </si>
  <si>
    <t>06800</t>
  </si>
  <si>
    <t>06810</t>
  </si>
  <si>
    <t>06820</t>
  </si>
  <si>
    <t>06830</t>
  </si>
  <si>
    <t>06840</t>
  </si>
  <si>
    <t>06850</t>
  </si>
  <si>
    <t>06860</t>
  </si>
  <si>
    <t>06870</t>
  </si>
  <si>
    <t>06880</t>
  </si>
  <si>
    <t>06890</t>
  </si>
  <si>
    <t>06900</t>
  </si>
  <si>
    <t>06910</t>
  </si>
  <si>
    <t>06920</t>
  </si>
  <si>
    <t>06930</t>
  </si>
  <si>
    <t>06940</t>
  </si>
  <si>
    <t>06950</t>
  </si>
  <si>
    <t>06960</t>
  </si>
  <si>
    <t>06970</t>
  </si>
  <si>
    <t>06980</t>
  </si>
  <si>
    <t>06990</t>
  </si>
  <si>
    <t>07000</t>
  </si>
  <si>
    <t>07010</t>
  </si>
  <si>
    <t>07020</t>
  </si>
  <si>
    <t>07030</t>
  </si>
  <si>
    <t>07040</t>
  </si>
  <si>
    <t>07050</t>
  </si>
  <si>
    <t>07060</t>
  </si>
  <si>
    <t>07070</t>
  </si>
  <si>
    <t>07080</t>
  </si>
  <si>
    <t>07090</t>
  </si>
  <si>
    <t>07100</t>
  </si>
  <si>
    <t>07110</t>
  </si>
  <si>
    <t>07120</t>
  </si>
  <si>
    <t>07130</t>
  </si>
  <si>
    <t>07140</t>
  </si>
  <si>
    <t>07150</t>
  </si>
  <si>
    <t>07160</t>
  </si>
  <si>
    <t>07170</t>
  </si>
  <si>
    <t>07180</t>
  </si>
  <si>
    <t>07190</t>
  </si>
  <si>
    <t>07200</t>
  </si>
  <si>
    <t>07210</t>
  </si>
  <si>
    <t>07220</t>
  </si>
  <si>
    <t>07230</t>
  </si>
  <si>
    <t>07240</t>
  </si>
  <si>
    <t>07250</t>
  </si>
  <si>
    <t>07260</t>
  </si>
  <si>
    <t>07270</t>
  </si>
  <si>
    <t>07280</t>
  </si>
  <si>
    <t>07290</t>
  </si>
  <si>
    <t>07300</t>
  </si>
  <si>
    <t>07310</t>
  </si>
  <si>
    <t>07320</t>
  </si>
  <si>
    <t>07330</t>
  </si>
  <si>
    <t>07340</t>
  </si>
  <si>
    <t>07350</t>
  </si>
  <si>
    <t>07360</t>
  </si>
  <si>
    <t>07370</t>
  </si>
  <si>
    <t>07380</t>
  </si>
  <si>
    <t>07390</t>
  </si>
  <si>
    <t>07400</t>
  </si>
  <si>
    <t>07410</t>
  </si>
  <si>
    <t>07420</t>
  </si>
  <si>
    <t>07430</t>
  </si>
  <si>
    <t>07440</t>
  </si>
  <si>
    <t>07450</t>
  </si>
  <si>
    <t>07460</t>
  </si>
  <si>
    <t>07470</t>
  </si>
  <si>
    <t>07480</t>
  </si>
  <si>
    <t>07490</t>
  </si>
  <si>
    <t>07500</t>
  </si>
  <si>
    <t>07510</t>
  </si>
  <si>
    <t>07520</t>
  </si>
  <si>
    <t>07530</t>
  </si>
  <si>
    <t>07540</t>
  </si>
  <si>
    <t>07550</t>
  </si>
  <si>
    <t>07560</t>
  </si>
  <si>
    <t>07570</t>
  </si>
  <si>
    <t>07580</t>
  </si>
  <si>
    <t>07590</t>
  </si>
  <si>
    <t>07600</t>
  </si>
  <si>
    <t>07610</t>
  </si>
  <si>
    <t>07620</t>
  </si>
  <si>
    <t>07630</t>
  </si>
  <si>
    <t>07640</t>
  </si>
  <si>
    <t>07650</t>
  </si>
  <si>
    <t>07660</t>
  </si>
  <si>
    <t>07670</t>
  </si>
  <si>
    <t>07680</t>
  </si>
  <si>
    <t>07690</t>
  </si>
  <si>
    <t>07700</t>
  </si>
  <si>
    <t>07710</t>
  </si>
  <si>
    <t>07720</t>
  </si>
  <si>
    <t>07730</t>
  </si>
  <si>
    <t>07740</t>
  </si>
  <si>
    <t>07750</t>
  </si>
  <si>
    <t>07760</t>
  </si>
  <si>
    <t>07770</t>
  </si>
  <si>
    <t>07780</t>
  </si>
  <si>
    <t>07790</t>
  </si>
  <si>
    <t>07800</t>
  </si>
  <si>
    <t>07810</t>
  </si>
  <si>
    <t>07820</t>
  </si>
  <si>
    <t>07830</t>
  </si>
  <si>
    <t>07840</t>
  </si>
  <si>
    <t>07850</t>
  </si>
  <si>
    <t>07860</t>
  </si>
  <si>
    <t>07870</t>
  </si>
  <si>
    <t>07880</t>
  </si>
  <si>
    <t>07890</t>
  </si>
  <si>
    <t>07900</t>
  </si>
  <si>
    <t>07910</t>
  </si>
  <si>
    <t>07920</t>
  </si>
  <si>
    <t>07930</t>
  </si>
  <si>
    <t>07940</t>
  </si>
  <si>
    <t>07950</t>
  </si>
  <si>
    <t>07960</t>
  </si>
  <si>
    <t>07970</t>
  </si>
  <si>
    <t>07980</t>
  </si>
  <si>
    <t>07990</t>
  </si>
  <si>
    <t>08000</t>
  </si>
  <si>
    <t>08010</t>
  </si>
  <si>
    <t>08020</t>
  </si>
  <si>
    <t>08030</t>
  </si>
  <si>
    <t>08040</t>
  </si>
  <si>
    <t>08050</t>
  </si>
  <si>
    <t>08060</t>
  </si>
  <si>
    <t>08070</t>
  </si>
  <si>
    <t>08080</t>
  </si>
  <si>
    <t>08090</t>
  </si>
  <si>
    <t>08100</t>
  </si>
  <si>
    <t>08110</t>
  </si>
  <si>
    <t>08120</t>
  </si>
  <si>
    <t>08130</t>
  </si>
  <si>
    <t>08140</t>
  </si>
  <si>
    <t>08150</t>
  </si>
  <si>
    <t>08160</t>
  </si>
  <si>
    <t>08170</t>
  </si>
  <si>
    <t>08180</t>
  </si>
  <si>
    <t>08190</t>
  </si>
  <si>
    <t>08200</t>
  </si>
  <si>
    <t>08210</t>
  </si>
  <si>
    <t>08220</t>
  </si>
  <si>
    <t>08230</t>
  </si>
  <si>
    <t>08240</t>
  </si>
  <si>
    <t>08250</t>
  </si>
  <si>
    <t>08260</t>
  </si>
  <si>
    <t>08270</t>
  </si>
  <si>
    <t>08280</t>
  </si>
  <si>
    <t>08290</t>
  </si>
  <si>
    <t>08300</t>
  </si>
  <si>
    <t>08310</t>
  </si>
  <si>
    <t>08320</t>
  </si>
  <si>
    <t>08330</t>
  </si>
  <si>
    <t>08340</t>
  </si>
  <si>
    <t>08350</t>
  </si>
  <si>
    <t>08360</t>
  </si>
  <si>
    <t>08370</t>
  </si>
  <si>
    <t>08380</t>
  </si>
  <si>
    <t>08390</t>
  </si>
  <si>
    <t>08400</t>
  </si>
  <si>
    <t>08410</t>
  </si>
  <si>
    <t>08420</t>
  </si>
  <si>
    <t>08430</t>
  </si>
  <si>
    <t>08440</t>
  </si>
  <si>
    <t>08450</t>
  </si>
  <si>
    <t>08460</t>
  </si>
  <si>
    <t>08470</t>
  </si>
  <si>
    <t>08480</t>
  </si>
  <si>
    <t>08490</t>
  </si>
  <si>
    <t>08500</t>
  </si>
  <si>
    <t>08510</t>
  </si>
  <si>
    <t>08520</t>
  </si>
  <si>
    <t>08530</t>
  </si>
  <si>
    <t>08540</t>
  </si>
  <si>
    <t>08550</t>
  </si>
  <si>
    <t>08560</t>
  </si>
  <si>
    <t>08570</t>
  </si>
  <si>
    <t>08580</t>
  </si>
  <si>
    <t>08590</t>
  </si>
  <si>
    <t>08600</t>
  </si>
  <si>
    <t>08610</t>
  </si>
  <si>
    <t>08620</t>
  </si>
  <si>
    <t>08630</t>
  </si>
  <si>
    <t>08640</t>
  </si>
  <si>
    <t>08650</t>
  </si>
  <si>
    <t>08660</t>
  </si>
  <si>
    <t>08670</t>
  </si>
  <si>
    <t>08680</t>
  </si>
  <si>
    <t>08690</t>
  </si>
  <si>
    <t>08700</t>
  </si>
  <si>
    <t>08710</t>
  </si>
  <si>
    <t>08720</t>
  </si>
  <si>
    <t>08730</t>
  </si>
  <si>
    <t>08740</t>
  </si>
  <si>
    <t>08750</t>
  </si>
  <si>
    <t>08760</t>
  </si>
  <si>
    <t>08770</t>
  </si>
  <si>
    <t>08780</t>
  </si>
  <si>
    <t>08790</t>
  </si>
  <si>
    <t>08800</t>
  </si>
  <si>
    <t>08810</t>
  </si>
  <si>
    <t>08820</t>
  </si>
  <si>
    <t>08830</t>
  </si>
  <si>
    <t>08840</t>
  </si>
  <si>
    <t>08850</t>
  </si>
  <si>
    <t>08860</t>
  </si>
  <si>
    <t>08870</t>
  </si>
  <si>
    <t>08880</t>
  </si>
  <si>
    <t>08890</t>
  </si>
  <si>
    <t>08900</t>
  </si>
  <si>
    <t>08910</t>
  </si>
  <si>
    <t>08920</t>
  </si>
  <si>
    <t>08930</t>
  </si>
  <si>
    <t>08940</t>
  </si>
  <si>
    <t>08950</t>
  </si>
  <si>
    <t>08960</t>
  </si>
  <si>
    <t>08970</t>
  </si>
  <si>
    <t>08980</t>
  </si>
  <si>
    <t>08990</t>
  </si>
  <si>
    <t>09000</t>
  </si>
  <si>
    <t>09010</t>
  </si>
  <si>
    <t>09020</t>
  </si>
  <si>
    <t>09030</t>
  </si>
  <si>
    <t>09040</t>
  </si>
  <si>
    <t>09050</t>
  </si>
  <si>
    <t>09060</t>
  </si>
  <si>
    <t>09070</t>
  </si>
  <si>
    <t>09080</t>
  </si>
  <si>
    <t>09090</t>
  </si>
  <si>
    <t>09100</t>
  </si>
  <si>
    <t>09110</t>
  </si>
  <si>
    <t>09120</t>
  </si>
  <si>
    <t>09130</t>
  </si>
  <si>
    <t>09140</t>
  </si>
  <si>
    <t>09150</t>
  </si>
  <si>
    <t>09160</t>
  </si>
  <si>
    <t>09170</t>
  </si>
  <si>
    <t>09180</t>
  </si>
  <si>
    <t>09190</t>
  </si>
  <si>
    <t>09200</t>
  </si>
  <si>
    <t>09210</t>
  </si>
  <si>
    <t>09220</t>
  </si>
  <si>
    <t>09230</t>
  </si>
  <si>
    <t>09240</t>
  </si>
  <si>
    <t>09250</t>
  </si>
  <si>
    <t>09260</t>
  </si>
  <si>
    <t>09270</t>
  </si>
  <si>
    <t>09280</t>
  </si>
  <si>
    <t>09290</t>
  </si>
  <si>
    <t>09300</t>
  </si>
  <si>
    <t>09310</t>
  </si>
  <si>
    <t>09320</t>
  </si>
  <si>
    <t>09330</t>
  </si>
  <si>
    <t>09340</t>
  </si>
  <si>
    <t>09350</t>
  </si>
  <si>
    <t>09360</t>
  </si>
  <si>
    <t>09370</t>
  </si>
  <si>
    <t>09380</t>
  </si>
  <si>
    <t>09390</t>
  </si>
  <si>
    <t>09400</t>
  </si>
  <si>
    <t>09410</t>
  </si>
  <si>
    <t>09420</t>
  </si>
  <si>
    <t>09430</t>
  </si>
  <si>
    <t>09440</t>
  </si>
  <si>
    <t>09450</t>
  </si>
  <si>
    <t>09460</t>
  </si>
  <si>
    <t>09470</t>
  </si>
  <si>
    <t>09480</t>
  </si>
  <si>
    <t>09490</t>
  </si>
  <si>
    <t>09500</t>
  </si>
  <si>
    <t>09510</t>
  </si>
  <si>
    <t>09520</t>
  </si>
  <si>
    <t>09530</t>
  </si>
  <si>
    <t>09540</t>
  </si>
  <si>
    <t>09550</t>
  </si>
  <si>
    <t>09560</t>
  </si>
  <si>
    <t>09570</t>
  </si>
  <si>
    <t>09580</t>
  </si>
  <si>
    <t>09590</t>
  </si>
  <si>
    <t>09600</t>
  </si>
  <si>
    <t>09610</t>
  </si>
  <si>
    <t>09620</t>
  </si>
  <si>
    <t>09630</t>
  </si>
  <si>
    <t>09640</t>
  </si>
  <si>
    <t>09650</t>
  </si>
  <si>
    <t>09660</t>
  </si>
  <si>
    <t>09670</t>
  </si>
  <si>
    <t>09680</t>
  </si>
  <si>
    <t>09690</t>
  </si>
  <si>
    <t>09700</t>
  </si>
  <si>
    <t>09710</t>
  </si>
  <si>
    <t>09720</t>
  </si>
  <si>
    <t>09730</t>
  </si>
  <si>
    <t>09740</t>
  </si>
  <si>
    <t>09750</t>
  </si>
  <si>
    <t>09760</t>
  </si>
  <si>
    <t>09770</t>
  </si>
  <si>
    <t>09780</t>
  </si>
  <si>
    <t>09790</t>
  </si>
  <si>
    <t>09800</t>
  </si>
  <si>
    <t>09810</t>
  </si>
  <si>
    <t>09820</t>
  </si>
  <si>
    <t>09830</t>
  </si>
  <si>
    <t>09840</t>
  </si>
  <si>
    <t>09850</t>
  </si>
  <si>
    <t>09860</t>
  </si>
  <si>
    <t>09870</t>
  </si>
  <si>
    <t>09880</t>
  </si>
  <si>
    <t>09890</t>
  </si>
  <si>
    <t>09900</t>
  </si>
  <si>
    <t>09910</t>
  </si>
  <si>
    <t>09920</t>
  </si>
  <si>
    <t>09930</t>
  </si>
  <si>
    <t>09940</t>
  </si>
  <si>
    <t>09950</t>
  </si>
  <si>
    <t>09960</t>
  </si>
  <si>
    <t>09970</t>
  </si>
  <si>
    <t>09980</t>
  </si>
  <si>
    <t>09990</t>
  </si>
  <si>
    <t>სტრიქონის კოდი</t>
  </si>
  <si>
    <t xml:space="preserve"> ფინანსური მდგომარეობის ანგარიშგება  (საბალანსო უწყისი)</t>
  </si>
  <si>
    <t>ქონების დაზღვევა (გარდა (00060), (00130), (00140), (00180), (00220) სტრიქონებში მითითებული ქონებისა)</t>
  </si>
  <si>
    <t xml:space="preserve">სამოქალაქო პასუხისმგებლობის დაზღვევა (გარდა  (00090), (00150), (00190)  სტრიქონებში მითითებული პასუხისმგებლობისა): </t>
  </si>
  <si>
    <t>ქონების დაზღვევა (გარდა (00410), (00480), (00490), (00530), (00570) სტრიქონებში მითითებული ქონებისა)</t>
  </si>
  <si>
    <t xml:space="preserve">სამოქალაქო პასუხისმგებლობის დაზღვევა (გარდა  (00440), (00500), (00540)  სტრიქონებში მითითებული პასუხისმგებლობისა): </t>
  </si>
  <si>
    <t>ქონების დაზღვევა (გარდა (00760), (00830), (00840), (00880), (00920) სტრიქონებში მითითებული ქონებისა)</t>
  </si>
  <si>
    <t xml:space="preserve">სამოქალაქო პასუხისმგებლობის დაზღვევა (გარდა  (00790), (00850), (00890)  სტრიქონებში მითითებული პასუხისმგებლობისა): </t>
  </si>
  <si>
    <t>ქონების დაზღვევა (გარდა (01110), (01180), (01190), (01230), (01270) სტრიქონებში მითითებული ქონებისა)</t>
  </si>
  <si>
    <t xml:space="preserve">სამოქალაქო პასუხისმგებლობის დაზღვევა (გარდა  (01140), (01200), (01240)  სტრიქონებში მითითებული პასუხისმგებლობისა): </t>
  </si>
  <si>
    <t>ქონების დაზღვევა (გარდა (01460), (01530), (01540), (01580), (01620) სტრიქონებში მითითებული ქონებისა)</t>
  </si>
  <si>
    <t xml:space="preserve">სამოქალაქო პასუხისმგებლობის დაზღვევა (გარდა  (01490), (01550), (01590)  სტრიქონებში მითითებული პასუხისმგებლობისა): </t>
  </si>
  <si>
    <t>ქონების დაზღვევა (გარდა (01810), (01880), (01890), (01930), (01970) სტრიქონებში მითითებული ქონებისა)</t>
  </si>
  <si>
    <t xml:space="preserve">სამოქალაქო პასუხისმგებლობის დაზღვევა (გარდა  (01840), (01900), (01940)  სტრიქონებში მითითებული პასუხისმგებლობისა): </t>
  </si>
  <si>
    <t>ქონების დაზღვევა (გარდა (02160), (02230), (02240), (02280), (02320) სტრიქონებში მითითებული ქონებისა)</t>
  </si>
  <si>
    <t xml:space="preserve">სამოქალაქო პასუხისმგებლობის დაზღვევა (გარდა  (02190), (02250), (02290)  სტრიქონებში მითითებული პასუხისმგებლობისა): </t>
  </si>
  <si>
    <t>ქონების დაზღვევა (გარდა (02510), (02580), (02590), (02630), (02670) სტრიქონებში მითითებული ქონებისა)</t>
  </si>
  <si>
    <t xml:space="preserve">სამოქალაქო პასუხისმგებლობის დაზღვევა (გარდა  (02540), (02600), (02640)  სტრიქონებში მითითებული პასუხისმგებლობისა): </t>
  </si>
  <si>
    <t>დანართი 1</t>
  </si>
  <si>
    <t xml:space="preserve">საშუალო დონის მენეჯმენტი </t>
  </si>
  <si>
    <t>12.1</t>
  </si>
  <si>
    <t>12.2</t>
  </si>
  <si>
    <t>12.3</t>
  </si>
  <si>
    <r>
      <t xml:space="preserve">სხვა ფინანსური ვალდებულებების (გრძელვადიანი) მიმდინარე წილზე დარიცხული </t>
    </r>
    <r>
      <rPr>
        <sz val="9"/>
        <rFont val="Sylfaen"/>
        <family val="1"/>
      </rPr>
      <t>%</t>
    </r>
  </si>
  <si>
    <t>საპენსიო ვალდებულებები პერიოდის ბოლოს:                                                   (6+7-8-9-10-11+12)</t>
  </si>
  <si>
    <t xml:space="preserve"> - მოკლევადიანი (365 და 365 დღეზე ნაკლები) (2+3+4+5)</t>
  </si>
  <si>
    <t>ინვესტიციები მეკავშირე და შვილობილ კომპანიებში</t>
  </si>
  <si>
    <t>მიმდინარე ანგარიშებზე დარიცხული %, რეზიდენტ ბანკებში</t>
  </si>
  <si>
    <t>მიმდინარე ანგარიშებზე დარიცხული %, არარეზიდენტ ბანკებში</t>
  </si>
  <si>
    <t>საბანკო დეპოზიტებზე (მოთხოვნამდე) დარიცხული %, რეზიდენტ ბანკებში</t>
  </si>
  <si>
    <t>საბანკო დეპოზიტებზე (მოთხოვნამდე) დარიცხული %, არარეზიდენტ ბანკებში</t>
  </si>
  <si>
    <t>მოკლევადიან საბანკო დეპოზიტებზე დარიცხული %, რეზიდენტ ბანკებში</t>
  </si>
  <si>
    <t>მოკლევადიან საბანკო დეპოზიტებზე დარიცხული %, არარეზიდენტ ბანკებში</t>
  </si>
  <si>
    <t>ვადიან დეპოზიტებზე დარიცხული %, რეზიდენტ ბანკებში</t>
  </si>
  <si>
    <t>ვადიან დეპოზიტებზე დარიცხული %, არარეზიდენტ ბანკებში</t>
  </si>
  <si>
    <t>საინვესტიციო ობიექტის დასახელება, ინვესტიციის სახეობა, რეგისტრაციის ქვეყანა</t>
  </si>
  <si>
    <t>სულ დაფარვის ვადამდე მფლობელობაში არსებული ფინანსური აქტივები:                                                      (1+2+3+4)</t>
  </si>
  <si>
    <t>სუბორდინირებულ სესხებზე დარიცხული %</t>
  </si>
  <si>
    <t>უზრუნველყოფილ სესხებზე (მოკლევადიანი) დარიცხული %</t>
  </si>
  <si>
    <t>სასესხო ფასიან ქაღალდებზე (მოკლევადიანი) დარიცხული %</t>
  </si>
  <si>
    <t>სასესხო ფასიან ქაღალდებზე (გრძელვადიანი) დარიცხული %</t>
  </si>
  <si>
    <t>უზრუნველყოფილ სესხებზე (გრძელვადიანი) დარიცხული %</t>
  </si>
  <si>
    <t>სასესხო ფასიანი ქაღალდების (გრძელვადიანი) მიმდინარე წილზე დარიცხული %</t>
  </si>
  <si>
    <t xml:space="preserve"> - გამოუმუშავებელი პრემიის რეზერვი</t>
  </si>
  <si>
    <t xml:space="preserve"> - გამოუმუშავებელი პრემიის რეზერვი (9-13)</t>
  </si>
  <si>
    <t xml:space="preserve"> - განცხადებული, მაგრამ დაურეგულირებელი ზარალების რეზერვი                                                            (10-14) </t>
  </si>
  <si>
    <t xml:space="preserve"> - განცხადებული, მაგრამ დაურეგულირებელი ზარალების რეზერვი                                                                   (2-5)</t>
  </si>
  <si>
    <t>შესრულებულ სამუშაოზე და მოწოდებულ მომსახურებაზე დარიცხული ვალდებულებები</t>
  </si>
  <si>
    <t xml:space="preserve">სხვა გადასახდელი გადასახადები: </t>
  </si>
  <si>
    <t>სხვა ფინანსურ ვალდებულებებზე (მოკლევადიანი) დარიცხული %</t>
  </si>
  <si>
    <t xml:space="preserve">სხვა ფინანსურ ვალდებულებებზე (გრძელვადიანი) დარიცხული % </t>
  </si>
  <si>
    <t>ბანკის სესხების (გრძელვადიანი) მიმდინარე წილზე დარიცხული %</t>
  </si>
  <si>
    <t>საპენსიო ვალდებულება საინვესტიციო საქმიანობამდე                                                                             (1+2+3-4-5)</t>
  </si>
  <si>
    <t xml:space="preserve">გრძელვადიან სესხებზე დარიცხული % </t>
  </si>
  <si>
    <t xml:space="preserve">გრძელვადიანი სესხების მიმდინარე წილი </t>
  </si>
  <si>
    <t>გრძელვადიანი სესხების მიმდინარე წილზე დარიცხული %</t>
  </si>
  <si>
    <t xml:space="preserve">გრძელვადიანი სესხები </t>
  </si>
  <si>
    <t>მოკლევადიან სავალო ფასიან ქაღალდებზე დარიცხული %</t>
  </si>
  <si>
    <t>გრძელვადიან სავალო ფასიან ქაღალდებზე დარიცხული %</t>
  </si>
  <si>
    <t xml:space="preserve"> - მოკლევადიანი დეპოზიტებიდან (365 და 365 დღეზე ნაკლები ვადით) (12+13+14+15)</t>
  </si>
  <si>
    <t xml:space="preserve">უზრუნველყოფილი სესხები (გრძელვადიანი)  </t>
  </si>
  <si>
    <t>ანგარიშგების პერიოდი:</t>
  </si>
  <si>
    <t xml:space="preserve"> - სადაზღვევო/დამდგარი ზარალები, ნეტო   (20-21+22-23-24)</t>
  </si>
  <si>
    <t>კურსთაშორის სხვაობიდან მოგება (ზარალი), წმინდა</t>
  </si>
  <si>
    <t>ინვესტიციების ჩამოწერიდან/რეალიზაციიდან მიღებული მოგება (ზარალი), წმინდა</t>
  </si>
  <si>
    <t>სუბორდინირებულ სესხებზე</t>
  </si>
  <si>
    <t>კომპანიის დასახელება</t>
  </si>
  <si>
    <t>ძირითადი საშუალებების ჩამოწერიდან/რეალიზაციიდან მიღებული მოგება (ზარალი), წმინდა</t>
  </si>
  <si>
    <t xml:space="preserve">მოკლევადიან სესხებზე დარიცხული % </t>
  </si>
  <si>
    <t xml:space="preserve">მზღვეველის სრული დასახელება </t>
  </si>
  <si>
    <t xml:space="preserve"> - მოთხოვნები გადარჩენილი ქონებიდან</t>
  </si>
  <si>
    <t xml:space="preserve">ნაშთი საანგარიშოს წინა პერიოდის ბოლოს                                   (1+2-3+4+5+6+7-8)         </t>
  </si>
  <si>
    <t>ნაშთი საანგარიშო პერიოდის ბოლოს                                              (9+10-11+12+13+14-15+16)</t>
  </si>
  <si>
    <t>მზღვეველი</t>
  </si>
  <si>
    <t xml:space="preserve">თარიღი: </t>
  </si>
  <si>
    <t>CF</t>
  </si>
  <si>
    <t>ფულადი სახსრების მოძრაობა საოპერაციო საქმიანობიდან</t>
  </si>
  <si>
    <t>ფულადი ნაკადების შემოდინება საოპერაციო საქმიანობიდან:</t>
  </si>
  <si>
    <t xml:space="preserve"> - შემოდინება სადაზღვევო პრემია</t>
  </si>
  <si>
    <t xml:space="preserve"> - შემოდინება გადაზღვევიდან კუთვნილი საკომისიო</t>
  </si>
  <si>
    <t xml:space="preserve"> - შემოდინება გადამზღვეველის მიერ ანაზღაურებული ზარალები</t>
  </si>
  <si>
    <t xml:space="preserve"> - შემოდინება გადაზღვევიდან სხვა შემოსავლებისა და ბენეფიტების მიხედვით</t>
  </si>
  <si>
    <t xml:space="preserve"> - შემოდინება რეგრესიდან</t>
  </si>
  <si>
    <t xml:space="preserve"> - შემოდინება გადარჩენილი ქონების რეალიზაციიდან</t>
  </si>
  <si>
    <t xml:space="preserve"> - შემოდინება საიჯარო გადასახდელები</t>
  </si>
  <si>
    <t xml:space="preserve"> - შემოდინება სხვა საოპერაციო შემოსავლებიდან</t>
  </si>
  <si>
    <t xml:space="preserve"> - შემოდინება სხვა:</t>
  </si>
  <si>
    <t>ფულადი ნაკადების გადინება საოპერაციო საქმიანობიდან:</t>
  </si>
  <si>
    <t xml:space="preserve"> - გადინება გადაზღვევის პრემის მიხედვით</t>
  </si>
  <si>
    <t xml:space="preserve"> - გადინება სადაზღვევო ზარალების მიხედვით</t>
  </si>
  <si>
    <t xml:space="preserve"> - გადინება ცედენტის საკომისიოს მიხედვით</t>
  </si>
  <si>
    <t xml:space="preserve"> - გადინება ბროკერის საკომისიოს მიხედვით</t>
  </si>
  <si>
    <t xml:space="preserve"> - გადინება აგენტის საკომისიოს მიხედვით</t>
  </si>
  <si>
    <t xml:space="preserve"> - გადინება სხვა აკვიზიციური ხარჯების მიხედვით</t>
  </si>
  <si>
    <t xml:space="preserve"> - გადინება ხელფასები და სხვა განაცემების მიხედვით</t>
  </si>
  <si>
    <t xml:space="preserve"> - გადინება პერსონალის ტრეინინგის ხარჯების მიხედვით</t>
  </si>
  <si>
    <t xml:space="preserve"> - გადინება მომწოდებლებზე და მომსახურების გამწევთათვის</t>
  </si>
  <si>
    <t xml:space="preserve"> - გადინება საშემოსავლო გადასახადების მიხედვით</t>
  </si>
  <si>
    <t xml:space="preserve"> - გადინება მოგების გადასახადის მიხედვით</t>
  </si>
  <si>
    <t xml:space="preserve"> - გადინება დღგ- ის მიხედვით</t>
  </si>
  <si>
    <t xml:space="preserve"> - გადინება ქონების გადასახადის მიხედვით</t>
  </si>
  <si>
    <t xml:space="preserve"> - გადინება სხვა გადასახადების მიხედვით</t>
  </si>
  <si>
    <t xml:space="preserve"> - გადინება საგადასახადო ჯარიმების და საურავების მიხედვით</t>
  </si>
  <si>
    <t xml:space="preserve"> - გადინება სხვა ჯარიმების და საურავების მიხედვით</t>
  </si>
  <si>
    <t xml:space="preserve"> - გადინება იჯარის მიხედვით</t>
  </si>
  <si>
    <t xml:space="preserve"> - გადინება მარკეტინგული და სარეკლამო ხარჯების მიხედვით</t>
  </si>
  <si>
    <t xml:space="preserve"> - გადინება საწვავის შესაძენად</t>
  </si>
  <si>
    <t xml:space="preserve"> - გადინება რემონტის ხარჯების მიხედვით</t>
  </si>
  <si>
    <t xml:space="preserve"> - გადინება მივლინების ხარჯების მიხედვით</t>
  </si>
  <si>
    <t xml:space="preserve"> - გადინება აუდიტის და საკონსულტაციო ხარჯების მიხედვით</t>
  </si>
  <si>
    <t xml:space="preserve"> - გადინება ბანკის საკომისიო ხარჯების მიხედვით</t>
  </si>
  <si>
    <t xml:space="preserve"> - გადინება დაზღვევის ხარჯის მიხედვით</t>
  </si>
  <si>
    <t xml:space="preserve"> - გადინება დაცვის ხარჯების მიხედვით</t>
  </si>
  <si>
    <t xml:space="preserve"> - გადინება კომუნალური და საკომუნიკაციო ხარჯების მიხედვით</t>
  </si>
  <si>
    <t xml:space="preserve"> - გადინება სამეურნეო ხარჯების მიხედვით</t>
  </si>
  <si>
    <t xml:space="preserve"> - გადინება ბეჭდვის ხარჯების მიხედვით</t>
  </si>
  <si>
    <t xml:space="preserve"> - გადინება წარმომადგენლობითი ხარჯების მიხედვით</t>
  </si>
  <si>
    <t xml:space="preserve"> - გადინება ქველმოქმედების ხარჯების მიხედვით</t>
  </si>
  <si>
    <t xml:space="preserve"> - გადინება სხვა განაცემების მიხედვით</t>
  </si>
  <si>
    <t xml:space="preserve"> - გადინება სხვა საოპერაციო ხარჯების მიხედვით</t>
  </si>
  <si>
    <t>წმინდა ფულადი სახსრები საოპერაციო საქმიანობიდან</t>
  </si>
  <si>
    <t xml:space="preserve">ფულადი სახსრების მოძრაობა საინვესტიციო საქმიანობიდან                                    </t>
  </si>
  <si>
    <t>ფულადი ნაკადების შემოდინება საინვესტიციო საქმიანობიდან:</t>
  </si>
  <si>
    <t xml:space="preserve"> - შემოდინება აქციების (შეძენილი) რეალიზაციით</t>
  </si>
  <si>
    <t xml:space="preserve"> - შემოდინება შვილობილი და მეკავშირე კომპანიის რეალიზაციით</t>
  </si>
  <si>
    <t xml:space="preserve"> - შემოდინება ძირითადი საშუალებების რეალიზაციით</t>
  </si>
  <si>
    <t xml:space="preserve"> - შემოდინება საინვესტიციო ქონების რეალიზაციით</t>
  </si>
  <si>
    <t xml:space="preserve"> - შემოდინება არამატერიალური აქტივების რეალიზაციით</t>
  </si>
  <si>
    <t xml:space="preserve"> - შემოდინება გაცემული სესხის დაფარვით ( შვილობილი და მეკავშირე კომპანიიდან)</t>
  </si>
  <si>
    <t xml:space="preserve"> - შემოდინება გაცემული სესხის დაფარვით (სხვა)</t>
  </si>
  <si>
    <t xml:space="preserve"> - შემოდინება გაცემული სესხის პროცენტის დაფარვით (შვილობილი და მეკავშირე)</t>
  </si>
  <si>
    <t xml:space="preserve"> - შემოდინება გაცემული სესხის პროცენტის დაფარვით (სხვა)</t>
  </si>
  <si>
    <t xml:space="preserve"> - შემოდინება მიმდინარე ანგარიშებიდან დარიცხული პროცენტიდან</t>
  </si>
  <si>
    <t xml:space="preserve"> - შემოდინება დეპოზიტებიდან დარიცხული პროცენტის მიხედვით</t>
  </si>
  <si>
    <t xml:space="preserve"> - შემოდინება დივიდენდების მიხედვით</t>
  </si>
  <si>
    <t xml:space="preserve"> - შემოდინება სხვა </t>
  </si>
  <si>
    <t>ფულადი ნაკადების გადინება საინვესტიციო საქმიანობიდან:</t>
  </si>
  <si>
    <t xml:space="preserve"> - გადინება აქციების შესაძენად</t>
  </si>
  <si>
    <t xml:space="preserve"> - გადინება შვილობილი და მეკავშირე კომპანიის შესაძენად</t>
  </si>
  <si>
    <t xml:space="preserve"> - გადინება ძირითადი საშუალებების შესაძენად</t>
  </si>
  <si>
    <t xml:space="preserve"> - გადინება საინვესტიციო ქონების შესაძენად</t>
  </si>
  <si>
    <t xml:space="preserve"> - გადინება არამატერიალური აქტივების შესაძენად</t>
  </si>
  <si>
    <t xml:space="preserve"> - გადინება გაცემული სესხის საფუძველზე (შვილობილი და მეკავშირე კომპანიიდან)</t>
  </si>
  <si>
    <t xml:space="preserve"> - გადინება გაცემული სესხის საფუძველზე (სხვა)</t>
  </si>
  <si>
    <t xml:space="preserve"> - გადინება სხვა</t>
  </si>
  <si>
    <t>წმინდა ფულადი ნაკადები საინვესტიციო საქმიანობიდან</t>
  </si>
  <si>
    <t xml:space="preserve">ფულადი სახსრების მოძრაობა ფინანსური საქმიანობიდან                                    </t>
  </si>
  <si>
    <t>ფულადი ნაკადების შემოდინება ფინანსური საქმიანობიდან:</t>
  </si>
  <si>
    <t xml:space="preserve"> - შემოდინება საკუთარი აქციების რეალიზაციით (საკუთარი კაპიტალის ემისია, წილის რეალიზაცია)</t>
  </si>
  <si>
    <t xml:space="preserve"> - შემოდინება აღებული სესხის შედეგად</t>
  </si>
  <si>
    <t xml:space="preserve"> - გადინება საკუთარი აქციების გამოსყიდვით</t>
  </si>
  <si>
    <t xml:space="preserve"> - გადინება აღებული სესხის (ლიზინგის) დასაფარავად</t>
  </si>
  <si>
    <t xml:space="preserve"> - გადინება აღებული სესხის (ლიზინგის) პროცენტის დასაფარავად</t>
  </si>
  <si>
    <t xml:space="preserve"> - გადინება გაცემული დივიდენდებით</t>
  </si>
  <si>
    <t xml:space="preserve"> - გადინება სხვა </t>
  </si>
  <si>
    <t xml:space="preserve">წმინდა ფულადი ნაკადები ფინანსური საქმიანობიდან </t>
  </si>
  <si>
    <t>წმინდა ცვლილება ფულად სახსრებში და მათ ეკვივალენტებში</t>
  </si>
  <si>
    <t xml:space="preserve">შემოდინება საპენსიო სქემაში ჩართვის საფუძველზე </t>
  </si>
  <si>
    <t xml:space="preserve">გადინება საპენსიო სქემიდან გასვლის საფუძველზე </t>
  </si>
  <si>
    <t xml:space="preserve">ფულადი ნაკადები ნეტო საპენსიო სქემის შემოსავლებიდან (ხარჯებიდან) </t>
  </si>
  <si>
    <t>ფულადი სახსრები და მათი ეკვივალენტები პერიოდის დასაწყისში, მათ შორის:</t>
  </si>
  <si>
    <t xml:space="preserve"> - ფულადი სახსრები და მათი ეკვივალენტები სალაროში</t>
  </si>
  <si>
    <t xml:space="preserve"> - ფულადი სახსრები და მათი ეკვივალენტები მიმდინარე ანგარშებზე</t>
  </si>
  <si>
    <t xml:space="preserve"> - ფულადი სახსრები და მათი ეკვივალენტები განთავსებულ დეპოზიტებზე</t>
  </si>
  <si>
    <t>კურსთაშორისი სხვაობიდან მოგება(ზარალი) ფულსა და ფულად ეკვივალენტებზე</t>
  </si>
  <si>
    <t>ფულადი სახსრები და მათი ეკვივალენტები პერიოდის ბოლოს, მათ შორის:</t>
  </si>
  <si>
    <t>ფორმა N1-4 ის მიხედვით შექმნილი რეზერვი</t>
  </si>
  <si>
    <t>ფორმა N1-5 ის მიხედვით შექმნილი რეზერვი</t>
  </si>
  <si>
    <t>სხვა რეზერვი</t>
  </si>
  <si>
    <t>სულ სხვა შემოსავალი (ხარჯი), წმინდა: (1+2+3+4+5-6)</t>
  </si>
  <si>
    <t>რეზერვი</t>
  </si>
  <si>
    <t>სულ (ნეტო)</t>
  </si>
  <si>
    <t>ფულადი სახსრებით უზრუნველყოფილი სესხები</t>
  </si>
  <si>
    <t>ფულადი სახსრებით უზრუნველყოფილ სესხებზე დარიცხული %</t>
  </si>
  <si>
    <t>რეზერვების შექმნით მიღებული შემოსავალი/ხარჯი</t>
  </si>
  <si>
    <t>ფულადი ნაკადების გადინება ფინანსური საქმიანობიდან:</t>
  </si>
  <si>
    <t>ფასიანი ქაღალდებით უზრუნველყოფილი</t>
  </si>
  <si>
    <t>ფასიანი ქაღალდებით უზრუნველყოფილ სესხებზე დარიცხული %</t>
  </si>
  <si>
    <t xml:space="preserve"> - გაცემული სესხები, წმინდა</t>
  </si>
  <si>
    <t>ფორმა № 6 (CF)</t>
  </si>
  <si>
    <r>
      <t xml:space="preserve">ფულადი სახსრების მოძრაობის უწყისი </t>
    </r>
    <r>
      <rPr>
        <b/>
        <i/>
        <sz val="9"/>
        <rFont val="Sylfaen"/>
        <family val="1"/>
      </rPr>
      <t>(პირდაპირი მეთოდით)</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</si>
</sst>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_);_(* \(#,##0\);_(* &quot;-&quot;??_);_(@_)"/>
    <numFmt numFmtId="165" formatCode="0.0"/>
    <numFmt numFmtId="166" formatCode="dd/mm/yyyy;@"/>
    <numFmt numFmtId="167" formatCode="_-* #,##0_р_._-;\-* #,##0_р_._-;_-* &quot;-&quot;??_р_._-;_-@_-"/>
  </numFmts>
  <fonts count="36" x14ac:knownFonts="1">
    <font>
      <sz val="10"/>
      <name val="Arial"/>
    </font>
    <font>
      <sz val="10"/>
      <name val="Arial"/>
      <family val="2"/>
    </font>
    <font>
      <sz val="10"/>
      <name val="AcadNusx"/>
    </font>
    <font>
      <sz val="8"/>
      <name val="Arial"/>
      <family val="2"/>
    </font>
    <font>
      <sz val="10"/>
      <name val="Arial"/>
      <family val="2"/>
    </font>
    <font>
      <b/>
      <sz val="10"/>
      <name val="AcadNusx"/>
    </font>
    <font>
      <sz val="10"/>
      <name val="Times New Roman"/>
      <family val="1"/>
    </font>
    <font>
      <sz val="10"/>
      <name val="GeoDumba"/>
      <family val="2"/>
    </font>
    <font>
      <sz val="10"/>
      <name val="Sylfaen"/>
      <family val="1"/>
    </font>
    <font>
      <b/>
      <sz val="12"/>
      <name val="Sylfaen"/>
      <family val="1"/>
    </font>
    <font>
      <b/>
      <sz val="10"/>
      <name val="Sylfaen"/>
      <family val="1"/>
    </font>
    <font>
      <sz val="12"/>
      <name val="Sylfaen"/>
      <family val="1"/>
    </font>
    <font>
      <b/>
      <sz val="9"/>
      <name val="Sylfaen"/>
      <family val="1"/>
    </font>
    <font>
      <sz val="9"/>
      <name val="Sylfaen"/>
      <family val="1"/>
    </font>
    <font>
      <sz val="8"/>
      <name val="Arial"/>
      <family val="2"/>
      <charset val="204"/>
    </font>
    <font>
      <i/>
      <sz val="10"/>
      <name val="Sylfaen"/>
      <family val="1"/>
    </font>
    <font>
      <b/>
      <i/>
      <sz val="10"/>
      <name val="Sylfaen"/>
      <family val="1"/>
    </font>
    <font>
      <i/>
      <sz val="9"/>
      <name val="Sylfaen"/>
      <family val="1"/>
    </font>
    <font>
      <b/>
      <i/>
      <sz val="9"/>
      <name val="Sylfaen"/>
      <family val="1"/>
    </font>
    <font>
      <b/>
      <sz val="11"/>
      <name val="Sylfaen"/>
      <family val="1"/>
    </font>
    <font>
      <b/>
      <sz val="11"/>
      <name val="Arial"/>
      <family val="2"/>
    </font>
    <font>
      <sz val="10"/>
      <name val="Sylfaen"/>
      <family val="1"/>
      <charset val="204"/>
    </font>
    <font>
      <u/>
      <sz val="10"/>
      <color indexed="23"/>
      <name val="Sylfaen"/>
      <family val="1"/>
    </font>
    <font>
      <b/>
      <i/>
      <u/>
      <sz val="10"/>
      <color indexed="23"/>
      <name val="Sylfaen"/>
      <family val="1"/>
    </font>
    <font>
      <b/>
      <u/>
      <sz val="11"/>
      <color indexed="23"/>
      <name val="Sylfaen"/>
      <family val="1"/>
    </font>
    <font>
      <b/>
      <u/>
      <sz val="12"/>
      <color indexed="23"/>
      <name val="Sylfaen"/>
      <family val="1"/>
    </font>
    <font>
      <b/>
      <sz val="16"/>
      <name val="Sylfaen"/>
      <family val="1"/>
    </font>
    <font>
      <sz val="10"/>
      <name val="Arial"/>
      <family val="2"/>
    </font>
    <font>
      <b/>
      <sz val="14"/>
      <name val="Sylfaen"/>
      <family val="1"/>
    </font>
    <font>
      <b/>
      <sz val="10"/>
      <name val="Sylfaen"/>
      <family val="1"/>
      <charset val="204"/>
    </font>
    <font>
      <sz val="14"/>
      <name val="Sylfaen"/>
      <family val="1"/>
    </font>
    <font>
      <b/>
      <sz val="10"/>
      <color indexed="10"/>
      <name val="Sylfaen"/>
      <family val="1"/>
    </font>
    <font>
      <sz val="8"/>
      <name val="Arial"/>
      <family val="2"/>
    </font>
    <font>
      <sz val="9"/>
      <name val="Arial"/>
      <family val="2"/>
    </font>
    <font>
      <sz val="9"/>
      <name val="AcadNusx"/>
    </font>
    <font>
      <b/>
      <sz val="9"/>
      <name val="AcadNusx"/>
    </font>
  </fonts>
  <fills count="6">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s>
  <borders count="65">
    <border>
      <left/>
      <right/>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medium">
        <color indexed="64"/>
      </top>
      <bottom style="hair">
        <color indexed="64"/>
      </bottom>
      <diagonal/>
    </border>
    <border>
      <left style="hair">
        <color indexed="64"/>
      </left>
      <right style="medium">
        <color indexed="64"/>
      </right>
      <top style="hair">
        <color indexed="64"/>
      </top>
      <bottom style="hair">
        <color indexed="64"/>
      </bottom>
      <diagonal/>
    </border>
    <border>
      <left/>
      <right/>
      <top style="medium">
        <color indexed="64"/>
      </top>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right style="hair">
        <color indexed="64"/>
      </right>
      <top style="hair">
        <color indexed="64"/>
      </top>
      <bottom style="hair">
        <color indexed="64"/>
      </bottom>
      <diagonal/>
    </border>
    <border>
      <left/>
      <right style="hair">
        <color indexed="64"/>
      </right>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right/>
      <top style="hair">
        <color indexed="64"/>
      </top>
      <bottom style="medium">
        <color indexed="64"/>
      </bottom>
      <diagonal/>
    </border>
    <border>
      <left style="hair">
        <color indexed="64"/>
      </left>
      <right/>
      <top style="hair">
        <color indexed="64"/>
      </top>
      <bottom style="hair">
        <color indexed="64"/>
      </bottom>
      <diagonal/>
    </border>
    <border>
      <left/>
      <right style="medium">
        <color indexed="64"/>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right style="hair">
        <color indexed="64"/>
      </right>
      <top style="medium">
        <color indexed="64"/>
      </top>
      <bottom style="medium">
        <color indexed="64"/>
      </bottom>
      <diagonal/>
    </border>
    <border>
      <left/>
      <right style="hair">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right style="hair">
        <color indexed="64"/>
      </right>
      <top/>
      <bottom/>
      <diagonal/>
    </border>
    <border>
      <left style="medium">
        <color indexed="64"/>
      </left>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style="medium">
        <color indexed="64"/>
      </left>
      <right/>
      <top/>
      <bottom style="medium">
        <color indexed="64"/>
      </bottom>
      <diagonal/>
    </border>
    <border>
      <left/>
      <right style="hair">
        <color indexed="64"/>
      </right>
      <top/>
      <bottom style="hair">
        <color indexed="64"/>
      </bottom>
      <diagonal/>
    </border>
    <border>
      <left/>
      <right/>
      <top/>
      <bottom style="medium">
        <color indexed="64"/>
      </bottom>
      <diagonal/>
    </border>
    <border>
      <left style="medium">
        <color indexed="64"/>
      </left>
      <right/>
      <top/>
      <bottom style="hair">
        <color indexed="64"/>
      </bottom>
      <diagonal/>
    </border>
    <border>
      <left style="medium">
        <color indexed="64"/>
      </left>
      <right/>
      <top style="medium">
        <color indexed="64"/>
      </top>
      <bottom style="medium">
        <color indexed="64"/>
      </bottom>
      <diagonal/>
    </border>
    <border>
      <left style="medium">
        <color indexed="64"/>
      </left>
      <right style="hair">
        <color indexed="64"/>
      </right>
      <top/>
      <bottom style="medium">
        <color indexed="64"/>
      </bottom>
      <diagonal/>
    </border>
    <border>
      <left/>
      <right style="hair">
        <color indexed="64"/>
      </right>
      <top style="hair">
        <color indexed="64"/>
      </top>
      <bottom/>
      <diagonal/>
    </border>
    <border>
      <left/>
      <right style="hair">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diagonal/>
    </border>
    <border>
      <left style="medium">
        <color indexed="64"/>
      </left>
      <right style="hair">
        <color indexed="64"/>
      </right>
      <top/>
      <bottom/>
      <diagonal/>
    </border>
    <border>
      <left style="hair">
        <color indexed="64"/>
      </left>
      <right/>
      <top/>
      <bottom style="medium">
        <color indexed="64"/>
      </bottom>
      <diagonal/>
    </border>
    <border>
      <left style="hair">
        <color indexed="64"/>
      </left>
      <right style="hair">
        <color indexed="64"/>
      </right>
      <top style="medium">
        <color indexed="64"/>
      </top>
      <bottom/>
      <diagonal/>
    </border>
    <border>
      <left style="hair">
        <color indexed="64"/>
      </left>
      <right/>
      <top style="hair">
        <color indexed="64"/>
      </top>
      <bottom style="medium">
        <color indexed="64"/>
      </bottom>
      <diagonal/>
    </border>
    <border>
      <left style="hair">
        <color indexed="64"/>
      </left>
      <right/>
      <top style="medium">
        <color indexed="64"/>
      </top>
      <bottom style="medium">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hair">
        <color indexed="64"/>
      </left>
      <right/>
      <top style="hair">
        <color indexed="64"/>
      </top>
      <bottom/>
      <diagonal/>
    </border>
    <border>
      <left/>
      <right style="medium">
        <color indexed="64"/>
      </right>
      <top style="hair">
        <color indexed="64"/>
      </top>
      <bottom/>
      <diagonal/>
    </border>
    <border>
      <left style="hair">
        <color indexed="64"/>
      </left>
      <right/>
      <top/>
      <bottom style="hair">
        <color indexed="64"/>
      </bottom>
      <diagonal/>
    </border>
    <border>
      <left/>
      <right style="medium">
        <color indexed="64"/>
      </right>
      <top/>
      <bottom style="hair">
        <color indexed="64"/>
      </bottom>
      <diagonal/>
    </border>
    <border>
      <left style="hair">
        <color indexed="64"/>
      </left>
      <right style="hair">
        <color indexed="64"/>
      </right>
      <top/>
      <bottom/>
      <diagonal/>
    </border>
    <border>
      <left style="hair">
        <color indexed="64"/>
      </left>
      <right/>
      <top style="medium">
        <color indexed="64"/>
      </top>
      <bottom style="hair">
        <color indexed="64"/>
      </bottom>
      <diagonal/>
    </border>
    <border>
      <left/>
      <right/>
      <top style="hair">
        <color indexed="64"/>
      </top>
      <bottom/>
      <diagonal/>
    </border>
    <border>
      <left style="medium">
        <color indexed="64"/>
      </left>
      <right/>
      <top/>
      <bottom style="thin">
        <color indexed="64"/>
      </bottom>
      <diagonal/>
    </border>
    <border>
      <left/>
      <right/>
      <top/>
      <bottom style="hair">
        <color indexed="64"/>
      </bottom>
      <diagonal/>
    </border>
  </borders>
  <cellStyleXfs count="14">
    <xf numFmtId="0" fontId="0" fillId="0" borderId="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7"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1" fillId="0" borderId="0"/>
    <xf numFmtId="0" fontId="6" fillId="0" borderId="0"/>
    <xf numFmtId="0" fontId="4" fillId="0" borderId="0"/>
    <xf numFmtId="9" fontId="4" fillId="0" borderId="0" applyFont="0" applyFill="0" applyBorder="0" applyAlignment="0" applyProtection="0"/>
    <xf numFmtId="0" fontId="1" fillId="0" borderId="0"/>
  </cellStyleXfs>
  <cellXfs count="1097">
    <xf numFmtId="0" fontId="0" fillId="0" borderId="0" xfId="0"/>
    <xf numFmtId="0" fontId="2" fillId="0" borderId="0" xfId="7" applyFont="1" applyFill="1" applyBorder="1"/>
    <xf numFmtId="0" fontId="5" fillId="0" borderId="0" xfId="7" applyNumberFormat="1" applyFont="1" applyFill="1" applyBorder="1" applyAlignment="1">
      <alignment vertical="center" wrapText="1"/>
    </xf>
    <xf numFmtId="0" fontId="8" fillId="0" borderId="0" xfId="0" applyFont="1" applyFill="1" applyBorder="1" applyAlignment="1">
      <alignment wrapText="1"/>
    </xf>
    <xf numFmtId="0" fontId="8" fillId="0" borderId="0" xfId="0" applyFont="1" applyFill="1" applyBorder="1"/>
    <xf numFmtId="0" fontId="8" fillId="0" borderId="0" xfId="0" applyFont="1"/>
    <xf numFmtId="0" fontId="10" fillId="0" borderId="0" xfId="0" applyFont="1"/>
    <xf numFmtId="0" fontId="8" fillId="0" borderId="0" xfId="0" applyFont="1" applyAlignment="1">
      <alignment horizontal="right"/>
    </xf>
    <xf numFmtId="0" fontId="8" fillId="0" borderId="0" xfId="0" applyFont="1" applyFill="1" applyBorder="1" applyAlignment="1">
      <alignment horizontal="center"/>
    </xf>
    <xf numFmtId="0" fontId="8" fillId="0" borderId="0" xfId="0" applyFont="1" applyFill="1" applyBorder="1" applyAlignment="1">
      <alignment horizontal="center" vertical="center"/>
    </xf>
    <xf numFmtId="0" fontId="8" fillId="0" borderId="0" xfId="0" applyFont="1" applyBorder="1"/>
    <xf numFmtId="0" fontId="8" fillId="0" borderId="0" xfId="0" applyFont="1" applyFill="1"/>
    <xf numFmtId="0" fontId="8" fillId="0" borderId="0" xfId="0" applyFont="1" applyBorder="1" applyAlignment="1">
      <alignment horizontal="center"/>
    </xf>
    <xf numFmtId="164" fontId="10" fillId="0" borderId="0" xfId="2" applyNumberFormat="1" applyFont="1" applyFill="1" applyBorder="1" applyAlignment="1">
      <alignment horizontal="left" vertical="center"/>
    </xf>
    <xf numFmtId="0" fontId="10" fillId="0" borderId="0" xfId="0" applyFont="1" applyBorder="1"/>
    <xf numFmtId="164" fontId="10" fillId="0" borderId="0" xfId="2" applyNumberFormat="1" applyFont="1" applyFill="1" applyBorder="1" applyAlignment="1">
      <alignment horizontal="center" vertical="center"/>
    </xf>
    <xf numFmtId="0" fontId="8" fillId="0" borderId="0" xfId="0" applyFont="1" applyAlignment="1">
      <alignment horizontal="center"/>
    </xf>
    <xf numFmtId="0" fontId="10" fillId="0" borderId="0" xfId="6" applyNumberFormat="1" applyFont="1" applyFill="1" applyBorder="1" applyAlignment="1">
      <alignment horizontal="left" vertical="center"/>
    </xf>
    <xf numFmtId="0" fontId="8" fillId="0" borderId="0" xfId="0" applyFont="1" applyAlignment="1"/>
    <xf numFmtId="0" fontId="10" fillId="0" borderId="0" xfId="0" applyFont="1" applyAlignment="1">
      <alignment horizontal="center" vertical="center"/>
    </xf>
    <xf numFmtId="0" fontId="8" fillId="0" borderId="0" xfId="0" applyFont="1" applyAlignment="1">
      <alignment horizontal="center" vertical="center"/>
    </xf>
    <xf numFmtId="0" fontId="10" fillId="0" borderId="0" xfId="0" applyFont="1" applyAlignment="1">
      <alignment horizontal="center"/>
    </xf>
    <xf numFmtId="0" fontId="10" fillId="0" borderId="0" xfId="0" applyFont="1" applyFill="1"/>
    <xf numFmtId="0" fontId="8" fillId="0" borderId="0" xfId="7" applyFont="1" applyFill="1" applyBorder="1"/>
    <xf numFmtId="0" fontId="10" fillId="0" borderId="0" xfId="7" applyNumberFormat="1" applyFont="1" applyFill="1" applyBorder="1" applyAlignment="1">
      <alignment vertical="center" wrapText="1"/>
    </xf>
    <xf numFmtId="0" fontId="10" fillId="0" borderId="0" xfId="7" applyFont="1" applyFill="1" applyBorder="1"/>
    <xf numFmtId="0" fontId="8" fillId="0" borderId="0" xfId="0" applyFont="1" applyBorder="1" applyAlignment="1">
      <alignment horizontal="center" vertical="center"/>
    </xf>
    <xf numFmtId="0" fontId="10" fillId="0" borderId="0" xfId="0" applyFont="1" applyAlignment="1">
      <alignment horizontal="left"/>
    </xf>
    <xf numFmtId="0" fontId="10" fillId="0" borderId="0" xfId="0" applyFont="1" applyFill="1" applyBorder="1" applyAlignment="1">
      <alignment horizontal="center" wrapText="1"/>
    </xf>
    <xf numFmtId="0" fontId="10" fillId="0" borderId="0" xfId="0" applyFont="1" applyFill="1" applyBorder="1" applyAlignment="1">
      <alignment horizontal="left" vertical="center" wrapText="1"/>
    </xf>
    <xf numFmtId="0" fontId="8" fillId="0" borderId="0" xfId="0" applyFont="1" applyFill="1" applyBorder="1" applyAlignment="1">
      <alignment vertical="center"/>
    </xf>
    <xf numFmtId="0" fontId="8" fillId="0" borderId="0" xfId="0" applyFont="1" applyFill="1" applyBorder="1" applyAlignment="1" applyProtection="1">
      <alignment vertical="center"/>
      <protection locked="0"/>
    </xf>
    <xf numFmtId="0" fontId="8" fillId="0" borderId="0" xfId="0" applyFont="1" applyFill="1" applyBorder="1" applyAlignment="1"/>
    <xf numFmtId="0" fontId="8" fillId="0" borderId="0" xfId="0" applyFont="1" applyFill="1" applyBorder="1" applyAlignment="1" applyProtection="1">
      <protection locked="0"/>
    </xf>
    <xf numFmtId="0" fontId="8" fillId="0" borderId="0" xfId="0" applyFont="1" applyFill="1" applyBorder="1" applyAlignment="1" applyProtection="1">
      <alignment horizontal="center"/>
      <protection locked="0"/>
    </xf>
    <xf numFmtId="0" fontId="8" fillId="0" borderId="1" xfId="0" applyFont="1" applyFill="1" applyBorder="1" applyAlignment="1">
      <alignment vertical="center" wrapText="1"/>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15" fillId="0" borderId="0" xfId="0" applyFont="1" applyFill="1" applyBorder="1" applyAlignment="1">
      <alignment horizontal="right" vertical="center"/>
    </xf>
    <xf numFmtId="49" fontId="15" fillId="0" borderId="3" xfId="0" applyNumberFormat="1" applyFont="1" applyFill="1" applyBorder="1" applyAlignment="1">
      <alignment horizontal="right" vertical="center"/>
    </xf>
    <xf numFmtId="41" fontId="10" fillId="0" borderId="0" xfId="0" applyNumberFormat="1" applyFont="1" applyFill="1" applyBorder="1"/>
    <xf numFmtId="0" fontId="17" fillId="0" borderId="0" xfId="0" applyFont="1" applyAlignment="1">
      <alignment horizontal="right"/>
    </xf>
    <xf numFmtId="0" fontId="8" fillId="0" borderId="0" xfId="0" applyFont="1" applyAlignment="1">
      <alignment horizontal="left"/>
    </xf>
    <xf numFmtId="0" fontId="8" fillId="0" borderId="4" xfId="0" applyFont="1" applyFill="1" applyBorder="1" applyAlignment="1" applyProtection="1">
      <alignment horizontal="left" vertical="center"/>
      <protection locked="0"/>
    </xf>
    <xf numFmtId="0" fontId="8" fillId="0" borderId="5" xfId="0" applyFont="1" applyFill="1" applyBorder="1" applyAlignment="1" applyProtection="1">
      <alignment horizontal="left" vertical="center"/>
      <protection locked="0"/>
    </xf>
    <xf numFmtId="166" fontId="8" fillId="0" borderId="5" xfId="0" applyNumberFormat="1" applyFont="1" applyFill="1" applyBorder="1" applyAlignment="1" applyProtection="1">
      <alignment horizontal="left" vertical="center"/>
      <protection locked="0"/>
    </xf>
    <xf numFmtId="0" fontId="8" fillId="0" borderId="5" xfId="0" applyFont="1" applyFill="1" applyBorder="1" applyAlignment="1">
      <alignment horizontal="left" vertical="center"/>
    </xf>
    <xf numFmtId="0" fontId="15" fillId="0" borderId="5" xfId="0" applyFont="1" applyFill="1" applyBorder="1" applyAlignment="1" applyProtection="1">
      <alignment horizontal="left" vertical="center"/>
      <protection locked="0"/>
    </xf>
    <xf numFmtId="0" fontId="10" fillId="0" borderId="0" xfId="0" applyFont="1" applyFill="1" applyBorder="1"/>
    <xf numFmtId="0" fontId="10" fillId="0" borderId="1" xfId="0" applyFont="1" applyBorder="1"/>
    <xf numFmtId="0" fontId="15" fillId="0" borderId="0" xfId="0" applyFont="1" applyFill="1" applyBorder="1"/>
    <xf numFmtId="0" fontId="11" fillId="0" borderId="0" xfId="0" applyFont="1" applyAlignment="1">
      <alignment vertical="center"/>
    </xf>
    <xf numFmtId="0" fontId="8" fillId="0" borderId="0" xfId="0" applyFont="1" applyFill="1" applyBorder="1" applyAlignment="1">
      <alignment horizontal="left"/>
    </xf>
    <xf numFmtId="0" fontId="10" fillId="0" borderId="0" xfId="0" applyFont="1" applyBorder="1" applyAlignment="1">
      <alignment horizontal="center" vertical="center" wrapText="1"/>
    </xf>
    <xf numFmtId="0" fontId="8" fillId="0" borderId="0" xfId="0" applyFont="1" applyFill="1" applyBorder="1" applyAlignment="1">
      <alignment vertical="top"/>
    </xf>
    <xf numFmtId="164" fontId="16" fillId="0" borderId="0" xfId="2" applyNumberFormat="1" applyFont="1" applyFill="1" applyBorder="1" applyAlignment="1">
      <alignment vertical="center"/>
    </xf>
    <xf numFmtId="0" fontId="8" fillId="0" borderId="0" xfId="0" applyFont="1" applyBorder="1" applyAlignment="1">
      <alignment horizontal="center" vertical="top"/>
    </xf>
    <xf numFmtId="0" fontId="8" fillId="0" borderId="0" xfId="0" applyFont="1" applyBorder="1" applyAlignment="1">
      <alignment vertical="top"/>
    </xf>
    <xf numFmtId="0" fontId="8" fillId="0" borderId="0" xfId="0" applyFont="1" applyBorder="1" applyAlignment="1">
      <alignment horizontal="center" vertical="top" wrapText="1"/>
    </xf>
    <xf numFmtId="0" fontId="8" fillId="0" borderId="1" xfId="0" applyFont="1" applyBorder="1"/>
    <xf numFmtId="0" fontId="10" fillId="0" borderId="3" xfId="0" applyFont="1" applyBorder="1" applyAlignment="1">
      <alignment horizontal="center" vertical="center"/>
    </xf>
    <xf numFmtId="0" fontId="15" fillId="0" borderId="0" xfId="0" applyFont="1" applyBorder="1" applyAlignment="1"/>
    <xf numFmtId="0" fontId="15" fillId="0" borderId="1" xfId="0" applyFont="1" applyBorder="1" applyAlignment="1"/>
    <xf numFmtId="0" fontId="15" fillId="0" borderId="1" xfId="0" applyFont="1" applyBorder="1"/>
    <xf numFmtId="0" fontId="16" fillId="0" borderId="0" xfId="0" applyFont="1" applyFill="1" applyBorder="1"/>
    <xf numFmtId="0" fontId="16" fillId="0" borderId="1" xfId="0" applyFont="1" applyBorder="1"/>
    <xf numFmtId="0" fontId="15" fillId="0" borderId="0" xfId="0" applyFont="1" applyFill="1" applyBorder="1" applyAlignment="1">
      <alignment horizontal="left"/>
    </xf>
    <xf numFmtId="0" fontId="16" fillId="0" borderId="1" xfId="0" applyFont="1" applyBorder="1" applyAlignment="1">
      <alignment horizontal="left"/>
    </xf>
    <xf numFmtId="0" fontId="16" fillId="0" borderId="0" xfId="0" applyFont="1" applyFill="1" applyBorder="1" applyAlignment="1">
      <alignment horizontal="left"/>
    </xf>
    <xf numFmtId="0" fontId="10" fillId="0" borderId="1" xfId="0" applyFont="1" applyBorder="1" applyAlignment="1"/>
    <xf numFmtId="164" fontId="16" fillId="0" borderId="1" xfId="1" applyNumberFormat="1" applyFont="1" applyBorder="1" applyAlignment="1">
      <alignment horizontal="right"/>
    </xf>
    <xf numFmtId="164" fontId="8" fillId="0" borderId="1" xfId="1" applyNumberFormat="1" applyFont="1" applyBorder="1" applyAlignment="1">
      <alignment horizontal="right"/>
    </xf>
    <xf numFmtId="164" fontId="15" fillId="0" borderId="1" xfId="1" applyNumberFormat="1" applyFont="1" applyBorder="1" applyAlignment="1">
      <alignment horizontal="right"/>
    </xf>
    <xf numFmtId="164" fontId="16" fillId="0" borderId="5" xfId="1" applyNumberFormat="1" applyFont="1" applyBorder="1" applyAlignment="1">
      <alignment horizontal="right"/>
    </xf>
    <xf numFmtId="164" fontId="8" fillId="0" borderId="5" xfId="1" applyNumberFormat="1" applyFont="1" applyBorder="1" applyAlignment="1">
      <alignment horizontal="right"/>
    </xf>
    <xf numFmtId="164" fontId="15" fillId="0" borderId="5" xfId="1" applyNumberFormat="1" applyFont="1" applyBorder="1" applyAlignment="1">
      <alignment horizontal="right"/>
    </xf>
    <xf numFmtId="0" fontId="11" fillId="0" borderId="0" xfId="0" applyFont="1"/>
    <xf numFmtId="0" fontId="9" fillId="0" borderId="0" xfId="0" applyFont="1" applyAlignment="1">
      <alignment horizontal="left" vertical="center"/>
    </xf>
    <xf numFmtId="0" fontId="10" fillId="0" borderId="0" xfId="0" applyFont="1" applyBorder="1" applyAlignment="1">
      <alignment horizontal="center" vertical="center"/>
    </xf>
    <xf numFmtId="0" fontId="8" fillId="0" borderId="0" xfId="0" applyFont="1" applyBorder="1" applyAlignment="1">
      <alignment vertical="center"/>
    </xf>
    <xf numFmtId="0" fontId="8" fillId="0" borderId="0" xfId="0" applyFont="1" applyFill="1" applyBorder="1" applyAlignment="1">
      <alignment horizontal="center" vertical="top"/>
    </xf>
    <xf numFmtId="0" fontId="16" fillId="0" borderId="0" xfId="0" applyFont="1" applyBorder="1"/>
    <xf numFmtId="0" fontId="15" fillId="0" borderId="0" xfId="0" applyFont="1" applyBorder="1"/>
    <xf numFmtId="0" fontId="8" fillId="0" borderId="6" xfId="0" applyFont="1" applyFill="1" applyBorder="1"/>
    <xf numFmtId="0" fontId="15" fillId="0" borderId="1" xfId="0" applyFont="1" applyFill="1" applyBorder="1"/>
    <xf numFmtId="164" fontId="15" fillId="0" borderId="1" xfId="1" applyNumberFormat="1" applyFont="1" applyFill="1" applyBorder="1" applyAlignment="1">
      <alignment horizontal="right"/>
    </xf>
    <xf numFmtId="164" fontId="15" fillId="0" borderId="5" xfId="1" applyNumberFormat="1" applyFont="1" applyFill="1" applyBorder="1" applyAlignment="1">
      <alignment horizontal="right"/>
    </xf>
    <xf numFmtId="164" fontId="15" fillId="0" borderId="7" xfId="1" applyNumberFormat="1" applyFont="1" applyFill="1" applyBorder="1" applyAlignment="1">
      <alignment horizontal="right"/>
    </xf>
    <xf numFmtId="164" fontId="15" fillId="0" borderId="8" xfId="1" applyNumberFormat="1" applyFont="1" applyFill="1" applyBorder="1" applyAlignment="1">
      <alignment horizontal="right"/>
    </xf>
    <xf numFmtId="164" fontId="8" fillId="0" borderId="6" xfId="1" applyNumberFormat="1" applyFont="1" applyFill="1" applyBorder="1" applyAlignment="1">
      <alignment horizontal="right"/>
    </xf>
    <xf numFmtId="0" fontId="9" fillId="0" borderId="0" xfId="0" applyFont="1" applyBorder="1" applyAlignment="1">
      <alignment horizontal="left" vertical="center"/>
    </xf>
    <xf numFmtId="164" fontId="8" fillId="0" borderId="1" xfId="1" applyNumberFormat="1" applyFont="1" applyBorder="1" applyAlignment="1">
      <alignment horizontal="right" vertical="center"/>
    </xf>
    <xf numFmtId="164" fontId="8" fillId="0" borderId="5" xfId="1" applyNumberFormat="1" applyFont="1" applyBorder="1" applyAlignment="1">
      <alignment horizontal="right" vertical="center"/>
    </xf>
    <xf numFmtId="0" fontId="16" fillId="0" borderId="0" xfId="0" applyFont="1" applyFill="1" applyBorder="1" applyAlignment="1">
      <alignment vertical="center"/>
    </xf>
    <xf numFmtId="0" fontId="10" fillId="0" borderId="1" xfId="0" applyFont="1" applyFill="1" applyBorder="1" applyAlignment="1">
      <alignment vertical="center"/>
    </xf>
    <xf numFmtId="0" fontId="8" fillId="0" borderId="0" xfId="0" applyFont="1" applyFill="1" applyBorder="1" applyAlignment="1" applyProtection="1">
      <alignment horizontal="left"/>
    </xf>
    <xf numFmtId="0" fontId="8" fillId="0" borderId="0" xfId="0" applyFont="1" applyFill="1" applyBorder="1" applyProtection="1"/>
    <xf numFmtId="0" fontId="8" fillId="0" borderId="0" xfId="0" applyFont="1" applyProtection="1"/>
    <xf numFmtId="0" fontId="8" fillId="0" borderId="0" xfId="0" applyFont="1" applyBorder="1" applyProtection="1"/>
    <xf numFmtId="0" fontId="10" fillId="0" borderId="0" xfId="0" applyFont="1" applyProtection="1"/>
    <xf numFmtId="0" fontId="9" fillId="0" borderId="0" xfId="0" applyFont="1" applyBorder="1" applyAlignment="1" applyProtection="1">
      <alignment vertical="center"/>
    </xf>
    <xf numFmtId="0" fontId="11" fillId="0" borderId="0" xfId="0" applyFont="1" applyAlignment="1" applyProtection="1">
      <alignment vertical="center"/>
    </xf>
    <xf numFmtId="0" fontId="8" fillId="0" borderId="0" xfId="0" applyFont="1" applyFill="1" applyBorder="1" applyAlignment="1" applyProtection="1">
      <alignment horizontal="center" vertical="top"/>
    </xf>
    <xf numFmtId="0" fontId="8" fillId="0" borderId="0" xfId="0" applyFont="1" applyBorder="1" applyAlignment="1" applyProtection="1">
      <alignment horizontal="center"/>
    </xf>
    <xf numFmtId="0" fontId="8" fillId="0" borderId="0" xfId="0" applyFont="1" applyBorder="1" applyAlignment="1" applyProtection="1">
      <alignment vertical="center"/>
    </xf>
    <xf numFmtId="0" fontId="10" fillId="0" borderId="0" xfId="0" applyFont="1" applyBorder="1" applyAlignment="1" applyProtection="1">
      <alignment horizontal="center" vertical="center" wrapText="1"/>
    </xf>
    <xf numFmtId="0" fontId="10" fillId="0" borderId="0" xfId="0" applyFont="1" applyBorder="1" applyProtection="1"/>
    <xf numFmtId="0" fontId="10" fillId="0" borderId="0" xfId="0" applyFont="1" applyBorder="1" applyAlignment="1" applyProtection="1">
      <alignment vertical="center"/>
    </xf>
    <xf numFmtId="164" fontId="10" fillId="0" borderId="1" xfId="1" applyNumberFormat="1" applyFont="1" applyBorder="1" applyAlignment="1" applyProtection="1">
      <alignment horizontal="right" vertical="center"/>
    </xf>
    <xf numFmtId="164" fontId="10" fillId="0" borderId="5" xfId="1" applyNumberFormat="1" applyFont="1" applyBorder="1" applyAlignment="1" applyProtection="1">
      <alignment horizontal="right" vertical="center"/>
    </xf>
    <xf numFmtId="0" fontId="15" fillId="0" borderId="0" xfId="0" applyFont="1" applyBorder="1" applyAlignment="1" applyProtection="1">
      <alignment vertical="center"/>
    </xf>
    <xf numFmtId="0" fontId="15" fillId="0" borderId="1" xfId="0" applyFont="1" applyFill="1" applyBorder="1" applyAlignment="1" applyProtection="1">
      <alignment vertical="center"/>
    </xf>
    <xf numFmtId="0" fontId="15" fillId="0" borderId="0" xfId="0" applyFont="1" applyFill="1" applyBorder="1" applyAlignment="1" applyProtection="1">
      <alignment vertical="center"/>
    </xf>
    <xf numFmtId="0" fontId="10" fillId="0" borderId="1" xfId="9" applyFont="1" applyFill="1" applyBorder="1" applyAlignment="1" applyProtection="1">
      <alignment vertical="center"/>
    </xf>
    <xf numFmtId="0" fontId="16" fillId="0" borderId="0" xfId="0" applyFont="1" applyFill="1" applyBorder="1" applyAlignment="1" applyProtection="1">
      <alignment vertical="center"/>
    </xf>
    <xf numFmtId="0" fontId="16" fillId="0" borderId="0" xfId="0" applyFont="1" applyBorder="1" applyAlignment="1" applyProtection="1">
      <alignment vertical="center"/>
    </xf>
    <xf numFmtId="0" fontId="15" fillId="0" borderId="1" xfId="0" applyFont="1" applyBorder="1" applyAlignment="1" applyProtection="1">
      <alignment vertical="center"/>
    </xf>
    <xf numFmtId="164" fontId="15" fillId="0" borderId="1" xfId="1" applyNumberFormat="1" applyFont="1" applyBorder="1" applyAlignment="1" applyProtection="1">
      <alignment horizontal="right" vertical="center"/>
    </xf>
    <xf numFmtId="164" fontId="15" fillId="0" borderId="5" xfId="1" applyNumberFormat="1" applyFont="1" applyBorder="1" applyAlignment="1" applyProtection="1">
      <alignment horizontal="right" vertical="center"/>
    </xf>
    <xf numFmtId="0" fontId="8" fillId="0" borderId="0" xfId="0" applyFont="1" applyFill="1" applyBorder="1" applyAlignment="1" applyProtection="1">
      <alignment vertical="center"/>
    </xf>
    <xf numFmtId="164" fontId="10" fillId="0" borderId="6" xfId="2" applyNumberFormat="1" applyFont="1" applyFill="1" applyBorder="1" applyAlignment="1" applyProtection="1">
      <alignment horizontal="left" vertical="center"/>
    </xf>
    <xf numFmtId="41" fontId="10" fillId="0" borderId="6" xfId="0" applyNumberFormat="1" applyFont="1" applyFill="1" applyBorder="1" applyProtection="1"/>
    <xf numFmtId="0" fontId="10" fillId="0" borderId="1" xfId="0" applyFont="1" applyFill="1" applyBorder="1" applyAlignment="1" applyProtection="1">
      <alignment vertical="center"/>
    </xf>
    <xf numFmtId="164" fontId="10" fillId="0" borderId="1" xfId="1" applyNumberFormat="1" applyFont="1" applyFill="1" applyBorder="1" applyAlignment="1" applyProtection="1">
      <alignment horizontal="right" vertical="center"/>
    </xf>
    <xf numFmtId="164" fontId="10" fillId="0" borderId="5" xfId="1" applyNumberFormat="1" applyFont="1" applyFill="1" applyBorder="1" applyAlignment="1" applyProtection="1">
      <alignment horizontal="right" vertical="center"/>
    </xf>
    <xf numFmtId="0" fontId="8" fillId="0" borderId="1" xfId="9" applyFont="1" applyFill="1" applyBorder="1" applyAlignment="1" applyProtection="1">
      <alignment vertical="center"/>
    </xf>
    <xf numFmtId="164" fontId="8" fillId="0" borderId="1" xfId="1" applyNumberFormat="1" applyFont="1" applyBorder="1" applyAlignment="1" applyProtection="1">
      <alignment horizontal="right" vertical="center"/>
    </xf>
    <xf numFmtId="164" fontId="8" fillId="0" borderId="5" xfId="1" applyNumberFormat="1" applyFont="1" applyBorder="1" applyAlignment="1" applyProtection="1">
      <alignment horizontal="right" vertical="center"/>
    </xf>
    <xf numFmtId="164" fontId="10" fillId="0" borderId="6" xfId="2" applyNumberFormat="1" applyFont="1" applyFill="1" applyBorder="1" applyAlignment="1" applyProtection="1">
      <alignment horizontal="left" vertical="center" wrapText="1"/>
    </xf>
    <xf numFmtId="0" fontId="8" fillId="0" borderId="6" xfId="0" applyFont="1" applyBorder="1" applyProtection="1"/>
    <xf numFmtId="0" fontId="8" fillId="0" borderId="0" xfId="6" applyNumberFormat="1" applyFont="1" applyFill="1" applyBorder="1" applyAlignment="1">
      <alignment horizontal="left" vertical="center"/>
    </xf>
    <xf numFmtId="0" fontId="8" fillId="0" borderId="1" xfId="6" applyNumberFormat="1" applyFont="1" applyFill="1" applyBorder="1" applyAlignment="1">
      <alignment horizontal="left" vertical="center"/>
    </xf>
    <xf numFmtId="0" fontId="10" fillId="0" borderId="0" xfId="0" applyFont="1" applyFill="1" applyBorder="1" applyAlignment="1">
      <alignment vertical="center"/>
    </xf>
    <xf numFmtId="0" fontId="10" fillId="0" borderId="1" xfId="0" applyFont="1" applyFill="1" applyBorder="1" applyAlignment="1">
      <alignment vertical="center" wrapText="1"/>
    </xf>
    <xf numFmtId="0" fontId="8" fillId="0" borderId="0" xfId="0" applyFont="1" applyAlignment="1">
      <alignment vertical="center"/>
    </xf>
    <xf numFmtId="0" fontId="16" fillId="0" borderId="0" xfId="0" applyFont="1" applyFill="1" applyBorder="1" applyAlignment="1">
      <alignment horizontal="center" vertical="center"/>
    </xf>
    <xf numFmtId="41" fontId="10" fillId="0" borderId="0" xfId="0" applyNumberFormat="1" applyFont="1" applyFill="1" applyBorder="1" applyAlignment="1">
      <alignment vertical="center"/>
    </xf>
    <xf numFmtId="0" fontId="10" fillId="0" borderId="0" xfId="0" applyFont="1" applyFill="1" applyBorder="1" applyAlignment="1">
      <alignment vertical="center" wrapText="1"/>
    </xf>
    <xf numFmtId="0" fontId="8" fillId="0" borderId="0" xfId="0" applyFont="1" applyFill="1" applyAlignment="1">
      <alignment vertical="center"/>
    </xf>
    <xf numFmtId="0" fontId="10" fillId="0" borderId="0" xfId="0" applyFont="1" applyBorder="1" applyAlignment="1">
      <alignment horizontal="center"/>
    </xf>
    <xf numFmtId="0" fontId="8" fillId="0" borderId="0" xfId="0" applyFont="1" applyBorder="1" applyAlignment="1"/>
    <xf numFmtId="0" fontId="8" fillId="0" borderId="9" xfId="0" applyFont="1" applyBorder="1" applyAlignment="1">
      <alignment vertical="center"/>
    </xf>
    <xf numFmtId="0" fontId="10" fillId="0" borderId="0" xfId="0" applyFont="1" applyAlignment="1">
      <alignment vertical="center"/>
    </xf>
    <xf numFmtId="0" fontId="10" fillId="0" borderId="0" xfId="0" applyFont="1" applyFill="1" applyAlignment="1">
      <alignment vertical="center"/>
    </xf>
    <xf numFmtId="0" fontId="16" fillId="0" borderId="0" xfId="0" applyFont="1" applyAlignment="1">
      <alignment vertical="center"/>
    </xf>
    <xf numFmtId="0" fontId="10" fillId="0" borderId="0" xfId="0" applyFont="1" applyBorder="1" applyAlignment="1">
      <alignment vertical="center"/>
    </xf>
    <xf numFmtId="0" fontId="16" fillId="0" borderId="0" xfId="0" applyFont="1" applyBorder="1" applyAlignment="1">
      <alignment vertical="center"/>
    </xf>
    <xf numFmtId="0" fontId="8" fillId="0" borderId="1" xfId="0" applyFont="1" applyBorder="1" applyAlignment="1">
      <alignment vertical="center"/>
    </xf>
    <xf numFmtId="0" fontId="15" fillId="0" borderId="0" xfId="0" applyFont="1" applyBorder="1" applyAlignment="1">
      <alignment vertical="center"/>
    </xf>
    <xf numFmtId="0" fontId="15" fillId="0" borderId="0" xfId="0" applyFont="1" applyFill="1" applyBorder="1" applyAlignment="1">
      <alignment vertical="center"/>
    </xf>
    <xf numFmtId="0" fontId="10" fillId="0" borderId="1" xfId="6" applyNumberFormat="1" applyFont="1" applyFill="1" applyBorder="1" applyAlignment="1">
      <alignment horizontal="left" vertical="center"/>
    </xf>
    <xf numFmtId="0" fontId="15" fillId="0" borderId="1" xfId="0" applyFont="1" applyBorder="1" applyAlignment="1">
      <alignment vertical="center"/>
    </xf>
    <xf numFmtId="164" fontId="10" fillId="0" borderId="1" xfId="1" applyNumberFormat="1" applyFont="1" applyFill="1" applyBorder="1" applyAlignment="1">
      <alignment vertical="center"/>
    </xf>
    <xf numFmtId="164" fontId="15" fillId="0" borderId="1" xfId="1" applyNumberFormat="1" applyFont="1" applyBorder="1" applyAlignment="1">
      <alignment vertical="center"/>
    </xf>
    <xf numFmtId="164" fontId="15" fillId="0" borderId="1" xfId="1" applyNumberFormat="1" applyFont="1" applyBorder="1" applyAlignment="1">
      <alignment horizontal="right" vertical="center"/>
    </xf>
    <xf numFmtId="164" fontId="16" fillId="0" borderId="1" xfId="1" applyNumberFormat="1" applyFont="1" applyBorder="1" applyAlignment="1">
      <alignment horizontal="right" vertical="center"/>
    </xf>
    <xf numFmtId="0" fontId="9" fillId="0" borderId="0" xfId="0" applyFont="1" applyBorder="1" applyAlignment="1">
      <alignment horizontal="left"/>
    </xf>
    <xf numFmtId="0" fontId="8" fillId="0" borderId="0" xfId="0" applyFont="1" applyAlignment="1">
      <alignment horizontal="left" vertical="center"/>
    </xf>
    <xf numFmtId="0" fontId="8" fillId="0" borderId="0" xfId="0" applyFont="1" applyFill="1" applyBorder="1" applyAlignment="1">
      <alignment horizontal="left" vertical="center"/>
    </xf>
    <xf numFmtId="0" fontId="16" fillId="0" borderId="0" xfId="0" applyFont="1" applyFill="1" applyAlignment="1">
      <alignment vertical="center"/>
    </xf>
    <xf numFmtId="0" fontId="9" fillId="0" borderId="0" xfId="0" applyFont="1" applyAlignment="1">
      <alignment vertical="center"/>
    </xf>
    <xf numFmtId="0" fontId="8" fillId="0" borderId="0" xfId="0" applyFont="1" applyBorder="1" applyAlignment="1">
      <alignment horizontal="center" vertical="center" wrapText="1"/>
    </xf>
    <xf numFmtId="0" fontId="8" fillId="0" borderId="1" xfId="0" applyFont="1" applyFill="1" applyBorder="1" applyAlignment="1">
      <alignment vertical="center"/>
    </xf>
    <xf numFmtId="0" fontId="10" fillId="0" borderId="1" xfId="9" applyFont="1" applyFill="1" applyBorder="1" applyAlignment="1">
      <alignment vertical="center"/>
    </xf>
    <xf numFmtId="0" fontId="8" fillId="0" borderId="1" xfId="9" applyFont="1" applyFill="1" applyBorder="1" applyAlignment="1">
      <alignment vertical="center"/>
    </xf>
    <xf numFmtId="0" fontId="15" fillId="0" borderId="0" xfId="0" applyFont="1" applyFill="1" applyAlignment="1">
      <alignment vertical="center"/>
    </xf>
    <xf numFmtId="0" fontId="15" fillId="0" borderId="1" xfId="0" applyFont="1" applyFill="1" applyBorder="1" applyAlignment="1">
      <alignment vertical="center"/>
    </xf>
    <xf numFmtId="0" fontId="15" fillId="0" borderId="0" xfId="0" applyFont="1" applyAlignment="1">
      <alignment vertical="center"/>
    </xf>
    <xf numFmtId="0" fontId="16" fillId="0" borderId="1" xfId="0" applyFont="1" applyFill="1" applyBorder="1" applyAlignment="1">
      <alignment vertical="center"/>
    </xf>
    <xf numFmtId="164" fontId="10" fillId="0" borderId="5" xfId="1" applyNumberFormat="1" applyFont="1" applyFill="1" applyBorder="1" applyAlignment="1">
      <alignment vertical="center"/>
    </xf>
    <xf numFmtId="164" fontId="8" fillId="0" borderId="1" xfId="1" applyNumberFormat="1" applyFont="1" applyBorder="1" applyAlignment="1">
      <alignment vertical="center"/>
    </xf>
    <xf numFmtId="164" fontId="8" fillId="0" borderId="5" xfId="1" applyNumberFormat="1" applyFont="1" applyBorder="1" applyAlignment="1">
      <alignment vertical="center"/>
    </xf>
    <xf numFmtId="164" fontId="15" fillId="0" borderId="5" xfId="1" applyNumberFormat="1" applyFont="1" applyBorder="1" applyAlignment="1">
      <alignment vertical="center"/>
    </xf>
    <xf numFmtId="164" fontId="15" fillId="0" borderId="1" xfId="1" applyNumberFormat="1" applyFont="1" applyFill="1" applyBorder="1" applyAlignment="1">
      <alignment horizontal="right" vertical="center"/>
    </xf>
    <xf numFmtId="164" fontId="15" fillId="0" borderId="5" xfId="1" applyNumberFormat="1" applyFont="1" applyFill="1" applyBorder="1" applyAlignment="1">
      <alignment horizontal="right" vertical="center"/>
    </xf>
    <xf numFmtId="164" fontId="15" fillId="0" borderId="5" xfId="1" applyNumberFormat="1" applyFont="1" applyBorder="1" applyAlignment="1">
      <alignment horizontal="right" vertical="center"/>
    </xf>
    <xf numFmtId="0" fontId="8" fillId="0" borderId="6" xfId="0" applyFont="1" applyBorder="1" applyAlignment="1">
      <alignment vertical="center"/>
    </xf>
    <xf numFmtId="0" fontId="15" fillId="0" borderId="0" xfId="0" applyFont="1"/>
    <xf numFmtId="3" fontId="8" fillId="0" borderId="0" xfId="11" applyNumberFormat="1" applyFont="1" applyBorder="1" applyAlignment="1">
      <alignment horizontal="left" vertical="center"/>
    </xf>
    <xf numFmtId="41" fontId="8" fillId="0" borderId="0" xfId="0" applyNumberFormat="1" applyFont="1" applyFill="1" applyBorder="1"/>
    <xf numFmtId="0" fontId="9" fillId="0" borderId="0" xfId="0" applyFont="1" applyAlignment="1">
      <alignment horizontal="left"/>
    </xf>
    <xf numFmtId="0" fontId="8" fillId="0" borderId="0" xfId="6" applyNumberFormat="1" applyFont="1" applyFill="1" applyBorder="1" applyAlignment="1">
      <alignment horizontal="center" vertical="center" wrapText="1"/>
    </xf>
    <xf numFmtId="0" fontId="8" fillId="0" borderId="0" xfId="0" applyFont="1" applyAlignment="1">
      <alignment vertical="top"/>
    </xf>
    <xf numFmtId="37" fontId="8" fillId="0" borderId="0" xfId="11" applyNumberFormat="1" applyFont="1" applyAlignment="1">
      <alignment horizontal="center" vertical="top" wrapText="1"/>
    </xf>
    <xf numFmtId="3" fontId="8" fillId="0" borderId="1" xfId="11" applyNumberFormat="1" applyFont="1" applyBorder="1" applyAlignment="1">
      <alignment horizontal="left" vertical="center"/>
    </xf>
    <xf numFmtId="164" fontId="10" fillId="0" borderId="1" xfId="1" applyNumberFormat="1" applyFont="1" applyFill="1" applyBorder="1" applyAlignment="1">
      <alignment horizontal="right"/>
    </xf>
    <xf numFmtId="164" fontId="10" fillId="0" borderId="5" xfId="1" applyNumberFormat="1" applyFont="1" applyFill="1" applyBorder="1" applyAlignment="1">
      <alignment horizontal="right"/>
    </xf>
    <xf numFmtId="0" fontId="9" fillId="0" borderId="0" xfId="0" applyFont="1"/>
    <xf numFmtId="0" fontId="15" fillId="0" borderId="0" xfId="0" applyFont="1" applyFill="1"/>
    <xf numFmtId="0" fontId="10" fillId="0" borderId="1" xfId="0" applyFont="1" applyFill="1" applyBorder="1"/>
    <xf numFmtId="0" fontId="8" fillId="0" borderId="1" xfId="0" applyFont="1" applyFill="1" applyBorder="1"/>
    <xf numFmtId="164" fontId="8" fillId="0" borderId="1" xfId="1" applyNumberFormat="1" applyFont="1" applyFill="1" applyBorder="1" applyAlignment="1">
      <alignment horizontal="right"/>
    </xf>
    <xf numFmtId="164" fontId="8" fillId="0" borderId="5" xfId="1" applyNumberFormat="1" applyFont="1" applyFill="1" applyBorder="1" applyAlignment="1">
      <alignment horizontal="right"/>
    </xf>
    <xf numFmtId="0" fontId="9" fillId="0" borderId="0" xfId="0" applyFont="1" applyBorder="1" applyAlignment="1"/>
    <xf numFmtId="0" fontId="15" fillId="0" borderId="1" xfId="9" applyFont="1" applyFill="1" applyBorder="1"/>
    <xf numFmtId="0" fontId="8" fillId="0" borderId="1" xfId="9" applyFont="1" applyFill="1" applyBorder="1"/>
    <xf numFmtId="0" fontId="15" fillId="0" borderId="1" xfId="6" applyNumberFormat="1" applyFont="1" applyFill="1" applyBorder="1" applyAlignment="1">
      <alignment horizontal="left" vertical="center"/>
    </xf>
    <xf numFmtId="0" fontId="8" fillId="0" borderId="0" xfId="6" applyNumberFormat="1" applyFont="1" applyFill="1" applyBorder="1" applyAlignment="1">
      <alignment horizontal="center" vertical="center"/>
    </xf>
    <xf numFmtId="164" fontId="16" fillId="0" borderId="1" xfId="1" applyNumberFormat="1" applyFont="1" applyFill="1" applyBorder="1" applyAlignment="1">
      <alignment horizontal="right"/>
    </xf>
    <xf numFmtId="164" fontId="16" fillId="0" borderId="5" xfId="1" applyNumberFormat="1" applyFont="1" applyFill="1" applyBorder="1" applyAlignment="1">
      <alignment horizontal="right"/>
    </xf>
    <xf numFmtId="0" fontId="8" fillId="0" borderId="0" xfId="0" applyFont="1" applyAlignment="1">
      <alignment horizontal="right" vertical="center"/>
    </xf>
    <xf numFmtId="167" fontId="8" fillId="0" borderId="0" xfId="0" applyNumberFormat="1" applyFont="1" applyFill="1" applyBorder="1" applyAlignment="1">
      <alignment vertical="center"/>
    </xf>
    <xf numFmtId="0" fontId="15" fillId="0" borderId="0" xfId="0" applyFont="1" applyBorder="1" applyAlignment="1">
      <alignment horizontal="right" vertical="center"/>
    </xf>
    <xf numFmtId="164" fontId="10" fillId="0" borderId="0" xfId="1" applyNumberFormat="1" applyFont="1" applyFill="1" applyBorder="1" applyAlignment="1">
      <alignment horizontal="right" vertical="center"/>
    </xf>
    <xf numFmtId="0" fontId="10" fillId="0" borderId="0" xfId="7" applyNumberFormat="1" applyFont="1" applyFill="1" applyBorder="1" applyAlignment="1">
      <alignment horizontal="left" vertical="center" wrapText="1"/>
    </xf>
    <xf numFmtId="0" fontId="22" fillId="0" borderId="0" xfId="0" applyFont="1" applyFill="1" applyBorder="1"/>
    <xf numFmtId="0" fontId="10" fillId="0" borderId="1" xfId="0" applyFont="1" applyFill="1" applyBorder="1" applyAlignment="1"/>
    <xf numFmtId="0" fontId="9" fillId="0" borderId="0" xfId="0" applyFont="1" applyFill="1" applyBorder="1" applyAlignment="1">
      <alignment horizontal="left" vertical="center"/>
    </xf>
    <xf numFmtId="0" fontId="15" fillId="0" borderId="7" xfId="0" applyFont="1" applyFill="1" applyBorder="1" applyAlignment="1">
      <alignment vertical="center"/>
    </xf>
    <xf numFmtId="164" fontId="16" fillId="0" borderId="5" xfId="1" applyNumberFormat="1" applyFont="1" applyBorder="1" applyAlignment="1">
      <alignment horizontal="right" vertical="center"/>
    </xf>
    <xf numFmtId="164" fontId="15" fillId="0" borderId="7" xfId="1" applyNumberFormat="1" applyFont="1" applyFill="1" applyBorder="1" applyAlignment="1">
      <alignment horizontal="right" vertical="center"/>
    </xf>
    <xf numFmtId="164" fontId="15" fillId="0" borderId="8" xfId="1" applyNumberFormat="1" applyFont="1" applyFill="1" applyBorder="1" applyAlignment="1">
      <alignment horizontal="right" vertical="center"/>
    </xf>
    <xf numFmtId="0" fontId="10" fillId="0" borderId="6" xfId="0" applyFont="1" applyFill="1" applyBorder="1" applyAlignment="1">
      <alignment horizontal="center" vertical="center"/>
    </xf>
    <xf numFmtId="0" fontId="8" fillId="0" borderId="6" xfId="0" applyFont="1" applyFill="1" applyBorder="1" applyAlignment="1">
      <alignment vertical="center"/>
    </xf>
    <xf numFmtId="0" fontId="9" fillId="0" borderId="0" xfId="0" applyFont="1" applyBorder="1"/>
    <xf numFmtId="164" fontId="10" fillId="0" borderId="1" xfId="1" applyNumberFormat="1" applyFont="1" applyBorder="1" applyAlignment="1">
      <alignment horizontal="right" vertical="center"/>
    </xf>
    <xf numFmtId="164" fontId="10" fillId="0" borderId="5" xfId="1" applyNumberFormat="1" applyFont="1" applyBorder="1" applyAlignment="1">
      <alignment horizontal="right" vertical="center"/>
    </xf>
    <xf numFmtId="164" fontId="10" fillId="0" borderId="0" xfId="2" applyNumberFormat="1" applyFont="1" applyFill="1" applyBorder="1" applyAlignment="1">
      <alignment horizontal="left" vertical="center" wrapText="1"/>
    </xf>
    <xf numFmtId="43" fontId="8" fillId="0" borderId="0" xfId="0" applyNumberFormat="1" applyFont="1" applyBorder="1"/>
    <xf numFmtId="0" fontId="8" fillId="0" borderId="1" xfId="7" applyFont="1" applyFill="1" applyBorder="1"/>
    <xf numFmtId="0" fontId="10" fillId="0" borderId="0" xfId="7" applyFont="1" applyFill="1" applyBorder="1" applyAlignment="1">
      <alignment vertical="center"/>
    </xf>
    <xf numFmtId="43" fontId="10" fillId="0" borderId="0" xfId="0" applyNumberFormat="1" applyFont="1" applyFill="1" applyBorder="1" applyAlignment="1">
      <alignment vertical="center"/>
    </xf>
    <xf numFmtId="43" fontId="10" fillId="0" borderId="0" xfId="0" applyNumberFormat="1" applyFont="1" applyBorder="1" applyAlignment="1">
      <alignment vertical="center"/>
    </xf>
    <xf numFmtId="0" fontId="8" fillId="0" borderId="1" xfId="7" applyFont="1" applyFill="1" applyBorder="1" applyAlignment="1">
      <alignment vertical="center"/>
    </xf>
    <xf numFmtId="0" fontId="9" fillId="0" borderId="0" xfId="0" applyFont="1" applyFill="1" applyAlignment="1">
      <alignment vertical="center"/>
    </xf>
    <xf numFmtId="0" fontId="11" fillId="0" borderId="0" xfId="0" applyFont="1" applyFill="1" applyAlignment="1"/>
    <xf numFmtId="0" fontId="8" fillId="0" borderId="0" xfId="0" applyFont="1" applyAlignment="1">
      <alignment horizontal="center" vertical="top"/>
    </xf>
    <xf numFmtId="0" fontId="16" fillId="0" borderId="1" xfId="0" applyFont="1" applyBorder="1" applyAlignment="1">
      <alignment vertical="center"/>
    </xf>
    <xf numFmtId="0" fontId="8" fillId="0" borderId="0" xfId="7" applyFont="1" applyFill="1" applyBorder="1" applyAlignment="1">
      <alignment horizontal="left" vertical="center"/>
    </xf>
    <xf numFmtId="0" fontId="12" fillId="0" borderId="0" xfId="0" applyFont="1" applyFill="1" applyBorder="1" applyAlignment="1">
      <alignment horizontal="center"/>
    </xf>
    <xf numFmtId="0" fontId="8" fillId="0" borderId="0" xfId="0" applyFont="1" applyFill="1" applyAlignment="1">
      <alignment horizontal="left"/>
    </xf>
    <xf numFmtId="0" fontId="9" fillId="0" borderId="0" xfId="0" applyFont="1" applyFill="1" applyAlignment="1">
      <alignment horizontal="left"/>
    </xf>
    <xf numFmtId="0" fontId="8" fillId="0" borderId="0" xfId="0" applyFont="1" applyFill="1" applyAlignment="1">
      <alignment vertical="top"/>
    </xf>
    <xf numFmtId="0" fontId="10" fillId="0" borderId="0" xfId="0" applyFont="1" applyFill="1" applyBorder="1" applyAlignment="1">
      <alignment horizontal="center" vertical="top"/>
    </xf>
    <xf numFmtId="0" fontId="8" fillId="0" borderId="0" xfId="0" applyFont="1" applyFill="1" applyBorder="1" applyAlignment="1">
      <alignment horizontal="center" vertical="top" wrapText="1"/>
    </xf>
    <xf numFmtId="0" fontId="10" fillId="0" borderId="1" xfId="7" applyNumberFormat="1" applyFont="1" applyFill="1" applyBorder="1" applyAlignment="1">
      <alignment horizontal="left" vertical="center"/>
    </xf>
    <xf numFmtId="0" fontId="10" fillId="0" borderId="1" xfId="7" applyNumberFormat="1" applyFont="1" applyFill="1" applyBorder="1" applyAlignment="1">
      <alignment horizontal="left" vertical="center" wrapText="1"/>
    </xf>
    <xf numFmtId="0" fontId="10" fillId="0" borderId="1" xfId="7" applyNumberFormat="1" applyFont="1" applyFill="1" applyBorder="1" applyAlignment="1">
      <alignment vertical="center" wrapText="1"/>
    </xf>
    <xf numFmtId="0" fontId="10" fillId="0" borderId="0" xfId="0" applyFont="1" applyFill="1" applyBorder="1" applyAlignment="1">
      <alignment horizontal="center" vertical="center"/>
    </xf>
    <xf numFmtId="164" fontId="10" fillId="2" borderId="1" xfId="1" applyNumberFormat="1" applyFont="1" applyFill="1" applyBorder="1" applyAlignment="1">
      <alignment horizontal="right" vertical="center"/>
    </xf>
    <xf numFmtId="164" fontId="10" fillId="2" borderId="5" xfId="1" applyNumberFormat="1" applyFont="1" applyFill="1" applyBorder="1" applyAlignment="1">
      <alignment horizontal="right" vertical="center"/>
    </xf>
    <xf numFmtId="164" fontId="10" fillId="2" borderId="7" xfId="1" applyNumberFormat="1" applyFont="1" applyFill="1" applyBorder="1" applyAlignment="1">
      <alignment horizontal="right" vertical="center"/>
    </xf>
    <xf numFmtId="164" fontId="10" fillId="2" borderId="8" xfId="1" applyNumberFormat="1" applyFont="1" applyFill="1" applyBorder="1" applyAlignment="1">
      <alignment horizontal="right" vertical="center"/>
    </xf>
    <xf numFmtId="164" fontId="10" fillId="2" borderId="7" xfId="1" applyNumberFormat="1" applyFont="1" applyFill="1" applyBorder="1" applyAlignment="1">
      <alignment horizontal="right"/>
    </xf>
    <xf numFmtId="164" fontId="10" fillId="2" borderId="8" xfId="1" applyNumberFormat="1" applyFont="1" applyFill="1" applyBorder="1" applyAlignment="1">
      <alignment horizontal="right"/>
    </xf>
    <xf numFmtId="164" fontId="10" fillId="2" borderId="1" xfId="2" applyNumberFormat="1" applyFont="1" applyFill="1" applyBorder="1" applyAlignment="1">
      <alignment horizontal="left" vertical="center" wrapText="1"/>
    </xf>
    <xf numFmtId="164" fontId="10" fillId="2" borderId="5" xfId="1" applyNumberFormat="1" applyFont="1" applyFill="1" applyBorder="1" applyAlignment="1">
      <alignment horizontal="right"/>
    </xf>
    <xf numFmtId="164" fontId="10" fillId="2" borderId="10" xfId="1" applyNumberFormat="1" applyFont="1" applyFill="1" applyBorder="1" applyAlignment="1">
      <alignment horizontal="right"/>
    </xf>
    <xf numFmtId="164" fontId="10" fillId="2" borderId="11" xfId="1" applyNumberFormat="1" applyFont="1" applyFill="1" applyBorder="1" applyAlignment="1">
      <alignment horizontal="right"/>
    </xf>
    <xf numFmtId="164" fontId="10" fillId="2" borderId="7" xfId="1" applyNumberFormat="1" applyFont="1" applyFill="1" applyBorder="1" applyAlignment="1" applyProtection="1">
      <alignment horizontal="right" vertical="center"/>
    </xf>
    <xf numFmtId="164" fontId="10" fillId="2" borderId="8" xfId="1" applyNumberFormat="1" applyFont="1" applyFill="1" applyBorder="1" applyAlignment="1" applyProtection="1">
      <alignment horizontal="right" vertical="center"/>
    </xf>
    <xf numFmtId="164" fontId="15" fillId="2" borderId="1" xfId="1" applyNumberFormat="1" applyFont="1" applyFill="1" applyBorder="1" applyAlignment="1">
      <alignment horizontal="right" vertical="center"/>
    </xf>
    <xf numFmtId="164" fontId="15" fillId="2" borderId="5" xfId="1" applyNumberFormat="1" applyFont="1" applyFill="1" applyBorder="1" applyAlignment="1">
      <alignment horizontal="right" vertical="center"/>
    </xf>
    <xf numFmtId="164" fontId="16" fillId="2" borderId="1" xfId="1" applyNumberFormat="1" applyFont="1" applyFill="1" applyBorder="1" applyAlignment="1">
      <alignment horizontal="right" vertical="center"/>
    </xf>
    <xf numFmtId="164" fontId="16" fillId="2" borderId="5" xfId="1" applyNumberFormat="1" applyFont="1" applyFill="1" applyBorder="1" applyAlignment="1">
      <alignment horizontal="right" vertical="center"/>
    </xf>
    <xf numFmtId="3" fontId="16" fillId="2" borderId="1" xfId="11" applyNumberFormat="1" applyFont="1" applyFill="1" applyBorder="1" applyAlignment="1">
      <alignment horizontal="left" vertical="center" wrapText="1"/>
    </xf>
    <xf numFmtId="3" fontId="16" fillId="2" borderId="7" xfId="11" applyNumberFormat="1" applyFont="1" applyFill="1" applyBorder="1" applyAlignment="1">
      <alignment horizontal="left" vertical="center" wrapText="1"/>
    </xf>
    <xf numFmtId="164" fontId="16" fillId="2" borderId="7" xfId="1" applyNumberFormat="1" applyFont="1" applyFill="1" applyBorder="1" applyAlignment="1">
      <alignment horizontal="right" vertical="center"/>
    </xf>
    <xf numFmtId="164" fontId="16" fillId="2" borderId="8" xfId="1" applyNumberFormat="1" applyFont="1" applyFill="1" applyBorder="1" applyAlignment="1">
      <alignment horizontal="right" vertical="center"/>
    </xf>
    <xf numFmtId="164" fontId="8" fillId="2" borderId="1" xfId="1" applyNumberFormat="1" applyFont="1" applyFill="1" applyBorder="1" applyAlignment="1">
      <alignment horizontal="right" vertical="center"/>
    </xf>
    <xf numFmtId="164" fontId="8" fillId="2" borderId="5" xfId="1" applyNumberFormat="1" applyFont="1" applyFill="1" applyBorder="1" applyAlignment="1">
      <alignment horizontal="right" vertical="center"/>
    </xf>
    <xf numFmtId="0" fontId="8" fillId="0" borderId="0" xfId="0" applyFont="1" applyFill="1" applyAlignment="1">
      <alignment horizontal="left" vertical="center"/>
    </xf>
    <xf numFmtId="0" fontId="10" fillId="0" borderId="0" xfId="0" applyFont="1" applyFill="1" applyBorder="1" applyAlignment="1">
      <alignment horizontal="center" vertical="center" wrapText="1"/>
    </xf>
    <xf numFmtId="0" fontId="8" fillId="0" borderId="1" xfId="7" applyNumberFormat="1" applyFont="1" applyFill="1" applyBorder="1" applyAlignment="1">
      <alignment horizontal="left" vertical="center"/>
    </xf>
    <xf numFmtId="0" fontId="8" fillId="0" borderId="1" xfId="8" applyNumberFormat="1" applyFont="1" applyFill="1" applyBorder="1" applyAlignment="1">
      <alignment horizontal="left" vertical="center"/>
    </xf>
    <xf numFmtId="0" fontId="8" fillId="0" borderId="1" xfId="7" applyNumberFormat="1" applyFont="1" applyFill="1" applyBorder="1" applyAlignment="1">
      <alignment horizontal="left" vertical="center" wrapText="1"/>
    </xf>
    <xf numFmtId="0" fontId="10" fillId="0" borderId="0" xfId="7" applyNumberFormat="1" applyFont="1" applyFill="1" applyBorder="1" applyAlignment="1">
      <alignment horizontal="left" vertical="center"/>
    </xf>
    <xf numFmtId="0" fontId="8" fillId="0" borderId="0" xfId="7" applyNumberFormat="1" applyFont="1" applyFill="1" applyBorder="1" applyAlignment="1">
      <alignment horizontal="left" vertical="center"/>
    </xf>
    <xf numFmtId="0" fontId="8" fillId="0" borderId="1" xfId="7" applyFont="1" applyFill="1" applyBorder="1" applyAlignment="1">
      <alignment horizontal="left" vertical="center"/>
    </xf>
    <xf numFmtId="0" fontId="10" fillId="0" borderId="0" xfId="7" applyFont="1" applyFill="1" applyBorder="1" applyAlignment="1">
      <alignment horizontal="left" vertical="center"/>
    </xf>
    <xf numFmtId="0" fontId="10" fillId="2" borderId="12" xfId="7" applyNumberFormat="1" applyFont="1" applyFill="1" applyBorder="1" applyAlignment="1">
      <alignment vertical="center"/>
    </xf>
    <xf numFmtId="164" fontId="10" fillId="2" borderId="10" xfId="1" applyNumberFormat="1" applyFont="1" applyFill="1" applyBorder="1" applyAlignment="1">
      <alignment horizontal="right" vertical="center"/>
    </xf>
    <xf numFmtId="164" fontId="10" fillId="2" borderId="11" xfId="1" applyNumberFormat="1" applyFont="1" applyFill="1" applyBorder="1" applyAlignment="1">
      <alignment horizontal="right" vertical="center"/>
    </xf>
    <xf numFmtId="164" fontId="10" fillId="2" borderId="13" xfId="1" applyNumberFormat="1" applyFont="1" applyFill="1" applyBorder="1" applyAlignment="1">
      <alignment vertical="center"/>
    </xf>
    <xf numFmtId="164" fontId="10" fillId="2" borderId="14" xfId="1" applyNumberFormat="1" applyFont="1" applyFill="1" applyBorder="1" applyAlignment="1">
      <alignment vertical="center"/>
    </xf>
    <xf numFmtId="0" fontId="8" fillId="0" borderId="0" xfId="0" applyFont="1" applyFill="1" applyAlignment="1"/>
    <xf numFmtId="0" fontId="10" fillId="0" borderId="0" xfId="0" applyFont="1" applyFill="1" applyAlignment="1">
      <alignment horizontal="center"/>
    </xf>
    <xf numFmtId="0" fontId="9" fillId="0" borderId="0" xfId="0" applyFont="1" applyFill="1"/>
    <xf numFmtId="0" fontId="11" fillId="0" borderId="0" xfId="0" applyFont="1" applyFill="1"/>
    <xf numFmtId="0" fontId="8" fillId="0" borderId="0" xfId="0" applyFont="1" applyFill="1" applyAlignment="1">
      <alignment horizontal="center"/>
    </xf>
    <xf numFmtId="0" fontId="8" fillId="0" borderId="1" xfId="6" applyFont="1" applyFill="1" applyBorder="1" applyAlignment="1">
      <alignment vertical="center"/>
    </xf>
    <xf numFmtId="0" fontId="10" fillId="2" borderId="1" xfId="6" applyFont="1" applyFill="1" applyBorder="1" applyAlignment="1">
      <alignment vertical="center" wrapText="1"/>
    </xf>
    <xf numFmtId="0" fontId="10" fillId="2" borderId="7" xfId="6" applyFont="1" applyFill="1" applyBorder="1" applyAlignment="1">
      <alignment vertical="center" wrapText="1"/>
    </xf>
    <xf numFmtId="0" fontId="8" fillId="0" borderId="15" xfId="0" applyFont="1" applyFill="1" applyBorder="1" applyAlignment="1">
      <alignment horizontal="center" vertical="center"/>
    </xf>
    <xf numFmtId="164" fontId="8" fillId="0" borderId="0" xfId="1" applyNumberFormat="1" applyFont="1" applyFill="1" applyBorder="1" applyAlignment="1">
      <alignment horizontal="right" vertical="center"/>
    </xf>
    <xf numFmtId="0" fontId="8" fillId="0" borderId="7" xfId="7" applyFont="1" applyFill="1" applyBorder="1" applyAlignment="1">
      <alignment horizontal="left" vertical="center"/>
    </xf>
    <xf numFmtId="0" fontId="19" fillId="0" borderId="0" xfId="0" applyFont="1" applyBorder="1" applyAlignment="1">
      <alignment horizontal="left" vertical="center"/>
    </xf>
    <xf numFmtId="0" fontId="19" fillId="0" borderId="0" xfId="0" applyFont="1" applyBorder="1" applyAlignment="1">
      <alignment horizontal="left"/>
    </xf>
    <xf numFmtId="0" fontId="8" fillId="0" borderId="0" xfId="0" applyFont="1" applyAlignment="1">
      <alignment vertical="center" wrapText="1"/>
    </xf>
    <xf numFmtId="164" fontId="8" fillId="2" borderId="5" xfId="1" applyNumberFormat="1" applyFont="1" applyFill="1" applyBorder="1" applyAlignment="1">
      <alignment horizontal="right"/>
    </xf>
    <xf numFmtId="0" fontId="10" fillId="0" borderId="1" xfId="7" applyFont="1" applyFill="1" applyBorder="1" applyAlignment="1">
      <alignment horizontal="left" vertical="center"/>
    </xf>
    <xf numFmtId="0" fontId="10" fillId="2" borderId="7" xfId="7" applyNumberFormat="1" applyFont="1" applyFill="1" applyBorder="1" applyAlignment="1">
      <alignment horizontal="left" vertical="center"/>
    </xf>
    <xf numFmtId="0" fontId="20" fillId="2" borderId="12" xfId="0" applyFont="1" applyFill="1" applyBorder="1" applyAlignment="1"/>
    <xf numFmtId="164" fontId="19" fillId="2" borderId="7" xfId="1" applyNumberFormat="1" applyFont="1" applyFill="1" applyBorder="1" applyAlignment="1">
      <alignment horizontal="right" vertical="center"/>
    </xf>
    <xf numFmtId="164" fontId="19" fillId="2" borderId="8" xfId="1" applyNumberFormat="1" applyFont="1" applyFill="1" applyBorder="1" applyAlignment="1">
      <alignment horizontal="right" vertical="center"/>
    </xf>
    <xf numFmtId="0" fontId="19" fillId="0" borderId="0" xfId="0" applyFont="1" applyFill="1" applyAlignment="1">
      <alignment vertical="center"/>
    </xf>
    <xf numFmtId="0" fontId="19" fillId="2" borderId="12" xfId="0" applyFont="1" applyFill="1" applyBorder="1" applyAlignment="1">
      <alignment vertical="center" wrapText="1"/>
    </xf>
    <xf numFmtId="0" fontId="19" fillId="2" borderId="17" xfId="0" applyFont="1" applyFill="1" applyBorder="1" applyAlignment="1">
      <alignment vertical="center"/>
    </xf>
    <xf numFmtId="164" fontId="19" fillId="2" borderId="1" xfId="1" applyNumberFormat="1" applyFont="1" applyFill="1" applyBorder="1" applyAlignment="1">
      <alignment horizontal="right" vertical="center"/>
    </xf>
    <xf numFmtId="164" fontId="19" fillId="2" borderId="5" xfId="1" applyNumberFormat="1" applyFont="1" applyFill="1" applyBorder="1" applyAlignment="1">
      <alignment horizontal="right" vertical="center"/>
    </xf>
    <xf numFmtId="0" fontId="19" fillId="2" borderId="18" xfId="0" applyFont="1" applyFill="1" applyBorder="1" applyAlignment="1">
      <alignment vertical="center" wrapText="1"/>
    </xf>
    <xf numFmtId="164" fontId="19" fillId="2" borderId="13" xfId="1" applyNumberFormat="1" applyFont="1" applyFill="1" applyBorder="1" applyAlignment="1">
      <alignment horizontal="right" vertical="center"/>
    </xf>
    <xf numFmtId="164" fontId="19" fillId="2" borderId="14" xfId="1" applyNumberFormat="1" applyFont="1" applyFill="1" applyBorder="1" applyAlignment="1">
      <alignment horizontal="right" vertical="center"/>
    </xf>
    <xf numFmtId="164" fontId="15" fillId="0" borderId="1" xfId="1" applyNumberFormat="1" applyFont="1" applyFill="1" applyBorder="1" applyAlignment="1" applyProtection="1">
      <alignment horizontal="right" vertical="center"/>
    </xf>
    <xf numFmtId="164" fontId="15" fillId="0" borderId="5" xfId="1" applyNumberFormat="1" applyFont="1" applyFill="1" applyBorder="1" applyAlignment="1" applyProtection="1">
      <alignment horizontal="right" vertical="center"/>
    </xf>
    <xf numFmtId="0" fontId="10" fillId="0" borderId="0" xfId="0" applyFont="1" applyFill="1" applyBorder="1" applyAlignment="1" applyProtection="1">
      <alignment vertical="center"/>
    </xf>
    <xf numFmtId="164" fontId="8" fillId="2" borderId="7" xfId="1" applyNumberFormat="1" applyFont="1" applyFill="1" applyBorder="1" applyAlignment="1">
      <alignment horizontal="right" vertical="center"/>
    </xf>
    <xf numFmtId="164" fontId="8" fillId="2" borderId="8" xfId="1" applyNumberFormat="1" applyFont="1" applyFill="1" applyBorder="1" applyAlignment="1">
      <alignment horizontal="right" vertical="center"/>
    </xf>
    <xf numFmtId="0" fontId="8" fillId="0" borderId="19" xfId="0" applyFont="1" applyFill="1" applyBorder="1" applyAlignment="1">
      <alignment vertical="center"/>
    </xf>
    <xf numFmtId="0" fontId="15" fillId="0" borderId="1" xfId="0" applyFont="1" applyFill="1" applyBorder="1" applyAlignment="1">
      <alignment horizontal="left" vertical="center"/>
    </xf>
    <xf numFmtId="2" fontId="10" fillId="0" borderId="0" xfId="0" applyNumberFormat="1" applyFont="1" applyFill="1" applyBorder="1" applyAlignment="1" applyProtection="1">
      <alignment vertical="center"/>
    </xf>
    <xf numFmtId="0" fontId="10" fillId="0" borderId="1" xfId="6" applyNumberFormat="1" applyFont="1" applyFill="1" applyBorder="1" applyAlignment="1">
      <alignment horizontal="left" vertical="center" wrapText="1"/>
    </xf>
    <xf numFmtId="0" fontId="21" fillId="0" borderId="1" xfId="6" applyNumberFormat="1" applyFont="1" applyFill="1" applyBorder="1" applyAlignment="1">
      <alignment horizontal="left" vertical="center"/>
    </xf>
    <xf numFmtId="0" fontId="10" fillId="2" borderId="23" xfId="6" applyNumberFormat="1" applyFont="1" applyFill="1" applyBorder="1" applyAlignment="1">
      <alignment horizontal="left" vertical="center" wrapText="1"/>
    </xf>
    <xf numFmtId="0" fontId="26" fillId="0" borderId="0" xfId="0" applyFont="1" applyBorder="1" applyAlignment="1">
      <alignment vertical="center"/>
    </xf>
    <xf numFmtId="0" fontId="10" fillId="0" borderId="0" xfId="7" applyFont="1" applyFill="1" applyBorder="1" applyAlignment="1">
      <alignment horizontal="center" vertical="center"/>
    </xf>
    <xf numFmtId="0" fontId="28" fillId="0" borderId="0" xfId="7" applyNumberFormat="1" applyFont="1" applyFill="1" applyBorder="1" applyAlignment="1">
      <alignment vertical="center" wrapText="1"/>
    </xf>
    <xf numFmtId="164" fontId="10" fillId="0" borderId="0" xfId="2" applyNumberFormat="1" applyFont="1" applyFill="1" applyBorder="1" applyAlignment="1">
      <alignment horizontal="right" vertical="center"/>
    </xf>
    <xf numFmtId="0" fontId="30" fillId="0" borderId="0" xfId="0" applyFont="1" applyAlignment="1">
      <alignment vertical="center"/>
    </xf>
    <xf numFmtId="0" fontId="8" fillId="0" borderId="0" xfId="6" applyFont="1" applyFill="1" applyBorder="1"/>
    <xf numFmtId="0" fontId="8" fillId="0" borderId="0" xfId="6" applyFont="1" applyAlignment="1"/>
    <xf numFmtId="0" fontId="10" fillId="0" borderId="0" xfId="6" applyFont="1"/>
    <xf numFmtId="0" fontId="8" fillId="0" borderId="0" xfId="6" applyFont="1"/>
    <xf numFmtId="0" fontId="8" fillId="0" borderId="0" xfId="6" applyFont="1" applyBorder="1"/>
    <xf numFmtId="0" fontId="4" fillId="0" borderId="0" xfId="6" applyFont="1"/>
    <xf numFmtId="164" fontId="5" fillId="0" borderId="0" xfId="2" applyNumberFormat="1" applyFont="1" applyFill="1" applyBorder="1" applyAlignment="1">
      <alignment horizontal="right" vertical="center"/>
    </xf>
    <xf numFmtId="0" fontId="4" fillId="0" borderId="0" xfId="6" applyFont="1" applyFill="1"/>
    <xf numFmtId="164" fontId="5" fillId="0" borderId="0" xfId="2" applyNumberFormat="1" applyFont="1" applyFill="1" applyBorder="1" applyAlignment="1">
      <alignment vertical="center"/>
    </xf>
    <xf numFmtId="0" fontId="2" fillId="0" borderId="0" xfId="6" applyFont="1" applyAlignment="1"/>
    <xf numFmtId="0" fontId="7" fillId="0" borderId="0" xfId="6" applyFont="1" applyFill="1" applyBorder="1"/>
    <xf numFmtId="164" fontId="10" fillId="0" borderId="0" xfId="5" applyNumberFormat="1" applyFont="1" applyFill="1" applyBorder="1" applyAlignment="1">
      <alignment horizontal="right" vertical="center"/>
    </xf>
    <xf numFmtId="0" fontId="8" fillId="0" borderId="1" xfId="7" applyFont="1" applyFill="1" applyBorder="1" applyAlignment="1">
      <alignment horizontal="center" vertical="top" wrapText="1"/>
    </xf>
    <xf numFmtId="0" fontId="8" fillId="2" borderId="1" xfId="7" applyFont="1" applyFill="1" applyBorder="1" applyAlignment="1">
      <alignment horizontal="center" vertical="top" wrapText="1"/>
    </xf>
    <xf numFmtId="0" fontId="8" fillId="2" borderId="5" xfId="7" applyFont="1" applyFill="1" applyBorder="1" applyAlignment="1">
      <alignment horizontal="center" vertical="top" wrapText="1"/>
    </xf>
    <xf numFmtId="0" fontId="13" fillId="0" borderId="0" xfId="0" applyFont="1" applyFill="1" applyBorder="1" applyAlignment="1">
      <alignment vertical="center"/>
    </xf>
    <xf numFmtId="0" fontId="12" fillId="0" borderId="0" xfId="7" applyFont="1" applyFill="1" applyBorder="1" applyAlignment="1">
      <alignment vertical="top"/>
    </xf>
    <xf numFmtId="0" fontId="12" fillId="0" borderId="0" xfId="10" applyFont="1" applyFill="1" applyBorder="1" applyAlignment="1">
      <alignment vertical="top"/>
    </xf>
    <xf numFmtId="0" fontId="12" fillId="0" borderId="0" xfId="7" applyFont="1" applyFill="1" applyBorder="1" applyAlignment="1">
      <alignment horizontal="center" vertical="center"/>
    </xf>
    <xf numFmtId="0" fontId="8" fillId="0" borderId="1" xfId="7" applyFont="1" applyFill="1" applyBorder="1" applyAlignment="1">
      <alignment horizontal="center" vertical="top"/>
    </xf>
    <xf numFmtId="0" fontId="13" fillId="0" borderId="0" xfId="0" applyFont="1" applyBorder="1" applyAlignment="1">
      <alignment vertical="center"/>
    </xf>
    <xf numFmtId="0" fontId="12" fillId="0" borderId="0" xfId="10" applyFont="1" applyFill="1" applyBorder="1" applyAlignment="1">
      <alignment horizontal="left" vertical="center"/>
    </xf>
    <xf numFmtId="0" fontId="18" fillId="0" borderId="0" xfId="7" applyFont="1" applyFill="1" applyBorder="1" applyAlignment="1">
      <alignment horizontal="center" vertical="center"/>
    </xf>
    <xf numFmtId="0" fontId="17" fillId="0" borderId="0" xfId="0" applyFont="1" applyFill="1" applyAlignment="1">
      <alignment horizontal="right" vertical="center"/>
    </xf>
    <xf numFmtId="0" fontId="10" fillId="0" borderId="0" xfId="10" applyFont="1" applyFill="1" applyBorder="1" applyAlignment="1">
      <alignment vertical="center"/>
    </xf>
    <xf numFmtId="0" fontId="13" fillId="0" borderId="0" xfId="7" applyFont="1" applyFill="1" applyBorder="1" applyAlignment="1">
      <alignment vertical="center"/>
    </xf>
    <xf numFmtId="0" fontId="12" fillId="0" borderId="0" xfId="10" applyFont="1" applyFill="1" applyBorder="1" applyAlignment="1">
      <alignment vertical="center"/>
    </xf>
    <xf numFmtId="0" fontId="10" fillId="0" borderId="0" xfId="7" applyNumberFormat="1" applyFont="1" applyFill="1" applyBorder="1" applyAlignment="1">
      <alignment vertical="center"/>
    </xf>
    <xf numFmtId="0" fontId="13" fillId="0" borderId="0" xfId="0" applyFont="1" applyAlignment="1">
      <alignment vertical="center"/>
    </xf>
    <xf numFmtId="0" fontId="8" fillId="0" borderId="1" xfId="7" applyFont="1" applyFill="1" applyBorder="1" applyAlignment="1">
      <alignment horizontal="center" vertical="center" wrapText="1"/>
    </xf>
    <xf numFmtId="0" fontId="10" fillId="0" borderId="1" xfId="0" applyFont="1" applyFill="1" applyBorder="1" applyAlignment="1">
      <alignment horizontal="justify" wrapText="1"/>
    </xf>
    <xf numFmtId="2" fontId="8" fillId="0" borderId="1" xfId="0" applyNumberFormat="1" applyFont="1" applyFill="1" applyBorder="1" applyAlignment="1">
      <alignment horizontal="justify" vertical="center" wrapText="1"/>
    </xf>
    <xf numFmtId="0" fontId="10" fillId="0" borderId="1" xfId="0" applyFont="1" applyFill="1" applyBorder="1" applyAlignment="1">
      <alignment horizontal="justify" vertical="center" wrapText="1"/>
    </xf>
    <xf numFmtId="0" fontId="8" fillId="0" borderId="1" xfId="0" applyFont="1" applyFill="1" applyBorder="1" applyAlignment="1">
      <alignment horizontal="justify" vertical="center" wrapText="1"/>
    </xf>
    <xf numFmtId="0" fontId="10" fillId="0" borderId="1" xfId="0" applyFont="1" applyFill="1" applyBorder="1" applyAlignment="1">
      <alignment horizontal="justify" vertical="center"/>
    </xf>
    <xf numFmtId="0" fontId="8" fillId="0" borderId="1" xfId="0" applyFont="1" applyFill="1" applyBorder="1" applyAlignment="1">
      <alignment horizontal="justify" wrapText="1"/>
    </xf>
    <xf numFmtId="0" fontId="8" fillId="0" borderId="1" xfId="0" applyFont="1" applyFill="1" applyBorder="1" applyAlignment="1">
      <alignment horizontal="justify" vertical="center"/>
    </xf>
    <xf numFmtId="0" fontId="8" fillId="0" borderId="1" xfId="0" applyFont="1" applyFill="1" applyBorder="1" applyAlignment="1">
      <alignment horizontal="justify"/>
    </xf>
    <xf numFmtId="0" fontId="12" fillId="0" borderId="0" xfId="0" applyFont="1" applyFill="1" applyAlignment="1">
      <alignment vertical="center"/>
    </xf>
    <xf numFmtId="0" fontId="13" fillId="0" borderId="0" xfId="0" applyFont="1" applyFill="1" applyBorder="1" applyAlignment="1">
      <alignment horizontal="left"/>
    </xf>
    <xf numFmtId="0" fontId="13" fillId="0" borderId="0" xfId="0" applyFont="1" applyAlignment="1"/>
    <xf numFmtId="0" fontId="13" fillId="0" borderId="0" xfId="0" applyFont="1" applyFill="1" applyBorder="1"/>
    <xf numFmtId="0" fontId="13" fillId="0" borderId="0" xfId="0" applyFont="1"/>
    <xf numFmtId="0" fontId="10" fillId="2" borderId="10" xfId="7" applyNumberFormat="1" applyFont="1" applyFill="1" applyBorder="1" applyAlignment="1">
      <alignment vertical="center"/>
    </xf>
    <xf numFmtId="0" fontId="11" fillId="0" borderId="0" xfId="6" applyFont="1"/>
    <xf numFmtId="0" fontId="9" fillId="0" borderId="0" xfId="6" applyFont="1" applyAlignment="1">
      <alignment horizontal="center"/>
    </xf>
    <xf numFmtId="0" fontId="8" fillId="0" borderId="0" xfId="6" applyFont="1" applyAlignment="1">
      <alignment vertical="center"/>
    </xf>
    <xf numFmtId="0" fontId="8" fillId="0" borderId="0" xfId="6" applyFont="1" applyAlignment="1">
      <alignment horizontal="center" vertical="center"/>
    </xf>
    <xf numFmtId="0" fontId="8" fillId="0" borderId="0" xfId="6" applyFont="1" applyAlignment="1">
      <alignment vertical="top"/>
    </xf>
    <xf numFmtId="0" fontId="8" fillId="3" borderId="1" xfId="7" applyFont="1" applyFill="1" applyBorder="1" applyAlignment="1">
      <alignment horizontal="center" vertical="top" wrapText="1"/>
    </xf>
    <xf numFmtId="0" fontId="8" fillId="3" borderId="5" xfId="7" applyFont="1" applyFill="1" applyBorder="1" applyAlignment="1">
      <alignment horizontal="center" vertical="top" wrapText="1"/>
    </xf>
    <xf numFmtId="0" fontId="33" fillId="0" borderId="0" xfId="6" applyFont="1" applyBorder="1"/>
    <xf numFmtId="0" fontId="35" fillId="0" borderId="0" xfId="10" applyFont="1" applyFill="1" applyBorder="1" applyAlignment="1">
      <alignment horizontal="left" vertical="center"/>
    </xf>
    <xf numFmtId="0" fontId="33" fillId="0" borderId="0" xfId="6" applyFont="1" applyBorder="1" applyAlignment="1">
      <alignment vertical="center"/>
    </xf>
    <xf numFmtId="0" fontId="34" fillId="0" borderId="0" xfId="7" applyFont="1" applyFill="1" applyBorder="1" applyAlignment="1">
      <alignment horizontal="center" vertical="center"/>
    </xf>
    <xf numFmtId="0" fontId="35" fillId="0" borderId="0" xfId="7" applyFont="1" applyFill="1" applyBorder="1" applyAlignment="1">
      <alignment horizontal="center" vertical="center"/>
    </xf>
    <xf numFmtId="164" fontId="2" fillId="2" borderId="1" xfId="1" applyNumberFormat="1" applyFont="1" applyFill="1" applyBorder="1" applyAlignment="1">
      <alignment horizontal="right" vertical="center"/>
    </xf>
    <xf numFmtId="164" fontId="2" fillId="2" borderId="5" xfId="1" applyNumberFormat="1" applyFont="1" applyFill="1" applyBorder="1" applyAlignment="1">
      <alignment horizontal="right" vertical="center"/>
    </xf>
    <xf numFmtId="164" fontId="5" fillId="2" borderId="8" xfId="1" applyNumberFormat="1" applyFont="1" applyFill="1" applyBorder="1" applyAlignment="1">
      <alignment horizontal="right" vertical="center"/>
    </xf>
    <xf numFmtId="0" fontId="35" fillId="0" borderId="0" xfId="7" applyFont="1" applyFill="1" applyBorder="1" applyAlignment="1"/>
    <xf numFmtId="0" fontId="35" fillId="0" borderId="0" xfId="10" applyFont="1" applyFill="1" applyBorder="1" applyAlignment="1">
      <alignment vertical="center"/>
    </xf>
    <xf numFmtId="0" fontId="8" fillId="3" borderId="1" xfId="7" applyFont="1" applyFill="1" applyBorder="1" applyAlignment="1">
      <alignment horizontal="center" vertical="center" wrapText="1"/>
    </xf>
    <xf numFmtId="0" fontId="8" fillId="3" borderId="5" xfId="7" applyFont="1" applyFill="1" applyBorder="1" applyAlignment="1">
      <alignment horizontal="center" vertical="center" wrapText="1"/>
    </xf>
    <xf numFmtId="0" fontId="34" fillId="0" borderId="0" xfId="7" applyFont="1" applyFill="1" applyBorder="1" applyAlignment="1">
      <alignment horizontal="center"/>
    </xf>
    <xf numFmtId="0" fontId="35" fillId="0" borderId="0" xfId="7" applyFont="1" applyFill="1" applyBorder="1" applyAlignment="1">
      <alignment horizontal="center"/>
    </xf>
    <xf numFmtId="0" fontId="8" fillId="0" borderId="0" xfId="6" applyFont="1" applyFill="1" applyBorder="1" applyAlignment="1" applyProtection="1">
      <alignment horizontal="left"/>
      <protection locked="0"/>
    </xf>
    <xf numFmtId="0" fontId="12" fillId="0" borderId="0" xfId="7" applyFont="1" applyFill="1" applyBorder="1" applyAlignment="1"/>
    <xf numFmtId="0" fontId="10" fillId="0" borderId="0" xfId="7" applyFont="1" applyFill="1" applyBorder="1" applyAlignment="1"/>
    <xf numFmtId="2" fontId="8" fillId="0" borderId="1" xfId="6" applyNumberFormat="1" applyFont="1" applyBorder="1" applyAlignment="1">
      <alignment horizontal="justify" vertical="center" wrapText="1"/>
    </xf>
    <xf numFmtId="2" fontId="8" fillId="0" borderId="1" xfId="6" applyNumberFormat="1" applyFont="1" applyBorder="1" applyAlignment="1">
      <alignment horizontal="justify" vertical="top" wrapText="1"/>
    </xf>
    <xf numFmtId="0" fontId="13" fillId="0" borderId="0" xfId="7" applyFont="1" applyFill="1" applyBorder="1" applyAlignment="1">
      <alignment horizontal="center"/>
    </xf>
    <xf numFmtId="0" fontId="13" fillId="0" borderId="0" xfId="6" applyFont="1" applyBorder="1"/>
    <xf numFmtId="0" fontId="10" fillId="0" borderId="0" xfId="0" applyFont="1" applyFill="1" applyAlignment="1">
      <alignment horizontal="left"/>
    </xf>
    <xf numFmtId="49" fontId="8" fillId="0" borderId="0" xfId="0" applyNumberFormat="1" applyFont="1" applyFill="1" applyAlignment="1">
      <alignment vertical="center"/>
    </xf>
    <xf numFmtId="49" fontId="8" fillId="0" borderId="0" xfId="0" applyNumberFormat="1" applyFont="1" applyFill="1" applyBorder="1" applyAlignment="1">
      <alignment vertical="center"/>
    </xf>
    <xf numFmtId="49" fontId="10" fillId="0" borderId="0" xfId="0" applyNumberFormat="1" applyFont="1" applyFill="1" applyAlignment="1">
      <alignment horizontal="center" vertical="center"/>
    </xf>
    <xf numFmtId="49" fontId="10" fillId="0" borderId="0" xfId="0" applyNumberFormat="1" applyFont="1" applyBorder="1" applyAlignment="1">
      <alignment horizontal="center" vertical="center"/>
    </xf>
    <xf numFmtId="0" fontId="10" fillId="0" borderId="0" xfId="0" applyFont="1" applyFill="1" applyBorder="1" applyAlignment="1">
      <alignment vertical="top"/>
    </xf>
    <xf numFmtId="0" fontId="10" fillId="0" borderId="17" xfId="0" applyFont="1" applyFill="1" applyBorder="1" applyAlignment="1">
      <alignment horizontal="center" vertical="center"/>
    </xf>
    <xf numFmtId="0" fontId="19" fillId="2" borderId="12" xfId="0" applyFont="1" applyFill="1" applyBorder="1" applyAlignment="1">
      <alignment horizontal="center" vertical="center"/>
    </xf>
    <xf numFmtId="0" fontId="8" fillId="0" borderId="17" xfId="7" applyFont="1" applyFill="1" applyBorder="1" applyAlignment="1">
      <alignment horizontal="center" vertical="center"/>
    </xf>
    <xf numFmtId="0" fontId="8" fillId="0" borderId="26" xfId="0" applyFont="1" applyFill="1" applyBorder="1" applyAlignment="1">
      <alignment horizontal="center" vertical="center" wrapText="1"/>
    </xf>
    <xf numFmtId="0" fontId="8" fillId="0" borderId="27" xfId="0" applyFont="1" applyFill="1" applyBorder="1" applyAlignment="1">
      <alignment horizontal="center" vertical="top" wrapText="1"/>
    </xf>
    <xf numFmtId="0" fontId="8" fillId="0" borderId="10" xfId="0" applyFont="1" applyFill="1" applyBorder="1" applyAlignment="1">
      <alignment vertical="top"/>
    </xf>
    <xf numFmtId="0" fontId="8" fillId="0" borderId="10" xfId="0" applyFont="1" applyFill="1" applyBorder="1" applyAlignment="1">
      <alignment horizontal="center" vertical="top" wrapText="1"/>
    </xf>
    <xf numFmtId="0" fontId="8" fillId="0" borderId="11" xfId="0" applyFont="1" applyFill="1" applyBorder="1" applyAlignment="1">
      <alignment horizontal="center" vertical="top" wrapText="1"/>
    </xf>
    <xf numFmtId="0" fontId="10" fillId="0" borderId="2" xfId="7" applyNumberFormat="1" applyFont="1" applyFill="1" applyBorder="1" applyAlignment="1">
      <alignment horizontal="center" vertical="center"/>
    </xf>
    <xf numFmtId="0" fontId="10" fillId="0" borderId="28" xfId="0" applyFont="1" applyFill="1" applyBorder="1" applyAlignment="1">
      <alignment horizontal="center" vertical="center"/>
    </xf>
    <xf numFmtId="0" fontId="10" fillId="0" borderId="19" xfId="7" applyNumberFormat="1" applyFont="1" applyFill="1" applyBorder="1" applyAlignment="1">
      <alignment horizontal="left" vertical="center"/>
    </xf>
    <xf numFmtId="164" fontId="10" fillId="2" borderId="19" xfId="1" applyNumberFormat="1" applyFont="1" applyFill="1" applyBorder="1" applyAlignment="1">
      <alignment horizontal="right" vertical="center"/>
    </xf>
    <xf numFmtId="164" fontId="10" fillId="2" borderId="4" xfId="1" applyNumberFormat="1" applyFont="1" applyFill="1" applyBorder="1" applyAlignment="1">
      <alignment horizontal="right" vertical="center"/>
    </xf>
    <xf numFmtId="0" fontId="10" fillId="0" borderId="3" xfId="7" applyNumberFormat="1" applyFont="1" applyFill="1" applyBorder="1" applyAlignment="1">
      <alignment horizontal="center" vertical="center"/>
    </xf>
    <xf numFmtId="0" fontId="10" fillId="0" borderId="29" xfId="7" applyNumberFormat="1" applyFont="1" applyFill="1" applyBorder="1" applyAlignment="1">
      <alignment horizontal="center" vertical="center"/>
    </xf>
    <xf numFmtId="0" fontId="10" fillId="0" borderId="19" xfId="0" applyFont="1" applyFill="1" applyBorder="1" applyAlignment="1">
      <alignment vertical="center"/>
    </xf>
    <xf numFmtId="0" fontId="19" fillId="2" borderId="17" xfId="0" applyFont="1" applyFill="1" applyBorder="1" applyAlignment="1">
      <alignment horizontal="center" vertical="center"/>
    </xf>
    <xf numFmtId="0" fontId="19" fillId="2" borderId="18" xfId="0" applyFont="1" applyFill="1" applyBorder="1" applyAlignment="1">
      <alignment horizontal="center" vertical="center"/>
    </xf>
    <xf numFmtId="0" fontId="8" fillId="0" borderId="10" xfId="0" applyFont="1" applyBorder="1" applyAlignment="1">
      <alignment vertical="top"/>
    </xf>
    <xf numFmtId="0" fontId="8" fillId="0" borderId="10" xfId="0" applyFont="1" applyBorder="1" applyAlignment="1">
      <alignment horizontal="center" vertical="top" wrapText="1"/>
    </xf>
    <xf numFmtId="0" fontId="8" fillId="0" borderId="11" xfId="0" applyFont="1" applyBorder="1" applyAlignment="1">
      <alignment horizontal="center" vertical="top" wrapText="1"/>
    </xf>
    <xf numFmtId="0" fontId="10" fillId="0" borderId="2" xfId="0" applyFont="1" applyBorder="1" applyAlignment="1">
      <alignment horizontal="center" vertical="center"/>
    </xf>
    <xf numFmtId="0" fontId="10" fillId="0" borderId="19" xfId="0" applyFont="1" applyBorder="1"/>
    <xf numFmtId="164" fontId="16" fillId="0" borderId="19" xfId="1" applyNumberFormat="1" applyFont="1" applyFill="1" applyBorder="1" applyAlignment="1">
      <alignment horizontal="right"/>
    </xf>
    <xf numFmtId="164" fontId="16" fillId="0" borderId="4" xfId="1" applyNumberFormat="1" applyFont="1" applyFill="1" applyBorder="1" applyAlignment="1">
      <alignment horizontal="right"/>
    </xf>
    <xf numFmtId="0" fontId="8" fillId="0" borderId="27" xfId="0" applyFont="1" applyBorder="1" applyAlignment="1">
      <alignment horizontal="center" vertical="top"/>
    </xf>
    <xf numFmtId="0" fontId="10" fillId="0" borderId="28" xfId="0" applyFont="1" applyBorder="1" applyAlignment="1">
      <alignment horizontal="center" vertical="center"/>
    </xf>
    <xf numFmtId="0" fontId="10" fillId="0" borderId="17" xfId="0" applyFont="1" applyBorder="1" applyAlignment="1">
      <alignment horizontal="center" vertical="center"/>
    </xf>
    <xf numFmtId="0" fontId="8" fillId="0" borderId="17" xfId="0" applyFont="1" applyBorder="1" applyAlignment="1">
      <alignment horizontal="center" vertical="center"/>
    </xf>
    <xf numFmtId="0" fontId="10" fillId="0" borderId="29" xfId="0" applyFont="1" applyBorder="1" applyAlignment="1">
      <alignment horizontal="center" vertical="center"/>
    </xf>
    <xf numFmtId="164" fontId="10" fillId="2" borderId="17" xfId="1" applyNumberFormat="1" applyFont="1" applyFill="1" applyBorder="1" applyAlignment="1">
      <alignment horizontal="right"/>
    </xf>
    <xf numFmtId="164" fontId="16" fillId="0" borderId="17" xfId="1" applyNumberFormat="1" applyFont="1" applyBorder="1" applyAlignment="1">
      <alignment horizontal="right"/>
    </xf>
    <xf numFmtId="164" fontId="8" fillId="0" borderId="17" xfId="1" applyNumberFormat="1" applyFont="1" applyBorder="1" applyAlignment="1">
      <alignment horizontal="right"/>
    </xf>
    <xf numFmtId="164" fontId="15" fillId="0" borderId="17" xfId="1" applyNumberFormat="1" applyFont="1" applyBorder="1" applyAlignment="1">
      <alignment horizontal="right"/>
    </xf>
    <xf numFmtId="164" fontId="16" fillId="0" borderId="17" xfId="1" applyNumberFormat="1" applyFont="1" applyBorder="1" applyAlignment="1">
      <alignment horizontal="right" vertical="center"/>
    </xf>
    <xf numFmtId="164" fontId="15" fillId="0" borderId="17" xfId="1" applyNumberFormat="1" applyFont="1" applyBorder="1" applyAlignment="1">
      <alignment horizontal="right" vertical="center"/>
    </xf>
    <xf numFmtId="164" fontId="8" fillId="0" borderId="17" xfId="1" applyNumberFormat="1" applyFont="1" applyBorder="1" applyAlignment="1">
      <alignment horizontal="right" vertical="center"/>
    </xf>
    <xf numFmtId="0" fontId="10" fillId="2" borderId="1" xfId="0" applyFont="1" applyFill="1" applyBorder="1" applyAlignment="1">
      <alignment horizontal="center" vertical="center"/>
    </xf>
    <xf numFmtId="165" fontId="16" fillId="0" borderId="1" xfId="0" applyNumberFormat="1" applyFont="1" applyBorder="1" applyAlignment="1">
      <alignment horizontal="right" vertical="center"/>
    </xf>
    <xf numFmtId="0" fontId="16" fillId="0" borderId="1" xfId="0" applyFont="1" applyBorder="1" applyAlignment="1">
      <alignment horizontal="right" vertical="center"/>
    </xf>
    <xf numFmtId="0" fontId="8" fillId="0" borderId="1" xfId="0" applyFont="1" applyBorder="1" applyAlignment="1">
      <alignment horizontal="center" vertical="center"/>
    </xf>
    <xf numFmtId="0" fontId="15" fillId="0" borderId="1" xfId="0" applyFont="1" applyBorder="1" applyAlignment="1">
      <alignment horizontal="center" vertical="center"/>
    </xf>
    <xf numFmtId="0" fontId="10" fillId="0" borderId="31" xfId="0" applyFont="1" applyBorder="1" applyAlignment="1">
      <alignment horizontal="center" vertical="center"/>
    </xf>
    <xf numFmtId="0" fontId="10" fillId="2" borderId="19" xfId="0" applyFont="1" applyFill="1" applyBorder="1" applyAlignment="1">
      <alignment horizontal="center" vertical="center"/>
    </xf>
    <xf numFmtId="164" fontId="10" fillId="2" borderId="19" xfId="2" applyNumberFormat="1" applyFont="1" applyFill="1" applyBorder="1" applyAlignment="1">
      <alignment horizontal="left" vertical="center" wrapText="1"/>
    </xf>
    <xf numFmtId="164" fontId="10" fillId="2" borderId="28" xfId="1" applyNumberFormat="1" applyFont="1" applyFill="1" applyBorder="1" applyAlignment="1">
      <alignment horizontal="right"/>
    </xf>
    <xf numFmtId="164" fontId="10" fillId="2" borderId="4" xfId="1" applyNumberFormat="1" applyFont="1" applyFill="1" applyBorder="1" applyAlignment="1">
      <alignment horizontal="right"/>
    </xf>
    <xf numFmtId="0" fontId="10" fillId="0" borderId="32" xfId="0" applyFont="1" applyBorder="1" applyAlignment="1">
      <alignment horizontal="center" vertical="center"/>
    </xf>
    <xf numFmtId="0" fontId="10" fillId="0" borderId="33" xfId="0" applyFont="1" applyBorder="1" applyAlignment="1">
      <alignment horizontal="center" vertical="center"/>
    </xf>
    <xf numFmtId="0" fontId="10" fillId="0" borderId="34" xfId="0" applyFont="1" applyBorder="1" applyAlignment="1">
      <alignment horizontal="center" vertical="center"/>
    </xf>
    <xf numFmtId="0" fontId="10" fillId="0" borderId="10" xfId="0" applyFont="1" applyBorder="1" applyAlignment="1">
      <alignment horizontal="center" vertical="top"/>
    </xf>
    <xf numFmtId="164" fontId="8" fillId="0" borderId="20" xfId="1" applyNumberFormat="1" applyFont="1" applyBorder="1" applyAlignment="1">
      <alignment horizontal="right"/>
    </xf>
    <xf numFmtId="164" fontId="8" fillId="0" borderId="16" xfId="1" applyNumberFormat="1" applyFont="1" applyBorder="1" applyAlignment="1">
      <alignment horizontal="right"/>
    </xf>
    <xf numFmtId="164" fontId="10" fillId="2" borderId="19" xfId="1" applyNumberFormat="1" applyFont="1" applyFill="1" applyBorder="1" applyAlignment="1">
      <alignment horizontal="right"/>
    </xf>
    <xf numFmtId="0" fontId="10" fillId="2" borderId="28" xfId="0" applyFont="1" applyFill="1" applyBorder="1" applyAlignment="1"/>
    <xf numFmtId="0" fontId="16" fillId="0" borderId="17" xfId="0" applyFont="1" applyBorder="1"/>
    <xf numFmtId="0" fontId="8" fillId="0" borderId="17" xfId="0" applyFont="1" applyBorder="1"/>
    <xf numFmtId="0" fontId="15" fillId="0" borderId="17" xfId="0" applyFont="1" applyFill="1" applyBorder="1"/>
    <xf numFmtId="0" fontId="16" fillId="0" borderId="17" xfId="0" applyFont="1" applyFill="1" applyBorder="1"/>
    <xf numFmtId="0" fontId="8" fillId="0" borderId="35" xfId="0" applyFont="1" applyBorder="1"/>
    <xf numFmtId="0" fontId="15" fillId="0" borderId="12" xfId="0" applyFont="1" applyFill="1" applyBorder="1"/>
    <xf numFmtId="0" fontId="16" fillId="0" borderId="1" xfId="0" applyFont="1" applyBorder="1" applyAlignment="1">
      <alignment horizontal="right"/>
    </xf>
    <xf numFmtId="0" fontId="8" fillId="0" borderId="1" xfId="0" applyFont="1" applyBorder="1" applyAlignment="1">
      <alignment horizontal="center"/>
    </xf>
    <xf numFmtId="0" fontId="15" fillId="0" borderId="1" xfId="0" applyFont="1" applyFill="1" applyBorder="1" applyAlignment="1">
      <alignment horizontal="center"/>
    </xf>
    <xf numFmtId="0" fontId="16" fillId="0" borderId="1" xfId="0" applyFont="1" applyFill="1" applyBorder="1" applyAlignment="1">
      <alignment horizontal="right"/>
    </xf>
    <xf numFmtId="0" fontId="8" fillId="0" borderId="20" xfId="0" applyFont="1" applyBorder="1" applyAlignment="1">
      <alignment horizontal="center"/>
    </xf>
    <xf numFmtId="0" fontId="15" fillId="0" borderId="7" xfId="0" applyFont="1" applyFill="1" applyBorder="1" applyAlignment="1">
      <alignment horizontal="center"/>
    </xf>
    <xf numFmtId="0" fontId="10" fillId="2" borderId="19" xfId="0" applyFont="1" applyFill="1" applyBorder="1" applyAlignment="1">
      <alignment horizontal="center"/>
    </xf>
    <xf numFmtId="0" fontId="10" fillId="0" borderId="26" xfId="0" applyFont="1" applyBorder="1" applyAlignment="1">
      <alignment horizontal="center" vertical="center"/>
    </xf>
    <xf numFmtId="0" fontId="10" fillId="0" borderId="37" xfId="0" applyFont="1" applyBorder="1" applyAlignment="1">
      <alignment horizontal="center" vertical="center"/>
    </xf>
    <xf numFmtId="49" fontId="10" fillId="0" borderId="33" xfId="0" applyNumberFormat="1" applyFont="1" applyBorder="1" applyAlignment="1">
      <alignment horizontal="center" vertical="center"/>
    </xf>
    <xf numFmtId="0" fontId="8" fillId="0" borderId="9" xfId="0" applyFont="1" applyFill="1" applyBorder="1" applyAlignment="1">
      <alignment horizontal="center"/>
    </xf>
    <xf numFmtId="0" fontId="10" fillId="0" borderId="9" xfId="0" applyFont="1" applyBorder="1" applyAlignment="1">
      <alignment horizontal="center" vertical="center"/>
    </xf>
    <xf numFmtId="164" fontId="8" fillId="0" borderId="9" xfId="1" applyNumberFormat="1" applyFont="1" applyFill="1" applyBorder="1" applyAlignment="1">
      <alignment horizontal="right"/>
    </xf>
    <xf numFmtId="0" fontId="8" fillId="0" borderId="9" xfId="0" applyFont="1" applyBorder="1"/>
    <xf numFmtId="0" fontId="8" fillId="0" borderId="10" xfId="0" applyFont="1" applyBorder="1" applyAlignment="1" applyProtection="1">
      <alignment horizontal="center" vertical="top"/>
    </xf>
    <xf numFmtId="0" fontId="8" fillId="0" borderId="10" xfId="0" applyFont="1" applyBorder="1" applyAlignment="1" applyProtection="1">
      <alignment horizontal="center" vertical="top" wrapText="1"/>
    </xf>
    <xf numFmtId="0" fontId="8" fillId="0" borderId="11" xfId="0" applyFont="1" applyBorder="1" applyAlignment="1" applyProtection="1">
      <alignment horizontal="center" vertical="top" wrapText="1"/>
    </xf>
    <xf numFmtId="0" fontId="10" fillId="0" borderId="19" xfId="0" applyFont="1" applyBorder="1" applyAlignment="1" applyProtection="1">
      <alignment vertical="center"/>
    </xf>
    <xf numFmtId="164" fontId="10" fillId="0" borderId="19" xfId="1" applyNumberFormat="1" applyFont="1" applyBorder="1" applyAlignment="1" applyProtection="1">
      <alignment horizontal="right" vertical="center"/>
    </xf>
    <xf numFmtId="164" fontId="10" fillId="0" borderId="4" xfId="1" applyNumberFormat="1" applyFont="1" applyBorder="1" applyAlignment="1" applyProtection="1">
      <alignment horizontal="right" vertical="center"/>
    </xf>
    <xf numFmtId="0" fontId="10" fillId="0" borderId="19" xfId="0" applyFont="1" applyFill="1" applyBorder="1" applyAlignment="1" applyProtection="1">
      <alignment vertical="center"/>
    </xf>
    <xf numFmtId="164" fontId="10" fillId="0" borderId="19" xfId="1" applyNumberFormat="1" applyFont="1" applyFill="1" applyBorder="1" applyAlignment="1" applyProtection="1">
      <alignment horizontal="right" vertical="center"/>
    </xf>
    <xf numFmtId="164" fontId="10" fillId="0" borderId="4" xfId="1" applyNumberFormat="1" applyFont="1" applyFill="1" applyBorder="1" applyAlignment="1" applyProtection="1">
      <alignment horizontal="right" vertical="center"/>
    </xf>
    <xf numFmtId="0" fontId="8" fillId="0" borderId="38" xfId="0" applyFont="1" applyFill="1" applyBorder="1" applyAlignment="1">
      <alignment horizontal="center" vertical="center" wrapText="1"/>
    </xf>
    <xf numFmtId="0" fontId="10" fillId="0" borderId="19" xfId="0" applyFont="1" applyBorder="1" applyAlignment="1" applyProtection="1">
      <alignment horizontal="center" vertical="center"/>
    </xf>
    <xf numFmtId="49" fontId="15" fillId="0" borderId="17" xfId="0" applyNumberFormat="1" applyFont="1" applyBorder="1" applyAlignment="1" applyProtection="1">
      <alignment horizontal="center" vertical="center"/>
    </xf>
    <xf numFmtId="2" fontId="15" fillId="0" borderId="17" xfId="0" applyNumberFormat="1" applyFont="1" applyBorder="1" applyAlignment="1" applyProtection="1">
      <alignment horizontal="center" vertical="center"/>
    </xf>
    <xf numFmtId="49" fontId="10" fillId="0" borderId="17" xfId="0" applyNumberFormat="1" applyFont="1" applyBorder="1" applyAlignment="1" applyProtection="1">
      <alignment horizontal="center" vertical="center"/>
    </xf>
    <xf numFmtId="49" fontId="10" fillId="0" borderId="39" xfId="0" applyNumberFormat="1" applyFont="1" applyBorder="1" applyAlignment="1">
      <alignment horizontal="center" vertical="center"/>
    </xf>
    <xf numFmtId="0" fontId="10" fillId="0" borderId="28" xfId="0" applyFont="1" applyFill="1" applyBorder="1" applyAlignment="1" applyProtection="1">
      <alignment horizontal="center" vertical="center"/>
    </xf>
    <xf numFmtId="49" fontId="8" fillId="0" borderId="17" xfId="0" applyNumberFormat="1" applyFont="1" applyBorder="1" applyAlignment="1" applyProtection="1">
      <alignment horizontal="right" vertical="center"/>
    </xf>
    <xf numFmtId="0" fontId="10" fillId="0" borderId="17" xfId="0" applyFont="1" applyFill="1" applyBorder="1" applyAlignment="1" applyProtection="1">
      <alignment horizontal="center" vertical="center"/>
    </xf>
    <xf numFmtId="0" fontId="15" fillId="0" borderId="17" xfId="0" applyFont="1" applyFill="1" applyBorder="1" applyAlignment="1" applyProtection="1">
      <alignment horizontal="center" vertical="center"/>
    </xf>
    <xf numFmtId="49" fontId="10" fillId="0" borderId="29" xfId="0" applyNumberFormat="1" applyFont="1" applyBorder="1" applyAlignment="1">
      <alignment horizontal="center" vertical="center"/>
    </xf>
    <xf numFmtId="0" fontId="8" fillId="0" borderId="10" xfId="0" applyFont="1" applyBorder="1" applyAlignment="1">
      <alignment horizontal="center" vertical="top"/>
    </xf>
    <xf numFmtId="0" fontId="8" fillId="0" borderId="19" xfId="6" applyNumberFormat="1" applyFont="1" applyFill="1" applyBorder="1" applyAlignment="1">
      <alignment horizontal="left" vertical="center"/>
    </xf>
    <xf numFmtId="164" fontId="8" fillId="0" borderId="19" xfId="1" applyNumberFormat="1" applyFont="1" applyBorder="1" applyAlignment="1">
      <alignment horizontal="right" vertical="center"/>
    </xf>
    <xf numFmtId="164" fontId="8" fillId="0" borderId="4" xfId="1" applyNumberFormat="1" applyFont="1" applyBorder="1" applyAlignment="1">
      <alignment horizontal="right" vertical="center"/>
    </xf>
    <xf numFmtId="0" fontId="8" fillId="0" borderId="19" xfId="0" applyFont="1" applyBorder="1" applyAlignment="1">
      <alignment horizontal="center" vertical="center"/>
    </xf>
    <xf numFmtId="0" fontId="8" fillId="0" borderId="28" xfId="0" applyFont="1" applyBorder="1" applyAlignment="1">
      <alignment horizontal="center" vertical="center"/>
    </xf>
    <xf numFmtId="0" fontId="10" fillId="0" borderId="17" xfId="0" applyFont="1" applyFill="1" applyBorder="1" applyAlignment="1">
      <alignment horizontal="center" vertical="center" wrapText="1"/>
    </xf>
    <xf numFmtId="0" fontId="8" fillId="0" borderId="17" xfId="0" applyFont="1" applyFill="1" applyBorder="1" applyAlignment="1">
      <alignment horizontal="center" vertical="center"/>
    </xf>
    <xf numFmtId="0" fontId="8" fillId="0" borderId="7" xfId="6" applyNumberFormat="1" applyFont="1" applyFill="1" applyBorder="1" applyAlignment="1">
      <alignment horizontal="center" vertical="top"/>
    </xf>
    <xf numFmtId="0" fontId="8" fillId="2" borderId="7" xfId="6" applyNumberFormat="1" applyFont="1" applyFill="1" applyBorder="1" applyAlignment="1">
      <alignment horizontal="center" vertical="top"/>
    </xf>
    <xf numFmtId="0" fontId="8" fillId="2" borderId="8" xfId="6" applyNumberFormat="1" applyFont="1" applyFill="1" applyBorder="1" applyAlignment="1">
      <alignment horizontal="center" vertical="top"/>
    </xf>
    <xf numFmtId="0" fontId="10" fillId="0" borderId="19" xfId="6" applyNumberFormat="1" applyFont="1" applyFill="1" applyBorder="1" applyAlignment="1">
      <alignment horizontal="left" vertical="center"/>
    </xf>
    <xf numFmtId="164" fontId="10" fillId="0" borderId="19" xfId="1" applyNumberFormat="1" applyFont="1" applyFill="1" applyBorder="1" applyAlignment="1">
      <alignment horizontal="right" vertical="center"/>
    </xf>
    <xf numFmtId="0" fontId="8" fillId="0" borderId="17" xfId="0" applyFont="1" applyFill="1" applyBorder="1" applyAlignment="1">
      <alignment horizontal="right" vertical="center"/>
    </xf>
    <xf numFmtId="0" fontId="15" fillId="0" borderId="17" xfId="0" applyFont="1" applyFill="1" applyBorder="1" applyAlignment="1">
      <alignment horizontal="center" vertical="center"/>
    </xf>
    <xf numFmtId="0" fontId="8" fillId="0" borderId="26" xfId="0" applyFont="1" applyBorder="1" applyAlignment="1">
      <alignment horizontal="center" vertical="center" wrapText="1"/>
    </xf>
    <xf numFmtId="164" fontId="10" fillId="0" borderId="4" xfId="1" applyNumberFormat="1" applyFont="1" applyFill="1" applyBorder="1" applyAlignment="1">
      <alignment horizontal="right" vertical="center"/>
    </xf>
    <xf numFmtId="0" fontId="8" fillId="0" borderId="38" xfId="0" applyFont="1" applyBorder="1" applyAlignment="1">
      <alignment horizontal="center" vertical="center" wrapText="1"/>
    </xf>
    <xf numFmtId="49" fontId="15" fillId="0" borderId="17" xfId="1" applyNumberFormat="1" applyFont="1" applyFill="1" applyBorder="1" applyAlignment="1">
      <alignment horizontal="center" vertical="center"/>
    </xf>
    <xf numFmtId="49" fontId="10" fillId="0" borderId="17" xfId="0" applyNumberFormat="1" applyFont="1" applyFill="1" applyBorder="1" applyAlignment="1">
      <alignment horizontal="center" vertical="center"/>
    </xf>
    <xf numFmtId="49" fontId="8" fillId="0" borderId="17" xfId="0" applyNumberFormat="1" applyFont="1" applyBorder="1" applyAlignment="1">
      <alignment horizontal="right" vertical="center"/>
    </xf>
    <xf numFmtId="49" fontId="15" fillId="0" borderId="17" xfId="0" applyNumberFormat="1" applyFont="1" applyFill="1" applyBorder="1" applyAlignment="1">
      <alignment horizontal="center" vertical="center"/>
    </xf>
    <xf numFmtId="49" fontId="8" fillId="0" borderId="17" xfId="0" applyNumberFormat="1" applyFont="1" applyFill="1" applyBorder="1" applyAlignment="1">
      <alignment horizontal="right" vertical="center"/>
    </xf>
    <xf numFmtId="49" fontId="10" fillId="0" borderId="28" xfId="0" applyNumberFormat="1" applyFont="1" applyFill="1" applyBorder="1" applyAlignment="1">
      <alignment horizontal="center" vertical="center"/>
    </xf>
    <xf numFmtId="0" fontId="11" fillId="0" borderId="0" xfId="0" applyFont="1" applyBorder="1" applyAlignment="1">
      <alignment vertical="center"/>
    </xf>
    <xf numFmtId="0" fontId="8" fillId="0" borderId="36" xfId="0" applyFont="1" applyBorder="1" applyAlignment="1">
      <alignment vertical="center"/>
    </xf>
    <xf numFmtId="0" fontId="10" fillId="0" borderId="6" xfId="0" applyFont="1" applyBorder="1" applyAlignment="1">
      <alignment horizontal="center" vertical="center"/>
    </xf>
    <xf numFmtId="0" fontId="10" fillId="0" borderId="19" xfId="0" applyFont="1" applyFill="1" applyBorder="1" applyAlignment="1">
      <alignment horizontal="center" vertical="center"/>
    </xf>
    <xf numFmtId="0" fontId="10" fillId="0" borderId="1" xfId="0" applyFont="1" applyFill="1" applyBorder="1" applyAlignment="1">
      <alignment horizontal="center" vertical="center"/>
    </xf>
    <xf numFmtId="0" fontId="8" fillId="0" borderId="19" xfId="0" applyFont="1" applyBorder="1" applyAlignment="1">
      <alignment vertical="center"/>
    </xf>
    <xf numFmtId="37" fontId="8" fillId="0" borderId="10" xfId="11" applyNumberFormat="1" applyFont="1" applyBorder="1" applyAlignment="1">
      <alignment horizontal="center" vertical="top" wrapText="1"/>
    </xf>
    <xf numFmtId="37" fontId="8" fillId="2" borderId="11" xfId="11" applyNumberFormat="1" applyFont="1" applyFill="1" applyBorder="1" applyAlignment="1">
      <alignment horizontal="center" vertical="top" wrapText="1"/>
    </xf>
    <xf numFmtId="0" fontId="8" fillId="0" borderId="17" xfId="0" applyFont="1" applyBorder="1" applyAlignment="1">
      <alignment horizontal="center"/>
    </xf>
    <xf numFmtId="0" fontId="16" fillId="2" borderId="17" xfId="0" applyFont="1" applyFill="1" applyBorder="1" applyAlignment="1">
      <alignment horizontal="center" vertical="center"/>
    </xf>
    <xf numFmtId="0" fontId="16" fillId="2" borderId="12" xfId="0" applyFont="1" applyFill="1" applyBorder="1" applyAlignment="1">
      <alignment horizontal="center" vertical="center"/>
    </xf>
    <xf numFmtId="0" fontId="8" fillId="0" borderId="19" xfId="0" applyFont="1" applyFill="1" applyBorder="1"/>
    <xf numFmtId="164" fontId="8" fillId="0" borderId="19" xfId="1" applyNumberFormat="1" applyFont="1" applyFill="1" applyBorder="1" applyAlignment="1">
      <alignment horizontal="right"/>
    </xf>
    <xf numFmtId="164" fontId="8" fillId="0" borderId="4" xfId="1" applyNumberFormat="1" applyFont="1" applyFill="1" applyBorder="1" applyAlignment="1">
      <alignment horizontal="right"/>
    </xf>
    <xf numFmtId="164" fontId="8" fillId="0" borderId="19" xfId="1" applyNumberFormat="1" applyFont="1" applyBorder="1" applyAlignment="1">
      <alignment horizontal="right"/>
    </xf>
    <xf numFmtId="164" fontId="8" fillId="0" borderId="4" xfId="1" applyNumberFormat="1" applyFont="1" applyBorder="1" applyAlignment="1">
      <alignment horizontal="right"/>
    </xf>
    <xf numFmtId="0" fontId="8" fillId="0" borderId="10" xfId="0" applyFont="1" applyFill="1" applyBorder="1" applyAlignment="1">
      <alignment horizontal="center" vertical="top"/>
    </xf>
    <xf numFmtId="0" fontId="8" fillId="0" borderId="28" xfId="0" applyFont="1" applyFill="1" applyBorder="1" applyAlignment="1">
      <alignment horizontal="center"/>
    </xf>
    <xf numFmtId="165" fontId="15" fillId="0" borderId="17" xfId="0" applyNumberFormat="1" applyFont="1" applyBorder="1" applyAlignment="1">
      <alignment horizontal="right"/>
    </xf>
    <xf numFmtId="2" fontId="15" fillId="0" borderId="17" xfId="0" applyNumberFormat="1" applyFont="1" applyBorder="1" applyAlignment="1">
      <alignment horizontal="right"/>
    </xf>
    <xf numFmtId="0" fontId="8" fillId="0" borderId="17" xfId="0" applyFont="1" applyFill="1" applyBorder="1" applyAlignment="1">
      <alignment horizontal="center"/>
    </xf>
    <xf numFmtId="0" fontId="15" fillId="0" borderId="17" xfId="0" applyFont="1" applyBorder="1" applyAlignment="1">
      <alignment horizontal="right"/>
    </xf>
    <xf numFmtId="0" fontId="8" fillId="0" borderId="28" xfId="0" applyFont="1" applyBorder="1" applyAlignment="1">
      <alignment horizontal="center"/>
    </xf>
    <xf numFmtId="49" fontId="15" fillId="0" borderId="17" xfId="0" applyNumberFormat="1" applyFont="1" applyBorder="1" applyAlignment="1">
      <alignment horizontal="right"/>
    </xf>
    <xf numFmtId="164" fontId="8" fillId="0" borderId="19" xfId="1" applyNumberFormat="1" applyFont="1" applyFill="1" applyBorder="1" applyAlignment="1">
      <alignment horizontal="right" vertical="center"/>
    </xf>
    <xf numFmtId="164" fontId="8" fillId="0" borderId="4" xfId="1" applyNumberFormat="1" applyFont="1" applyFill="1" applyBorder="1" applyAlignment="1">
      <alignment horizontal="right" vertical="center"/>
    </xf>
    <xf numFmtId="0" fontId="8" fillId="0" borderId="28" xfId="0" applyFont="1" applyFill="1" applyBorder="1" applyAlignment="1">
      <alignment horizontal="center" vertical="center"/>
    </xf>
    <xf numFmtId="0" fontId="8" fillId="0" borderId="17" xfId="0" applyFont="1" applyFill="1" applyBorder="1" applyAlignment="1">
      <alignment horizontal="center" vertical="center" wrapText="1"/>
    </xf>
    <xf numFmtId="49" fontId="15" fillId="0" borderId="17" xfId="0" applyNumberFormat="1" applyFont="1" applyBorder="1" applyAlignment="1">
      <alignment horizontal="right" vertical="center"/>
    </xf>
    <xf numFmtId="0" fontId="16" fillId="0" borderId="17" xfId="0" applyFont="1" applyFill="1" applyBorder="1" applyAlignment="1">
      <alignment horizontal="center" vertical="center"/>
    </xf>
    <xf numFmtId="0" fontId="8" fillId="0" borderId="40" xfId="0" applyFont="1" applyFill="1" applyBorder="1" applyAlignment="1">
      <alignment horizontal="center" vertical="center"/>
    </xf>
    <xf numFmtId="0" fontId="19" fillId="3" borderId="12" xfId="0" applyFont="1" applyFill="1" applyBorder="1" applyAlignment="1">
      <alignment horizontal="center" vertical="center"/>
    </xf>
    <xf numFmtId="0" fontId="8" fillId="0" borderId="41" xfId="0" applyFont="1" applyFill="1" applyBorder="1" applyAlignment="1">
      <alignment horizontal="center" vertical="center"/>
    </xf>
    <xf numFmtId="2" fontId="15" fillId="0" borderId="17" xfId="0" applyNumberFormat="1" applyFont="1" applyFill="1" applyBorder="1" applyAlignment="1">
      <alignment horizontal="center" vertical="center"/>
    </xf>
    <xf numFmtId="0" fontId="8" fillId="0" borderId="19" xfId="7" applyNumberFormat="1" applyFont="1" applyFill="1" applyBorder="1" applyAlignment="1">
      <alignment horizontal="left" vertical="center"/>
    </xf>
    <xf numFmtId="164" fontId="8" fillId="2" borderId="19" xfId="1" applyNumberFormat="1" applyFont="1" applyFill="1" applyBorder="1" applyAlignment="1">
      <alignment horizontal="right" vertical="center"/>
    </xf>
    <xf numFmtId="164" fontId="8" fillId="2" borderId="4" xfId="1" applyNumberFormat="1" applyFont="1" applyFill="1" applyBorder="1" applyAlignment="1">
      <alignment horizontal="right" vertical="center"/>
    </xf>
    <xf numFmtId="0" fontId="8" fillId="0" borderId="19" xfId="8" applyNumberFormat="1" applyFont="1" applyFill="1" applyBorder="1" applyAlignment="1">
      <alignment horizontal="left" vertical="center"/>
    </xf>
    <xf numFmtId="0" fontId="8" fillId="0" borderId="19" xfId="7" applyFont="1" applyFill="1" applyBorder="1" applyAlignment="1">
      <alignment horizontal="left" vertical="center"/>
    </xf>
    <xf numFmtId="0" fontId="8" fillId="0" borderId="27" xfId="0" applyFont="1" applyFill="1" applyBorder="1" applyAlignment="1">
      <alignment horizontal="center" vertical="top"/>
    </xf>
    <xf numFmtId="0" fontId="10" fillId="2" borderId="12" xfId="7" applyNumberFormat="1" applyFont="1" applyFill="1" applyBorder="1" applyAlignment="1">
      <alignment horizontal="center" vertical="center"/>
    </xf>
    <xf numFmtId="0" fontId="10" fillId="2" borderId="9" xfId="7" applyNumberFormat="1" applyFont="1" applyFill="1" applyBorder="1" applyAlignment="1">
      <alignment horizontal="center" vertical="center"/>
    </xf>
    <xf numFmtId="49" fontId="10" fillId="0" borderId="26" xfId="0" applyNumberFormat="1" applyFont="1" applyBorder="1" applyAlignment="1">
      <alignment horizontal="center" vertical="center"/>
    </xf>
    <xf numFmtId="0" fontId="10" fillId="2" borderId="12" xfId="0" applyFont="1" applyFill="1" applyBorder="1" applyAlignment="1">
      <alignment horizontal="center" vertical="center"/>
    </xf>
    <xf numFmtId="0" fontId="8" fillId="0" borderId="12" xfId="0" applyFont="1" applyFill="1" applyBorder="1" applyAlignment="1">
      <alignment horizontal="center" vertical="center"/>
    </xf>
    <xf numFmtId="0" fontId="23" fillId="0" borderId="0" xfId="0" applyFont="1" applyFill="1" applyBorder="1" applyAlignment="1">
      <alignment horizontal="left" vertical="top"/>
    </xf>
    <xf numFmtId="0" fontId="10" fillId="0" borderId="17" xfId="0" applyFont="1" applyFill="1" applyBorder="1" applyAlignment="1">
      <alignment horizontal="center"/>
    </xf>
    <xf numFmtId="0" fontId="10" fillId="2" borderId="19" xfId="0" applyFont="1" applyFill="1" applyBorder="1" applyAlignment="1">
      <alignment horizontal="left" vertical="center"/>
    </xf>
    <xf numFmtId="0" fontId="10" fillId="2" borderId="28" xfId="0" applyFont="1" applyFill="1" applyBorder="1" applyAlignment="1">
      <alignment horizontal="center" vertical="center"/>
    </xf>
    <xf numFmtId="0" fontId="16" fillId="0" borderId="17" xfId="0" applyFont="1" applyFill="1" applyBorder="1" applyAlignment="1">
      <alignment horizontal="right" vertical="center"/>
    </xf>
    <xf numFmtId="49" fontId="10" fillId="0" borderId="38" xfId="0" applyNumberFormat="1" applyFont="1" applyBorder="1" applyAlignment="1">
      <alignment horizontal="center" vertical="center"/>
    </xf>
    <xf numFmtId="2" fontId="15" fillId="0" borderId="12" xfId="0" applyNumberFormat="1" applyFont="1" applyFill="1" applyBorder="1" applyAlignment="1">
      <alignment horizontal="center" vertical="center"/>
    </xf>
    <xf numFmtId="0" fontId="10" fillId="0" borderId="19" xfId="0" applyFont="1" applyFill="1" applyBorder="1"/>
    <xf numFmtId="164" fontId="10" fillId="0" borderId="19" xfId="1" applyNumberFormat="1" applyFont="1" applyFill="1" applyBorder="1" applyAlignment="1">
      <alignment horizontal="right"/>
    </xf>
    <xf numFmtId="164" fontId="10" fillId="0" borderId="4" xfId="1" applyNumberFormat="1" applyFont="1" applyFill="1" applyBorder="1" applyAlignment="1">
      <alignment horizontal="right"/>
    </xf>
    <xf numFmtId="49" fontId="15" fillId="0" borderId="17" xfId="0" applyNumberFormat="1" applyFont="1" applyBorder="1" applyAlignment="1">
      <alignment horizontal="center" vertical="center"/>
    </xf>
    <xf numFmtId="49" fontId="10" fillId="0" borderId="17" xfId="0" applyNumberFormat="1" applyFont="1" applyBorder="1" applyAlignment="1">
      <alignment horizontal="center" vertical="center"/>
    </xf>
    <xf numFmtId="0" fontId="10" fillId="0" borderId="28" xfId="0" applyFont="1" applyFill="1" applyBorder="1" applyAlignment="1">
      <alignment horizontal="center"/>
    </xf>
    <xf numFmtId="49" fontId="8" fillId="0" borderId="17" xfId="0" applyNumberFormat="1" applyFont="1" applyBorder="1" applyAlignment="1">
      <alignment horizontal="right"/>
    </xf>
    <xf numFmtId="164" fontId="10" fillId="0" borderId="19" xfId="1" applyNumberFormat="1" applyFont="1" applyBorder="1" applyAlignment="1">
      <alignment horizontal="right" vertical="center"/>
    </xf>
    <xf numFmtId="164" fontId="10" fillId="0" borderId="4" xfId="1" applyNumberFormat="1" applyFont="1" applyBorder="1" applyAlignment="1">
      <alignment horizontal="right" vertical="center"/>
    </xf>
    <xf numFmtId="164" fontId="10" fillId="0" borderId="19" xfId="1" applyNumberFormat="1" applyFont="1" applyFill="1" applyBorder="1" applyAlignment="1">
      <alignment vertical="center"/>
    </xf>
    <xf numFmtId="164" fontId="10" fillId="0" borderId="4" xfId="1" applyNumberFormat="1" applyFont="1" applyFill="1" applyBorder="1" applyAlignment="1">
      <alignment vertical="center"/>
    </xf>
    <xf numFmtId="0" fontId="15" fillId="0" borderId="17" xfId="1" applyNumberFormat="1" applyFont="1" applyFill="1" applyBorder="1" applyAlignment="1">
      <alignment horizontal="center" vertical="center"/>
    </xf>
    <xf numFmtId="2" fontId="15" fillId="0" borderId="17" xfId="1" applyNumberFormat="1" applyFont="1" applyFill="1" applyBorder="1" applyAlignment="1">
      <alignment horizontal="center" vertical="center"/>
    </xf>
    <xf numFmtId="0" fontId="8" fillId="0" borderId="19" xfId="9" applyFont="1" applyFill="1" applyBorder="1" applyAlignment="1">
      <alignment vertical="center"/>
    </xf>
    <xf numFmtId="0" fontId="15" fillId="0" borderId="17" xfId="0" applyFont="1" applyBorder="1" applyAlignment="1">
      <alignment horizontal="right" vertical="center"/>
    </xf>
    <xf numFmtId="2" fontId="15" fillId="0" borderId="17" xfId="0" applyNumberFormat="1" applyFont="1" applyBorder="1" applyAlignment="1">
      <alignment horizontal="right" vertical="center"/>
    </xf>
    <xf numFmtId="165" fontId="8" fillId="0" borderId="17" xfId="0" applyNumberFormat="1" applyFont="1" applyFill="1" applyBorder="1" applyAlignment="1">
      <alignment horizontal="center" vertical="center"/>
    </xf>
    <xf numFmtId="2" fontId="8" fillId="0" borderId="17" xfId="0" applyNumberFormat="1" applyFont="1" applyFill="1" applyBorder="1" applyAlignment="1">
      <alignment horizontal="center" vertical="center"/>
    </xf>
    <xf numFmtId="0" fontId="8" fillId="0" borderId="19" xfId="7" applyFont="1" applyFill="1" applyBorder="1"/>
    <xf numFmtId="0" fontId="8" fillId="0" borderId="19" xfId="7" applyFont="1" applyFill="1" applyBorder="1" applyAlignment="1">
      <alignment vertical="center"/>
    </xf>
    <xf numFmtId="0" fontId="8" fillId="0" borderId="10" xfId="6" applyNumberFormat="1" applyFont="1" applyFill="1" applyBorder="1" applyAlignment="1">
      <alignment horizontal="center" vertical="top" wrapText="1"/>
    </xf>
    <xf numFmtId="0" fontId="8" fillId="2" borderId="11" xfId="6" applyNumberFormat="1" applyFont="1" applyFill="1" applyBorder="1" applyAlignment="1">
      <alignment horizontal="center" vertical="top" wrapText="1"/>
    </xf>
    <xf numFmtId="0" fontId="10" fillId="0" borderId="19" xfId="6" applyFont="1" applyFill="1" applyBorder="1" applyAlignment="1">
      <alignment vertical="center"/>
    </xf>
    <xf numFmtId="0" fontId="10" fillId="2" borderId="17" xfId="0" applyFont="1" applyFill="1" applyBorder="1" applyAlignment="1">
      <alignment horizontal="center" vertical="center"/>
    </xf>
    <xf numFmtId="0" fontId="13" fillId="0" borderId="42" xfId="0" applyFont="1" applyFill="1" applyBorder="1" applyAlignment="1">
      <alignment vertical="center"/>
    </xf>
    <xf numFmtId="0" fontId="12" fillId="0" borderId="43" xfId="7" applyFont="1" applyFill="1" applyBorder="1" applyAlignment="1">
      <alignment horizontal="center" vertical="center"/>
    </xf>
    <xf numFmtId="0" fontId="8" fillId="0" borderId="44" xfId="0" applyFont="1" applyBorder="1" applyAlignment="1">
      <alignment horizontal="center" vertical="center"/>
    </xf>
    <xf numFmtId="0" fontId="8" fillId="0" borderId="42" xfId="0" applyFont="1" applyBorder="1" applyAlignment="1">
      <alignment horizontal="center" vertical="center"/>
    </xf>
    <xf numFmtId="0" fontId="8" fillId="0" borderId="44" xfId="0" applyFont="1" applyBorder="1" applyAlignment="1">
      <alignment vertical="center"/>
    </xf>
    <xf numFmtId="0" fontId="8" fillId="0" borderId="42" xfId="0" applyFont="1" applyBorder="1" applyAlignment="1"/>
    <xf numFmtId="0" fontId="8" fillId="0" borderId="42" xfId="0" applyFont="1" applyBorder="1" applyAlignment="1">
      <alignment vertical="top"/>
    </xf>
    <xf numFmtId="0" fontId="8" fillId="0" borderId="44" xfId="0" applyFont="1" applyBorder="1" applyAlignment="1">
      <alignment vertical="top"/>
    </xf>
    <xf numFmtId="0" fontId="8" fillId="0" borderId="42" xfId="0" applyFont="1" applyBorder="1" applyAlignment="1">
      <alignment vertical="center"/>
    </xf>
    <xf numFmtId="0" fontId="10" fillId="0" borderId="45" xfId="0" applyFont="1" applyBorder="1" applyAlignment="1">
      <alignment horizontal="center" vertical="center"/>
    </xf>
    <xf numFmtId="0" fontId="8" fillId="0" borderId="46" xfId="0" applyFont="1" applyBorder="1" applyAlignment="1">
      <alignment vertical="center"/>
    </xf>
    <xf numFmtId="0" fontId="8" fillId="0" borderId="47" xfId="0" applyFont="1" applyBorder="1" applyAlignment="1">
      <alignment vertical="center"/>
    </xf>
    <xf numFmtId="0" fontId="10" fillId="0" borderId="17" xfId="7" applyFont="1" applyFill="1" applyBorder="1" applyAlignment="1">
      <alignment horizontal="center" vertical="center"/>
    </xf>
    <xf numFmtId="0" fontId="8" fillId="0" borderId="35" xfId="7" applyFont="1" applyFill="1" applyBorder="1" applyAlignment="1">
      <alignment horizontal="center" vertical="center"/>
    </xf>
    <xf numFmtId="0" fontId="10" fillId="0" borderId="35" xfId="7" applyFont="1" applyFill="1" applyBorder="1" applyAlignment="1">
      <alignment horizontal="center" vertical="center"/>
    </xf>
    <xf numFmtId="0" fontId="13" fillId="0" borderId="47" xfId="0" applyFont="1" applyBorder="1" applyAlignment="1">
      <alignment vertical="center"/>
    </xf>
    <xf numFmtId="0" fontId="13" fillId="0" borderId="15" xfId="0" applyFont="1" applyBorder="1" applyAlignment="1">
      <alignment vertical="center"/>
    </xf>
    <xf numFmtId="0" fontId="33" fillId="0" borderId="42" xfId="6" applyFont="1" applyBorder="1" applyAlignment="1">
      <alignment vertical="center"/>
    </xf>
    <xf numFmtId="0" fontId="35" fillId="0" borderId="43" xfId="7" applyFont="1" applyFill="1" applyBorder="1" applyAlignment="1">
      <alignment horizontal="center" vertical="center"/>
    </xf>
    <xf numFmtId="0" fontId="8" fillId="0" borderId="44" xfId="6" applyFont="1" applyBorder="1" applyAlignment="1">
      <alignment vertical="top"/>
    </xf>
    <xf numFmtId="0" fontId="8" fillId="0" borderId="42" xfId="6" applyFont="1" applyBorder="1" applyAlignment="1">
      <alignment vertical="top"/>
    </xf>
    <xf numFmtId="0" fontId="8" fillId="0" borderId="44" xfId="6" applyFont="1" applyBorder="1" applyAlignment="1">
      <alignment vertical="center"/>
    </xf>
    <xf numFmtId="0" fontId="8" fillId="0" borderId="42" xfId="6" applyFont="1" applyBorder="1"/>
    <xf numFmtId="0" fontId="35" fillId="0" borderId="43" xfId="7" applyFont="1" applyFill="1" applyBorder="1" applyAlignment="1">
      <alignment horizontal="center"/>
    </xf>
    <xf numFmtId="0" fontId="8" fillId="0" borderId="44" xfId="6" applyFont="1" applyBorder="1"/>
    <xf numFmtId="0" fontId="8" fillId="0" borderId="42" xfId="6" applyFont="1" applyBorder="1" applyAlignment="1">
      <alignment vertical="center"/>
    </xf>
    <xf numFmtId="0" fontId="8" fillId="0" borderId="42" xfId="6" applyFont="1" applyBorder="1" applyAlignment="1"/>
    <xf numFmtId="0" fontId="33" fillId="0" borderId="15" xfId="6" applyFont="1" applyBorder="1"/>
    <xf numFmtId="0" fontId="33" fillId="0" borderId="47" xfId="6" applyFont="1" applyBorder="1"/>
    <xf numFmtId="0" fontId="8" fillId="0" borderId="17" xfId="7" applyFont="1" applyFill="1" applyBorder="1" applyAlignment="1">
      <alignment vertical="center"/>
    </xf>
    <xf numFmtId="0" fontId="8" fillId="0" borderId="47" xfId="6" applyFont="1" applyBorder="1"/>
    <xf numFmtId="0" fontId="9" fillId="0" borderId="0" xfId="0" applyFont="1" applyFill="1" applyBorder="1" applyAlignment="1">
      <alignment horizontal="right"/>
    </xf>
    <xf numFmtId="0" fontId="10" fillId="0" borderId="0" xfId="0" applyFont="1" applyAlignment="1"/>
    <xf numFmtId="0" fontId="8" fillId="0" borderId="0" xfId="0" applyFont="1" applyFill="1" applyBorder="1" applyAlignment="1" applyProtection="1">
      <alignment horizontal="left" vertical="center"/>
      <protection locked="0"/>
    </xf>
    <xf numFmtId="0" fontId="10" fillId="2" borderId="23" xfId="6" applyNumberFormat="1" applyFont="1" applyFill="1" applyBorder="1" applyAlignment="1">
      <alignment horizontal="left" vertical="center" wrapText="1"/>
    </xf>
    <xf numFmtId="0" fontId="10" fillId="0" borderId="0" xfId="0" applyFont="1" applyBorder="1" applyAlignment="1">
      <alignment horizontal="center" vertical="center"/>
    </xf>
    <xf numFmtId="164" fontId="8" fillId="4" borderId="1" xfId="1" applyNumberFormat="1" applyFont="1" applyFill="1" applyBorder="1" applyAlignment="1">
      <alignment horizontal="right" vertical="center"/>
    </xf>
    <xf numFmtId="0" fontId="8" fillId="0" borderId="0" xfId="0" applyFont="1" applyFill="1" applyBorder="1" applyAlignment="1" applyProtection="1">
      <alignment horizontal="left" vertical="center"/>
      <protection locked="0"/>
    </xf>
    <xf numFmtId="164" fontId="10" fillId="2" borderId="36" xfId="1" applyNumberFormat="1" applyFont="1" applyFill="1" applyBorder="1" applyAlignment="1">
      <alignment horizontal="right" vertical="center"/>
    </xf>
    <xf numFmtId="49" fontId="10" fillId="0" borderId="29" xfId="0" applyNumberFormat="1" applyFont="1" applyBorder="1" applyAlignment="1">
      <alignment horizontal="center"/>
    </xf>
    <xf numFmtId="0" fontId="10" fillId="0" borderId="31" xfId="0" applyFont="1" applyFill="1" applyBorder="1" applyAlignment="1">
      <alignment horizontal="center" vertical="center"/>
    </xf>
    <xf numFmtId="164" fontId="10" fillId="0" borderId="0" xfId="5" applyNumberFormat="1" applyFont="1" applyFill="1" applyBorder="1" applyAlignment="1">
      <alignment horizontal="left" vertical="center"/>
    </xf>
    <xf numFmtId="0" fontId="16" fillId="0" borderId="0" xfId="7" applyFont="1" applyFill="1" applyBorder="1" applyAlignment="1">
      <alignment horizontal="center" vertical="center"/>
    </xf>
    <xf numFmtId="164" fontId="10" fillId="0" borderId="1" xfId="1" applyNumberFormat="1" applyFont="1" applyFill="1" applyBorder="1" applyAlignment="1">
      <alignment horizontal="right" vertical="center"/>
    </xf>
    <xf numFmtId="164" fontId="8" fillId="0" borderId="1" xfId="1" applyNumberFormat="1" applyFont="1" applyFill="1" applyBorder="1" applyAlignment="1">
      <alignment horizontal="right" vertical="center"/>
    </xf>
    <xf numFmtId="164" fontId="8" fillId="0" borderId="5" xfId="1" applyNumberFormat="1" applyFont="1" applyFill="1" applyBorder="1" applyAlignment="1">
      <alignment horizontal="right" vertical="center"/>
    </xf>
    <xf numFmtId="164" fontId="10" fillId="0" borderId="5" xfId="1" applyNumberFormat="1" applyFont="1" applyFill="1" applyBorder="1" applyAlignment="1">
      <alignment horizontal="right" vertical="center"/>
    </xf>
    <xf numFmtId="0" fontId="12" fillId="0" borderId="0" xfId="7" applyFont="1" applyFill="1" applyBorder="1" applyAlignment="1">
      <alignment horizontal="center" vertical="center"/>
    </xf>
    <xf numFmtId="164" fontId="10" fillId="2" borderId="17" xfId="1" applyNumberFormat="1" applyFont="1" applyFill="1" applyBorder="1" applyAlignment="1">
      <alignment horizontal="right" vertical="center"/>
    </xf>
    <xf numFmtId="164" fontId="2" fillId="0" borderId="1" xfId="1" applyNumberFormat="1" applyFont="1" applyFill="1" applyBorder="1" applyAlignment="1">
      <alignment horizontal="right" vertical="center"/>
    </xf>
    <xf numFmtId="164" fontId="5" fillId="2" borderId="7" xfId="1" applyNumberFormat="1" applyFont="1" applyFill="1" applyBorder="1" applyAlignment="1">
      <alignment horizontal="right" vertical="center"/>
    </xf>
    <xf numFmtId="164" fontId="5" fillId="0" borderId="0" xfId="2" applyNumberFormat="1" applyFont="1" applyFill="1" applyBorder="1" applyAlignment="1">
      <alignment horizontal="left" vertical="center"/>
    </xf>
    <xf numFmtId="0" fontId="8" fillId="0" borderId="17" xfId="0" applyFont="1" applyFill="1" applyBorder="1"/>
    <xf numFmtId="0" fontId="8" fillId="0" borderId="19" xfId="6" applyNumberFormat="1" applyFont="1" applyFill="1" applyBorder="1" applyAlignment="1">
      <alignment horizontal="left" vertical="center" wrapText="1"/>
    </xf>
    <xf numFmtId="0" fontId="16" fillId="0" borderId="1" xfId="9" applyFont="1" applyFill="1" applyBorder="1" applyAlignment="1">
      <alignment vertical="center" wrapText="1"/>
    </xf>
    <xf numFmtId="164" fontId="16" fillId="0" borderId="1" xfId="1" applyNumberFormat="1" applyFont="1" applyFill="1" applyBorder="1" applyAlignment="1">
      <alignment horizontal="right" vertical="center"/>
    </xf>
    <xf numFmtId="164" fontId="16" fillId="0" borderId="5" xfId="1" applyNumberFormat="1" applyFont="1" applyFill="1" applyBorder="1" applyAlignment="1">
      <alignment horizontal="right" vertical="center"/>
    </xf>
    <xf numFmtId="0" fontId="10" fillId="0" borderId="3"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15" xfId="0" applyFont="1" applyBorder="1" applyAlignment="1">
      <alignment horizontal="center" vertical="center"/>
    </xf>
    <xf numFmtId="0" fontId="8" fillId="0" borderId="35" xfId="0" applyFont="1" applyFill="1" applyBorder="1" applyAlignment="1">
      <alignment horizontal="center" vertical="center"/>
    </xf>
    <xf numFmtId="0" fontId="8" fillId="0" borderId="20" xfId="0" applyFont="1" applyFill="1" applyBorder="1" applyAlignment="1">
      <alignment vertical="center"/>
    </xf>
    <xf numFmtId="164" fontId="8" fillId="0" borderId="20" xfId="1" applyNumberFormat="1" applyFont="1" applyBorder="1" applyAlignment="1">
      <alignment horizontal="right" vertical="center"/>
    </xf>
    <xf numFmtId="164" fontId="8" fillId="0" borderId="16" xfId="1" applyNumberFormat="1" applyFont="1" applyBorder="1" applyAlignment="1">
      <alignment horizontal="right" vertical="center"/>
    </xf>
    <xf numFmtId="0" fontId="8" fillId="0" borderId="35" xfId="0" applyFont="1" applyFill="1" applyBorder="1" applyAlignment="1">
      <alignment horizontal="right" vertical="center"/>
    </xf>
    <xf numFmtId="0" fontId="8" fillId="0" borderId="9" xfId="0" applyFont="1" applyFill="1" applyBorder="1" applyAlignment="1">
      <alignment vertical="center"/>
    </xf>
    <xf numFmtId="0" fontId="8" fillId="0" borderId="27" xfId="0" applyFont="1" applyFill="1" applyBorder="1" applyAlignment="1">
      <alignment vertical="center"/>
    </xf>
    <xf numFmtId="2" fontId="8" fillId="0" borderId="1" xfId="6" applyNumberFormat="1" applyFont="1" applyBorder="1" applyAlignment="1">
      <alignment horizontal="justify" vertical="top"/>
    </xf>
    <xf numFmtId="164" fontId="8" fillId="0" borderId="19" xfId="1" applyNumberFormat="1" applyFont="1" applyBorder="1" applyAlignment="1">
      <alignment vertical="center"/>
    </xf>
    <xf numFmtId="164" fontId="8" fillId="0" borderId="4" xfId="1" applyNumberFormat="1" applyFont="1" applyBorder="1" applyAlignment="1">
      <alignment vertical="center"/>
    </xf>
    <xf numFmtId="164" fontId="10" fillId="2" borderId="7" xfId="1" applyNumberFormat="1" applyFont="1" applyFill="1" applyBorder="1" applyAlignment="1">
      <alignment vertical="center"/>
    </xf>
    <xf numFmtId="164" fontId="10" fillId="2" borderId="8" xfId="1" applyNumberFormat="1" applyFont="1" applyFill="1" applyBorder="1" applyAlignment="1">
      <alignment vertical="center"/>
    </xf>
    <xf numFmtId="164" fontId="8" fillId="2" borderId="5" xfId="1" applyNumberFormat="1" applyFont="1" applyFill="1" applyBorder="1" applyAlignment="1">
      <alignment vertical="center"/>
    </xf>
    <xf numFmtId="164" fontId="16" fillId="2" borderId="1" xfId="1" applyNumberFormat="1" applyFont="1" applyFill="1" applyBorder="1" applyAlignment="1">
      <alignment vertical="center"/>
    </xf>
    <xf numFmtId="164" fontId="16" fillId="2" borderId="5" xfId="1" applyNumberFormat="1" applyFont="1" applyFill="1" applyBorder="1" applyAlignment="1">
      <alignment vertical="center"/>
    </xf>
    <xf numFmtId="164" fontId="16" fillId="2" borderId="7" xfId="1" applyNumberFormat="1" applyFont="1" applyFill="1" applyBorder="1" applyAlignment="1">
      <alignment vertical="center"/>
    </xf>
    <xf numFmtId="164" fontId="16" fillId="2" borderId="8" xfId="1" applyNumberFormat="1" applyFont="1" applyFill="1" applyBorder="1" applyAlignment="1">
      <alignment vertical="center"/>
    </xf>
    <xf numFmtId="164" fontId="8" fillId="0" borderId="0" xfId="1" applyNumberFormat="1" applyFont="1"/>
    <xf numFmtId="164" fontId="8" fillId="0" borderId="6" xfId="1" applyNumberFormat="1" applyFont="1" applyFill="1" applyBorder="1" applyAlignment="1">
      <alignment vertical="center"/>
    </xf>
    <xf numFmtId="164" fontId="8" fillId="0" borderId="6" xfId="1" applyNumberFormat="1" applyFont="1" applyBorder="1" applyAlignment="1">
      <alignment vertical="center"/>
    </xf>
    <xf numFmtId="164" fontId="8" fillId="0" borderId="9" xfId="1" applyNumberFormat="1" applyFont="1" applyBorder="1" applyAlignment="1">
      <alignment vertical="center"/>
    </xf>
    <xf numFmtId="164" fontId="8" fillId="0" borderId="0" xfId="1" applyNumberFormat="1" applyFont="1" applyBorder="1"/>
    <xf numFmtId="164" fontId="8" fillId="0" borderId="10" xfId="1" applyNumberFormat="1" applyFont="1" applyBorder="1" applyAlignment="1">
      <alignment horizontal="center" vertical="top" wrapText="1"/>
    </xf>
    <xf numFmtId="164" fontId="8" fillId="0" borderId="11" xfId="1" applyNumberFormat="1" applyFont="1" applyBorder="1" applyAlignment="1">
      <alignment horizontal="center" vertical="top" wrapText="1"/>
    </xf>
    <xf numFmtId="164" fontId="10" fillId="0" borderId="0" xfId="1" applyNumberFormat="1" applyFont="1" applyBorder="1" applyAlignment="1">
      <alignment horizontal="center" vertical="center" wrapText="1"/>
    </xf>
    <xf numFmtId="164" fontId="10" fillId="0" borderId="0" xfId="1" applyNumberFormat="1" applyFont="1" applyFill="1" applyBorder="1"/>
    <xf numFmtId="164" fontId="10" fillId="0" borderId="1" xfId="1" applyNumberFormat="1" applyFont="1" applyFill="1" applyBorder="1" applyAlignment="1">
      <alignment horizontal="center" vertical="center"/>
    </xf>
    <xf numFmtId="164" fontId="10" fillId="0" borderId="17" xfId="1" applyNumberFormat="1" applyFont="1" applyFill="1" applyBorder="1" applyAlignment="1">
      <alignment horizontal="center" vertical="center"/>
    </xf>
    <xf numFmtId="164" fontId="10" fillId="0" borderId="24" xfId="1" applyNumberFormat="1" applyFont="1" applyFill="1" applyBorder="1" applyAlignment="1">
      <alignment horizontal="justify"/>
    </xf>
    <xf numFmtId="164" fontId="8" fillId="0" borderId="35" xfId="1" applyNumberFormat="1" applyFont="1" applyFill="1" applyBorder="1" applyAlignment="1">
      <alignment horizontal="center" vertical="center"/>
    </xf>
    <xf numFmtId="164" fontId="8" fillId="0" borderId="24" xfId="1" applyNumberFormat="1" applyFont="1" applyFill="1" applyBorder="1" applyAlignment="1">
      <alignment horizontal="justify"/>
    </xf>
    <xf numFmtId="164" fontId="8" fillId="0" borderId="17" xfId="1" applyNumberFormat="1" applyFont="1" applyFill="1" applyBorder="1" applyAlignment="1">
      <alignment horizontal="center" vertical="center"/>
    </xf>
    <xf numFmtId="164" fontId="8" fillId="0" borderId="24" xfId="1" applyNumberFormat="1" applyFont="1" applyFill="1" applyBorder="1" applyAlignment="1">
      <alignment horizontal="justify" vertical="center" wrapText="1"/>
    </xf>
    <xf numFmtId="164" fontId="10" fillId="0" borderId="35" xfId="1" applyNumberFormat="1" applyFont="1" applyFill="1" applyBorder="1" applyAlignment="1">
      <alignment horizontal="center" vertical="center"/>
    </xf>
    <xf numFmtId="164" fontId="10" fillId="0" borderId="24" xfId="1" applyNumberFormat="1" applyFont="1" applyFill="1" applyBorder="1" applyAlignment="1">
      <alignment horizontal="justify" vertical="center"/>
    </xf>
    <xf numFmtId="164" fontId="10" fillId="0" borderId="1" xfId="1" applyNumberFormat="1" applyFont="1" applyFill="1" applyBorder="1" applyAlignment="1">
      <alignment horizontal="justify" vertical="center" wrapText="1"/>
    </xf>
    <xf numFmtId="164" fontId="8" fillId="0" borderId="1" xfId="1" applyNumberFormat="1" applyFont="1" applyFill="1" applyBorder="1" applyAlignment="1">
      <alignment horizontal="justify" vertical="center" wrapText="1"/>
    </xf>
    <xf numFmtId="164" fontId="8" fillId="0" borderId="1" xfId="1" applyNumberFormat="1" applyFont="1" applyFill="1" applyBorder="1" applyAlignment="1">
      <alignment horizontal="justify" vertical="center"/>
    </xf>
    <xf numFmtId="164" fontId="10" fillId="0" borderId="1" xfId="1" applyNumberFormat="1" applyFont="1" applyFill="1" applyBorder="1" applyAlignment="1">
      <alignment horizontal="justify" vertical="center"/>
    </xf>
    <xf numFmtId="164" fontId="10" fillId="0" borderId="1" xfId="1" applyNumberFormat="1" applyFont="1" applyFill="1" applyBorder="1" applyAlignment="1">
      <alignment horizontal="justify" vertical="top"/>
    </xf>
    <xf numFmtId="164" fontId="8" fillId="0" borderId="24" xfId="1" applyNumberFormat="1" applyFont="1" applyFill="1" applyBorder="1" applyAlignment="1">
      <alignment horizontal="justify" vertical="center"/>
    </xf>
    <xf numFmtId="164" fontId="8" fillId="0" borderId="1" xfId="1" applyNumberFormat="1" applyFont="1" applyFill="1" applyBorder="1" applyAlignment="1">
      <alignment horizontal="justify"/>
    </xf>
    <xf numFmtId="164" fontId="10" fillId="0" borderId="1" xfId="1" applyNumberFormat="1" applyFont="1" applyFill="1" applyBorder="1" applyAlignment="1">
      <alignment horizontal="justify"/>
    </xf>
    <xf numFmtId="164" fontId="10" fillId="0" borderId="24" xfId="1" applyNumberFormat="1" applyFont="1" applyFill="1" applyBorder="1" applyAlignment="1">
      <alignment horizontal="justify" vertical="center" wrapText="1"/>
    </xf>
    <xf numFmtId="164" fontId="10" fillId="0" borderId="40" xfId="1" applyNumberFormat="1" applyFont="1" applyFill="1" applyBorder="1" applyAlignment="1">
      <alignment horizontal="center" vertical="center"/>
    </xf>
    <xf numFmtId="164" fontId="8" fillId="0" borderId="5" xfId="1" applyNumberFormat="1" applyFont="1" applyFill="1" applyBorder="1" applyAlignment="1" applyProtection="1">
      <alignment horizontal="left" vertical="center"/>
      <protection locked="0"/>
    </xf>
    <xf numFmtId="0" fontId="15" fillId="0" borderId="20" xfId="0" applyFont="1" applyFill="1" applyBorder="1" applyAlignment="1">
      <alignment horizontal="center"/>
    </xf>
    <xf numFmtId="0" fontId="15" fillId="0" borderId="35" xfId="0" applyFont="1" applyFill="1" applyBorder="1"/>
    <xf numFmtId="164" fontId="15" fillId="0" borderId="20" xfId="1" applyNumberFormat="1" applyFont="1" applyFill="1" applyBorder="1" applyAlignment="1">
      <alignment horizontal="right"/>
    </xf>
    <xf numFmtId="164" fontId="15" fillId="0" borderId="16" xfId="1" applyNumberFormat="1" applyFont="1" applyFill="1" applyBorder="1" applyAlignment="1">
      <alignment horizontal="right"/>
    </xf>
    <xf numFmtId="0" fontId="10" fillId="0" borderId="9" xfId="0" applyFont="1" applyBorder="1"/>
    <xf numFmtId="164" fontId="10" fillId="0" borderId="9" xfId="1" applyNumberFormat="1" applyFont="1" applyBorder="1" applyAlignment="1">
      <alignment horizontal="right"/>
    </xf>
    <xf numFmtId="164" fontId="8" fillId="0" borderId="1" xfId="1" applyNumberFormat="1" applyFont="1" applyFill="1" applyBorder="1" applyAlignment="1">
      <alignment horizontal="right" vertical="center"/>
    </xf>
    <xf numFmtId="0" fontId="8" fillId="0" borderId="29" xfId="0" applyFont="1" applyFill="1" applyBorder="1" applyAlignment="1">
      <alignment horizontal="center" vertical="center"/>
    </xf>
    <xf numFmtId="0" fontId="8" fillId="0" borderId="7" xfId="0" applyFont="1" applyFill="1" applyBorder="1" applyAlignment="1">
      <alignment vertical="center"/>
    </xf>
    <xf numFmtId="0" fontId="8" fillId="0" borderId="8" xfId="0" applyFont="1" applyFill="1" applyBorder="1" applyAlignment="1" applyProtection="1">
      <alignment horizontal="left" vertical="center"/>
      <protection locked="0"/>
    </xf>
    <xf numFmtId="0" fontId="10" fillId="0" borderId="2" xfId="7" applyFont="1" applyBorder="1" applyAlignment="1">
      <alignment horizontal="center" vertical="center"/>
    </xf>
    <xf numFmtId="0" fontId="8" fillId="0" borderId="28" xfId="7" applyFont="1" applyBorder="1" applyAlignment="1">
      <alignment horizontal="center" vertical="center"/>
    </xf>
    <xf numFmtId="0" fontId="8" fillId="0" borderId="19" xfId="13" applyFont="1" applyFill="1" applyBorder="1" applyAlignment="1">
      <alignment vertical="center" wrapText="1"/>
    </xf>
    <xf numFmtId="164" fontId="8" fillId="0" borderId="19" xfId="2" applyNumberFormat="1" applyFont="1" applyBorder="1" applyAlignment="1">
      <alignment vertical="center"/>
    </xf>
    <xf numFmtId="164" fontId="8" fillId="0" borderId="4" xfId="2" applyNumberFormat="1" applyFont="1" applyBorder="1" applyAlignment="1">
      <alignment vertical="center"/>
    </xf>
    <xf numFmtId="0" fontId="10" fillId="0" borderId="3" xfId="7" applyFont="1" applyBorder="1" applyAlignment="1">
      <alignment horizontal="center" vertical="center"/>
    </xf>
    <xf numFmtId="0" fontId="8" fillId="0" borderId="17" xfId="7" applyFont="1" applyBorder="1" applyAlignment="1">
      <alignment horizontal="center" vertical="center"/>
    </xf>
    <xf numFmtId="0" fontId="8" fillId="0" borderId="1" xfId="13" applyFont="1" applyFill="1" applyBorder="1" applyAlignment="1">
      <alignment vertical="center" wrapText="1"/>
    </xf>
    <xf numFmtId="164" fontId="8" fillId="0" borderId="1" xfId="2" applyNumberFormat="1" applyFont="1" applyBorder="1" applyAlignment="1">
      <alignment vertical="center"/>
    </xf>
    <xf numFmtId="164" fontId="8" fillId="0" borderId="5" xfId="2" applyNumberFormat="1" applyFont="1" applyBorder="1" applyAlignment="1">
      <alignment vertical="center"/>
    </xf>
    <xf numFmtId="0" fontId="8" fillId="0" borderId="1" xfId="13" applyFont="1" applyFill="1" applyBorder="1" applyAlignment="1">
      <alignment vertical="center"/>
    </xf>
    <xf numFmtId="0" fontId="10" fillId="0" borderId="29" xfId="7" applyFont="1" applyBorder="1" applyAlignment="1">
      <alignment horizontal="center" vertical="center"/>
    </xf>
    <xf numFmtId="164" fontId="10" fillId="2" borderId="7" xfId="2" applyNumberFormat="1" applyFont="1" applyFill="1" applyBorder="1" applyAlignment="1">
      <alignment vertical="center"/>
    </xf>
    <xf numFmtId="164" fontId="10" fillId="2" borderId="8" xfId="2" applyNumberFormat="1" applyFont="1" applyFill="1" applyBorder="1" applyAlignment="1">
      <alignment vertical="center"/>
    </xf>
    <xf numFmtId="0" fontId="8" fillId="0" borderId="0" xfId="13" applyFont="1" applyAlignment="1">
      <alignment horizontal="left" vertical="center"/>
    </xf>
    <xf numFmtId="0" fontId="8" fillId="0" borderId="0" xfId="13" applyFont="1" applyAlignment="1">
      <alignment vertical="center"/>
    </xf>
    <xf numFmtId="0" fontId="8" fillId="4" borderId="0" xfId="13" applyFont="1" applyFill="1" applyAlignment="1">
      <alignment vertical="center"/>
    </xf>
    <xf numFmtId="0" fontId="8" fillId="0" borderId="0" xfId="13" applyFont="1" applyFill="1" applyAlignment="1">
      <alignment vertical="center"/>
    </xf>
    <xf numFmtId="0" fontId="10" fillId="0" borderId="0" xfId="13" applyFont="1" applyAlignment="1">
      <alignment horizontal="center" vertical="center"/>
    </xf>
    <xf numFmtId="0" fontId="19" fillId="0" borderId="0" xfId="13" applyFont="1" applyAlignment="1">
      <alignment horizontal="left" vertical="center"/>
    </xf>
    <xf numFmtId="0" fontId="11" fillId="0" borderId="0" xfId="13" applyFont="1" applyAlignment="1">
      <alignment vertical="center"/>
    </xf>
    <xf numFmtId="0" fontId="11" fillId="0" borderId="0" xfId="13" applyFont="1" applyFill="1" applyAlignment="1">
      <alignment vertical="center"/>
    </xf>
    <xf numFmtId="0" fontId="8" fillId="0" borderId="0" xfId="13" applyFont="1" applyBorder="1" applyAlignment="1">
      <alignment vertical="top"/>
    </xf>
    <xf numFmtId="0" fontId="8" fillId="4" borderId="7" xfId="6" applyNumberFormat="1" applyFont="1" applyFill="1" applyBorder="1" applyAlignment="1">
      <alignment horizontal="center" vertical="top"/>
    </xf>
    <xf numFmtId="0" fontId="8" fillId="2" borderId="50" xfId="6" applyNumberFormat="1" applyFont="1" applyFill="1" applyBorder="1" applyAlignment="1">
      <alignment horizontal="center" vertical="top"/>
    </xf>
    <xf numFmtId="0" fontId="8" fillId="4" borderId="12" xfId="6" applyNumberFormat="1" applyFont="1" applyFill="1" applyBorder="1" applyAlignment="1">
      <alignment horizontal="center" vertical="top"/>
    </xf>
    <xf numFmtId="0" fontId="8" fillId="0" borderId="0" xfId="13" applyFont="1" applyFill="1" applyBorder="1" applyAlignment="1">
      <alignment vertical="center"/>
    </xf>
    <xf numFmtId="0" fontId="8" fillId="0" borderId="0" xfId="13" applyFont="1" applyFill="1" applyBorder="1" applyAlignment="1">
      <alignment horizontal="center" vertical="center"/>
    </xf>
    <xf numFmtId="0" fontId="8" fillId="4" borderId="0" xfId="6" applyNumberFormat="1" applyFont="1" applyFill="1" applyBorder="1" applyAlignment="1">
      <alignment horizontal="left" vertical="center"/>
    </xf>
    <xf numFmtId="0" fontId="10" fillId="0" borderId="2" xfId="13" applyFont="1" applyBorder="1" applyAlignment="1">
      <alignment horizontal="center" vertical="center"/>
    </xf>
    <xf numFmtId="0" fontId="10" fillId="0" borderId="28" xfId="13" applyFont="1" applyFill="1" applyBorder="1" applyAlignment="1">
      <alignment horizontal="center" vertical="center"/>
    </xf>
    <xf numFmtId="164" fontId="10" fillId="0" borderId="19" xfId="3" applyNumberFormat="1" applyFont="1" applyFill="1" applyBorder="1" applyAlignment="1">
      <alignment horizontal="right" vertical="center"/>
    </xf>
    <xf numFmtId="164" fontId="10" fillId="2" borderId="19" xfId="3" applyNumberFormat="1" applyFont="1" applyFill="1" applyBorder="1" applyAlignment="1">
      <alignment horizontal="right" vertical="center"/>
    </xf>
    <xf numFmtId="164" fontId="10" fillId="4" borderId="19" xfId="3" applyNumberFormat="1" applyFont="1" applyFill="1" applyBorder="1" applyAlignment="1">
      <alignment horizontal="right" vertical="center"/>
    </xf>
    <xf numFmtId="164" fontId="10" fillId="2" borderId="61" xfId="3" applyNumberFormat="1" applyFont="1" applyFill="1" applyBorder="1" applyAlignment="1">
      <alignment horizontal="right" vertical="center"/>
    </xf>
    <xf numFmtId="164" fontId="10" fillId="2" borderId="4" xfId="3" applyNumberFormat="1" applyFont="1" applyFill="1" applyBorder="1" applyAlignment="1">
      <alignment horizontal="right" vertical="center"/>
    </xf>
    <xf numFmtId="0" fontId="10" fillId="0" borderId="0" xfId="13" applyFont="1" applyFill="1" applyBorder="1" applyAlignment="1">
      <alignment vertical="center"/>
    </xf>
    <xf numFmtId="0" fontId="10" fillId="0" borderId="3" xfId="13" applyFont="1" applyBorder="1" applyAlignment="1">
      <alignment horizontal="center" vertical="center"/>
    </xf>
    <xf numFmtId="0" fontId="8" fillId="0" borderId="17" xfId="13" applyFont="1" applyFill="1" applyBorder="1" applyAlignment="1">
      <alignment horizontal="right" vertical="center"/>
    </xf>
    <xf numFmtId="164" fontId="8" fillId="0" borderId="1" xfId="3" applyNumberFormat="1" applyFont="1" applyFill="1" applyBorder="1" applyAlignment="1">
      <alignment horizontal="right" vertical="center"/>
    </xf>
    <xf numFmtId="164" fontId="8" fillId="2" borderId="1" xfId="3" applyNumberFormat="1" applyFont="1" applyFill="1" applyBorder="1" applyAlignment="1">
      <alignment horizontal="right" vertical="center"/>
    </xf>
    <xf numFmtId="164" fontId="8" fillId="2" borderId="24" xfId="3" applyNumberFormat="1" applyFont="1" applyFill="1" applyBorder="1" applyAlignment="1">
      <alignment horizontal="right" vertical="center"/>
    </xf>
    <xf numFmtId="164" fontId="8" fillId="2" borderId="5" xfId="3" applyNumberFormat="1" applyFont="1" applyFill="1" applyBorder="1" applyAlignment="1">
      <alignment horizontal="right" vertical="center"/>
    </xf>
    <xf numFmtId="0" fontId="15" fillId="0" borderId="17" xfId="13" applyFont="1" applyFill="1" applyBorder="1" applyAlignment="1">
      <alignment horizontal="center" vertical="center"/>
    </xf>
    <xf numFmtId="0" fontId="15" fillId="0" borderId="1" xfId="13" applyFont="1" applyBorder="1" applyAlignment="1">
      <alignment vertical="center"/>
    </xf>
    <xf numFmtId="164" fontId="15" fillId="0" borderId="1" xfId="3" applyNumberFormat="1" applyFont="1" applyBorder="1" applyAlignment="1">
      <alignment horizontal="right" vertical="center"/>
    </xf>
    <xf numFmtId="164" fontId="15" fillId="2" borderId="1" xfId="3" applyNumberFormat="1" applyFont="1" applyFill="1" applyBorder="1" applyAlignment="1">
      <alignment horizontal="right" vertical="center"/>
    </xf>
    <xf numFmtId="164" fontId="15" fillId="4" borderId="1" xfId="3" applyNumberFormat="1" applyFont="1" applyFill="1" applyBorder="1" applyAlignment="1">
      <alignment horizontal="right" vertical="center"/>
    </xf>
    <xf numFmtId="164" fontId="15" fillId="2" borderId="24" xfId="3" applyNumberFormat="1" applyFont="1" applyFill="1" applyBorder="1" applyAlignment="1">
      <alignment horizontal="right" vertical="center"/>
    </xf>
    <xf numFmtId="0" fontId="15" fillId="0" borderId="0" xfId="13" applyFont="1" applyBorder="1" applyAlignment="1">
      <alignment vertical="center"/>
    </xf>
    <xf numFmtId="0" fontId="10" fillId="0" borderId="17" xfId="13" applyFont="1" applyFill="1" applyBorder="1" applyAlignment="1">
      <alignment horizontal="center" vertical="center"/>
    </xf>
    <xf numFmtId="164" fontId="10" fillId="0" borderId="1" xfId="3" applyNumberFormat="1" applyFont="1" applyFill="1" applyBorder="1" applyAlignment="1">
      <alignment horizontal="right" vertical="center"/>
    </xf>
    <xf numFmtId="164" fontId="10" fillId="2" borderId="1" xfId="3" applyNumberFormat="1" applyFont="1" applyFill="1" applyBorder="1" applyAlignment="1">
      <alignment horizontal="right" vertical="center"/>
    </xf>
    <xf numFmtId="164" fontId="10" fillId="4" borderId="1" xfId="3" applyNumberFormat="1" applyFont="1" applyFill="1" applyBorder="1" applyAlignment="1">
      <alignment horizontal="right" vertical="center"/>
    </xf>
    <xf numFmtId="164" fontId="10" fillId="2" borderId="24" xfId="3" applyNumberFormat="1" applyFont="1" applyFill="1" applyBorder="1" applyAlignment="1">
      <alignment horizontal="right" vertical="center"/>
    </xf>
    <xf numFmtId="164" fontId="10" fillId="2" borderId="5" xfId="3" applyNumberFormat="1" applyFont="1" applyFill="1" applyBorder="1" applyAlignment="1">
      <alignment horizontal="right" vertical="center"/>
    </xf>
    <xf numFmtId="164" fontId="15" fillId="2" borderId="56" xfId="3" applyNumberFormat="1" applyFont="1" applyFill="1" applyBorder="1" applyAlignment="1">
      <alignment horizontal="right" vertical="center"/>
    </xf>
    <xf numFmtId="164" fontId="15" fillId="0" borderId="21" xfId="3" applyNumberFormat="1" applyFont="1" applyBorder="1" applyAlignment="1">
      <alignment horizontal="right" vertical="center"/>
    </xf>
    <xf numFmtId="164" fontId="15" fillId="2" borderId="21" xfId="3" applyNumberFormat="1" applyFont="1" applyFill="1" applyBorder="1" applyAlignment="1">
      <alignment horizontal="right" vertical="center"/>
    </xf>
    <xf numFmtId="164" fontId="10" fillId="0" borderId="21" xfId="3" applyNumberFormat="1" applyFont="1" applyFill="1" applyBorder="1" applyAlignment="1">
      <alignment horizontal="right" vertical="center"/>
    </xf>
    <xf numFmtId="164" fontId="10" fillId="2" borderId="21" xfId="3" applyNumberFormat="1" applyFont="1" applyFill="1" applyBorder="1" applyAlignment="1">
      <alignment horizontal="right" vertical="center"/>
    </xf>
    <xf numFmtId="164" fontId="10" fillId="4" borderId="21" xfId="3" applyNumberFormat="1" applyFont="1" applyFill="1" applyBorder="1" applyAlignment="1">
      <alignment horizontal="right" vertical="center"/>
    </xf>
    <xf numFmtId="164" fontId="10" fillId="2" borderId="56" xfId="3" applyNumberFormat="1" applyFont="1" applyFill="1" applyBorder="1" applyAlignment="1">
      <alignment horizontal="right" vertical="center"/>
    </xf>
    <xf numFmtId="164" fontId="15" fillId="4" borderId="21" xfId="3" applyNumberFormat="1" applyFont="1" applyFill="1" applyBorder="1" applyAlignment="1">
      <alignment horizontal="right" vertical="center"/>
    </xf>
    <xf numFmtId="49" fontId="10" fillId="0" borderId="29" xfId="13" applyNumberFormat="1" applyFont="1" applyBorder="1" applyAlignment="1">
      <alignment horizontal="center" vertical="center"/>
    </xf>
    <xf numFmtId="164" fontId="10" fillId="2" borderId="7" xfId="3" applyNumberFormat="1" applyFont="1" applyFill="1" applyBorder="1" applyAlignment="1">
      <alignment horizontal="right" vertical="center"/>
    </xf>
    <xf numFmtId="164" fontId="10" fillId="4" borderId="7" xfId="3" applyNumberFormat="1" applyFont="1" applyFill="1" applyBorder="1" applyAlignment="1">
      <alignment horizontal="right" vertical="center"/>
    </xf>
    <xf numFmtId="164" fontId="10" fillId="2" borderId="50" xfId="3" applyNumberFormat="1" applyFont="1" applyFill="1" applyBorder="1" applyAlignment="1">
      <alignment horizontal="right" vertical="center"/>
    </xf>
    <xf numFmtId="164" fontId="10" fillId="4" borderId="12" xfId="3" applyNumberFormat="1" applyFont="1" applyFill="1" applyBorder="1" applyAlignment="1">
      <alignment horizontal="right" vertical="center"/>
    </xf>
    <xf numFmtId="164" fontId="10" fillId="2" borderId="8" xfId="3" applyNumberFormat="1" applyFont="1" applyFill="1" applyBorder="1" applyAlignment="1">
      <alignment horizontal="right" vertical="center"/>
    </xf>
    <xf numFmtId="0" fontId="10" fillId="0" borderId="0" xfId="13" applyFont="1" applyBorder="1" applyAlignment="1">
      <alignment vertical="center"/>
    </xf>
    <xf numFmtId="0" fontId="8" fillId="0" borderId="0" xfId="13" applyFont="1" applyAlignment="1">
      <alignment horizontal="center" vertical="center"/>
    </xf>
    <xf numFmtId="0" fontId="2" fillId="0" borderId="0" xfId="13" applyFont="1" applyFill="1"/>
    <xf numFmtId="0" fontId="9" fillId="0" borderId="0" xfId="0" applyFont="1" applyFill="1" applyBorder="1" applyAlignment="1">
      <alignment horizontal="center" vertical="center"/>
    </xf>
    <xf numFmtId="0" fontId="8" fillId="0" borderId="0" xfId="0" applyFont="1" applyFill="1" applyBorder="1" applyAlignment="1" applyProtection="1">
      <alignment horizontal="left"/>
      <protection locked="0"/>
    </xf>
    <xf numFmtId="0" fontId="10" fillId="0" borderId="0" xfId="0" applyFont="1" applyFill="1" applyBorder="1" applyAlignment="1">
      <alignment horizontal="center" vertical="center"/>
    </xf>
    <xf numFmtId="0" fontId="8" fillId="0" borderId="0" xfId="0" applyFont="1" applyFill="1" applyBorder="1" applyAlignment="1" applyProtection="1">
      <alignment horizontal="center"/>
      <protection locked="0"/>
    </xf>
    <xf numFmtId="0" fontId="8" fillId="0" borderId="0" xfId="0" applyFont="1" applyFill="1" applyBorder="1" applyAlignment="1" applyProtection="1">
      <alignment horizontal="center" vertical="center"/>
      <protection locked="0"/>
    </xf>
    <xf numFmtId="0" fontId="9" fillId="0" borderId="0" xfId="0" applyFont="1" applyFill="1" applyAlignment="1">
      <alignment horizontal="center"/>
    </xf>
    <xf numFmtId="0" fontId="0" fillId="0" borderId="0" xfId="0" applyAlignment="1"/>
    <xf numFmtId="0" fontId="10" fillId="0" borderId="0" xfId="0" applyFont="1" applyFill="1" applyAlignment="1">
      <alignment horizontal="left"/>
    </xf>
    <xf numFmtId="0" fontId="10" fillId="0" borderId="0" xfId="0" applyFont="1" applyAlignment="1"/>
    <xf numFmtId="0" fontId="16" fillId="0" borderId="0" xfId="0" applyFont="1" applyFill="1" applyBorder="1" applyAlignment="1">
      <alignment horizontal="center" vertical="center" wrapText="1"/>
    </xf>
    <xf numFmtId="0" fontId="17" fillId="0" borderId="0" xfId="0" applyFont="1" applyFill="1" applyAlignment="1">
      <alignment horizontal="right"/>
    </xf>
    <xf numFmtId="0" fontId="17" fillId="0" borderId="0" xfId="0" applyFont="1" applyAlignment="1">
      <alignment horizontal="right"/>
    </xf>
    <xf numFmtId="164" fontId="10" fillId="2" borderId="23" xfId="2" applyNumberFormat="1" applyFont="1" applyFill="1" applyBorder="1" applyAlignment="1">
      <alignment horizontal="left" vertical="center" wrapText="1"/>
    </xf>
    <xf numFmtId="164" fontId="10" fillId="2" borderId="12" xfId="2" applyNumberFormat="1" applyFont="1" applyFill="1" applyBorder="1" applyAlignment="1">
      <alignment horizontal="left" vertical="center" wrapText="1"/>
    </xf>
    <xf numFmtId="0" fontId="9" fillId="0" borderId="0" xfId="0" applyFont="1" applyAlignment="1">
      <alignment horizontal="center" vertical="center"/>
    </xf>
    <xf numFmtId="164" fontId="10" fillId="2" borderId="48" xfId="2" applyNumberFormat="1" applyFont="1" applyFill="1" applyBorder="1" applyAlignment="1">
      <alignment horizontal="left" vertical="center" wrapText="1"/>
    </xf>
    <xf numFmtId="164" fontId="10" fillId="2" borderId="18" xfId="2" applyNumberFormat="1" applyFont="1" applyFill="1" applyBorder="1" applyAlignment="1">
      <alignment horizontal="left" vertical="center" wrapText="1"/>
    </xf>
    <xf numFmtId="164" fontId="16" fillId="0" borderId="0" xfId="2" applyNumberFormat="1" applyFont="1" applyFill="1" applyBorder="1" applyAlignment="1">
      <alignment horizontal="left" vertical="center"/>
    </xf>
    <xf numFmtId="0" fontId="10" fillId="0" borderId="0" xfId="0" applyFont="1" applyAlignment="1">
      <alignment horizontal="left"/>
    </xf>
    <xf numFmtId="164" fontId="10" fillId="2" borderId="9" xfId="2" applyNumberFormat="1" applyFont="1" applyFill="1" applyBorder="1" applyAlignment="1">
      <alignment horizontal="left" vertical="center"/>
    </xf>
    <xf numFmtId="164" fontId="10" fillId="2" borderId="27" xfId="2" applyNumberFormat="1" applyFont="1" applyFill="1" applyBorder="1" applyAlignment="1">
      <alignment horizontal="left" vertical="center"/>
    </xf>
    <xf numFmtId="0" fontId="17" fillId="0" borderId="0" xfId="0" applyFont="1" applyBorder="1" applyAlignment="1">
      <alignment horizontal="right"/>
    </xf>
    <xf numFmtId="0" fontId="10" fillId="0" borderId="0" xfId="0" applyFont="1" applyAlignment="1" applyProtection="1">
      <alignment horizontal="left"/>
    </xf>
    <xf numFmtId="0" fontId="9" fillId="0" borderId="0" xfId="0" applyFont="1" applyBorder="1" applyAlignment="1" applyProtection="1">
      <alignment horizontal="center" vertical="center"/>
    </xf>
    <xf numFmtId="0" fontId="17" fillId="0" borderId="0" xfId="0" applyFont="1" applyBorder="1" applyAlignment="1" applyProtection="1">
      <alignment horizontal="right"/>
    </xf>
    <xf numFmtId="0" fontId="17" fillId="0" borderId="0" xfId="0" applyFont="1" applyFill="1" applyAlignment="1" applyProtection="1">
      <alignment horizontal="right"/>
    </xf>
    <xf numFmtId="0" fontId="16" fillId="0" borderId="0" xfId="6" applyNumberFormat="1" applyFont="1" applyFill="1" applyBorder="1" applyAlignment="1" applyProtection="1">
      <alignment horizontal="center" vertical="center"/>
    </xf>
    <xf numFmtId="164" fontId="10" fillId="2" borderId="12" xfId="2" applyNumberFormat="1" applyFont="1" applyFill="1" applyBorder="1" applyAlignment="1" applyProtection="1">
      <alignment horizontal="left" vertical="center"/>
    </xf>
    <xf numFmtId="164" fontId="10" fillId="2" borderId="7" xfId="2" applyNumberFormat="1" applyFont="1" applyFill="1" applyBorder="1" applyAlignment="1" applyProtection="1">
      <alignment horizontal="left" vertical="center"/>
    </xf>
    <xf numFmtId="164" fontId="10" fillId="2" borderId="12" xfId="2" applyNumberFormat="1" applyFont="1" applyFill="1" applyBorder="1" applyAlignment="1" applyProtection="1">
      <alignment horizontal="left" vertical="center" wrapText="1"/>
    </xf>
    <xf numFmtId="164" fontId="10" fillId="2" borderId="7" xfId="2" applyNumberFormat="1" applyFont="1" applyFill="1" applyBorder="1" applyAlignment="1" applyProtection="1">
      <alignment horizontal="left" vertical="center" wrapText="1"/>
    </xf>
    <xf numFmtId="0" fontId="10" fillId="2" borderId="23" xfId="6" applyNumberFormat="1" applyFont="1" applyFill="1" applyBorder="1" applyAlignment="1">
      <alignment horizontal="left" vertical="center"/>
    </xf>
    <xf numFmtId="0" fontId="10" fillId="2" borderId="12" xfId="6" applyNumberFormat="1" applyFont="1" applyFill="1" applyBorder="1" applyAlignment="1">
      <alignment horizontal="left" vertical="center"/>
    </xf>
    <xf numFmtId="0" fontId="24" fillId="0" borderId="0" xfId="0" applyFont="1" applyBorder="1" applyAlignment="1">
      <alignment horizontal="left" vertical="center"/>
    </xf>
    <xf numFmtId="0" fontId="9" fillId="0" borderId="0" xfId="0" applyFont="1" applyBorder="1" applyAlignment="1">
      <alignment horizontal="center"/>
    </xf>
    <xf numFmtId="0" fontId="17" fillId="0" borderId="0" xfId="13" applyFont="1" applyFill="1" applyAlignment="1">
      <alignment horizontal="right" vertical="center"/>
    </xf>
    <xf numFmtId="0" fontId="10" fillId="0" borderId="0" xfId="13" applyFont="1" applyAlignment="1">
      <alignment horizontal="left" vertical="center"/>
    </xf>
    <xf numFmtId="0" fontId="9" fillId="0" borderId="0" xfId="13" applyFont="1" applyBorder="1" applyAlignment="1">
      <alignment horizontal="center" vertical="center"/>
    </xf>
    <xf numFmtId="0" fontId="17" fillId="0" borderId="0" xfId="13" applyFont="1" applyBorder="1" applyAlignment="1">
      <alignment horizontal="right" vertical="center"/>
    </xf>
    <xf numFmtId="0" fontId="8" fillId="0" borderId="61" xfId="13" applyFont="1" applyBorder="1" applyAlignment="1">
      <alignment horizontal="center" vertical="top"/>
    </xf>
    <xf numFmtId="0" fontId="8" fillId="0" borderId="52" xfId="13" applyFont="1" applyBorder="1" applyAlignment="1">
      <alignment horizontal="center" vertical="top"/>
    </xf>
    <xf numFmtId="0" fontId="8" fillId="0" borderId="28" xfId="13" applyFont="1" applyBorder="1" applyAlignment="1">
      <alignment horizontal="center" vertical="top"/>
    </xf>
    <xf numFmtId="0" fontId="8" fillId="0" borderId="53" xfId="13" applyFont="1" applyBorder="1" applyAlignment="1">
      <alignment horizontal="center" vertical="top"/>
    </xf>
    <xf numFmtId="0" fontId="8" fillId="0" borderId="44" xfId="13" applyFont="1" applyBorder="1" applyAlignment="1">
      <alignment horizontal="center" vertical="center" wrapText="1"/>
    </xf>
    <xf numFmtId="0" fontId="8" fillId="0" borderId="34" xfId="13" applyFont="1" applyBorder="1" applyAlignment="1">
      <alignment horizontal="center" vertical="center" wrapText="1"/>
    </xf>
    <xf numFmtId="0" fontId="8" fillId="0" borderId="49" xfId="13" applyFont="1" applyBorder="1" applyAlignment="1">
      <alignment horizontal="center" vertical="top"/>
    </xf>
    <xf numFmtId="0" fontId="8" fillId="0" borderId="13" xfId="13" applyFont="1" applyBorder="1" applyAlignment="1">
      <alignment horizontal="center" vertical="top"/>
    </xf>
    <xf numFmtId="0" fontId="8" fillId="0" borderId="0" xfId="13" applyFont="1" applyFill="1" applyBorder="1" applyAlignment="1" applyProtection="1">
      <alignment horizontal="left" vertical="center"/>
      <protection locked="0"/>
    </xf>
    <xf numFmtId="0" fontId="8" fillId="0" borderId="0" xfId="13" applyFont="1" applyFill="1" applyBorder="1" applyAlignment="1" applyProtection="1">
      <alignment horizontal="left"/>
      <protection locked="0"/>
    </xf>
    <xf numFmtId="0" fontId="10" fillId="2" borderId="7" xfId="6" applyNumberFormat="1" applyFont="1" applyFill="1" applyBorder="1" applyAlignment="1">
      <alignment horizontal="left" vertical="center"/>
    </xf>
    <xf numFmtId="0" fontId="10" fillId="0" borderId="0" xfId="0" applyFont="1" applyAlignment="1">
      <alignment horizontal="left" vertical="center"/>
    </xf>
    <xf numFmtId="0" fontId="17" fillId="0" borderId="0" xfId="0" applyFont="1" applyFill="1" applyAlignment="1">
      <alignment horizontal="right" vertical="center"/>
    </xf>
    <xf numFmtId="0" fontId="17" fillId="0" borderId="36" xfId="0" applyFont="1" applyBorder="1" applyAlignment="1">
      <alignment horizontal="right"/>
    </xf>
    <xf numFmtId="0" fontId="24" fillId="0" borderId="0" xfId="0" applyFont="1" applyBorder="1" applyAlignment="1">
      <alignment horizontal="left"/>
    </xf>
    <xf numFmtId="0" fontId="10" fillId="2" borderId="23" xfId="6" applyNumberFormat="1" applyFont="1" applyFill="1" applyBorder="1" applyAlignment="1">
      <alignment horizontal="left" vertical="center" wrapText="1"/>
    </xf>
    <xf numFmtId="0" fontId="10" fillId="2" borderId="12" xfId="6" applyNumberFormat="1" applyFont="1" applyFill="1" applyBorder="1" applyAlignment="1">
      <alignment horizontal="left" vertical="center" wrapText="1"/>
    </xf>
    <xf numFmtId="0" fontId="10" fillId="2" borderId="23" xfId="6" applyNumberFormat="1" applyFont="1" applyFill="1" applyBorder="1" applyAlignment="1">
      <alignment horizontal="left" wrapText="1"/>
    </xf>
    <xf numFmtId="0" fontId="10" fillId="2" borderId="12" xfId="6" applyNumberFormat="1" applyFont="1" applyFill="1" applyBorder="1" applyAlignment="1">
      <alignment horizontal="left" wrapText="1"/>
    </xf>
    <xf numFmtId="0" fontId="16" fillId="0" borderId="0" xfId="6" applyNumberFormat="1" applyFont="1" applyFill="1" applyBorder="1" applyAlignment="1">
      <alignment horizontal="center" vertical="center"/>
    </xf>
    <xf numFmtId="0" fontId="8" fillId="0" borderId="0" xfId="0" applyFont="1" applyBorder="1" applyAlignment="1">
      <alignment horizontal="center" vertical="center"/>
    </xf>
    <xf numFmtId="0" fontId="10" fillId="2" borderId="50" xfId="6" applyNumberFormat="1" applyFont="1" applyFill="1" applyBorder="1" applyAlignment="1">
      <alignment horizontal="left" vertical="center"/>
    </xf>
    <xf numFmtId="0" fontId="25" fillId="0" borderId="0" xfId="0" applyFont="1" applyBorder="1" applyAlignment="1">
      <alignment horizontal="left" vertical="center"/>
    </xf>
    <xf numFmtId="49" fontId="9" fillId="0" borderId="0" xfId="0" applyNumberFormat="1" applyFont="1" applyBorder="1" applyAlignment="1">
      <alignment horizontal="center" vertical="center"/>
    </xf>
    <xf numFmtId="0" fontId="17" fillId="0" borderId="0" xfId="0" applyFont="1" applyBorder="1" applyAlignment="1">
      <alignment horizontal="right" vertical="center"/>
    </xf>
    <xf numFmtId="0" fontId="8" fillId="0" borderId="0" xfId="0" applyFont="1" applyFill="1" applyBorder="1" applyAlignment="1" applyProtection="1">
      <alignment horizontal="left" vertical="center"/>
      <protection locked="0"/>
    </xf>
    <xf numFmtId="3" fontId="16" fillId="0" borderId="28" xfId="11" applyNumberFormat="1" applyFont="1" applyFill="1" applyBorder="1" applyAlignment="1">
      <alignment horizontal="left" vertical="center"/>
    </xf>
    <xf numFmtId="3" fontId="16" fillId="0" borderId="19" xfId="11" applyNumberFormat="1" applyFont="1" applyFill="1" applyBorder="1" applyAlignment="1">
      <alignment horizontal="left" vertical="center"/>
    </xf>
    <xf numFmtId="3" fontId="16" fillId="0" borderId="4" xfId="11" applyNumberFormat="1" applyFont="1" applyFill="1" applyBorder="1" applyAlignment="1">
      <alignment horizontal="left" vertical="center"/>
    </xf>
    <xf numFmtId="3" fontId="16" fillId="0" borderId="17" xfId="11" applyNumberFormat="1" applyFont="1" applyFill="1" applyBorder="1" applyAlignment="1">
      <alignment horizontal="left" vertical="center"/>
    </xf>
    <xf numFmtId="3" fontId="16" fillId="0" borderId="1" xfId="11" applyNumberFormat="1" applyFont="1" applyFill="1" applyBorder="1" applyAlignment="1">
      <alignment horizontal="left" vertical="center"/>
    </xf>
    <xf numFmtId="3" fontId="16" fillId="0" borderId="5" xfId="11" applyNumberFormat="1" applyFont="1" applyFill="1" applyBorder="1" applyAlignment="1">
      <alignment horizontal="left" vertical="center"/>
    </xf>
    <xf numFmtId="0" fontId="9" fillId="0" borderId="0" xfId="0" applyFont="1" applyAlignment="1">
      <alignment horizontal="center"/>
    </xf>
    <xf numFmtId="0" fontId="10" fillId="2" borderId="12" xfId="0" applyFont="1" applyFill="1" applyBorder="1" applyAlignment="1">
      <alignment horizontal="left"/>
    </xf>
    <xf numFmtId="0" fontId="10" fillId="2" borderId="7" xfId="0" applyFont="1" applyFill="1" applyBorder="1" applyAlignment="1">
      <alignment horizontal="left"/>
    </xf>
    <xf numFmtId="3" fontId="16" fillId="0" borderId="28" xfId="11" applyNumberFormat="1" applyFont="1" applyBorder="1" applyAlignment="1">
      <alignment horizontal="left" vertical="center"/>
    </xf>
    <xf numFmtId="3" fontId="16" fillId="0" borderId="19" xfId="11" applyNumberFormat="1" applyFont="1" applyBorder="1" applyAlignment="1">
      <alignment horizontal="left" vertical="center"/>
    </xf>
    <xf numFmtId="3" fontId="16" fillId="0" borderId="4" xfId="11" applyNumberFormat="1" applyFont="1" applyBorder="1" applyAlignment="1">
      <alignment horizontal="left" vertical="center"/>
    </xf>
    <xf numFmtId="3" fontId="16" fillId="0" borderId="17" xfId="11" applyNumberFormat="1" applyFont="1" applyBorder="1" applyAlignment="1">
      <alignment horizontal="left" vertical="center"/>
    </xf>
    <xf numFmtId="3" fontId="16" fillId="0" borderId="1" xfId="11" applyNumberFormat="1" applyFont="1" applyBorder="1" applyAlignment="1">
      <alignment horizontal="left" vertical="center"/>
    </xf>
    <xf numFmtId="3" fontId="16" fillId="0" borderId="5" xfId="11" applyNumberFormat="1" applyFont="1" applyBorder="1" applyAlignment="1">
      <alignment horizontal="left" vertical="center"/>
    </xf>
    <xf numFmtId="0" fontId="10" fillId="2" borderId="12" xfId="0" applyFont="1" applyFill="1" applyBorder="1" applyAlignment="1">
      <alignment horizontal="left" vertical="center"/>
    </xf>
    <xf numFmtId="0" fontId="10" fillId="2" borderId="7" xfId="0" applyFont="1" applyFill="1" applyBorder="1" applyAlignment="1">
      <alignment horizontal="left" vertical="center"/>
    </xf>
    <xf numFmtId="0" fontId="24" fillId="0" borderId="0" xfId="0" applyFont="1" applyAlignment="1">
      <alignment horizontal="left" vertical="center"/>
    </xf>
    <xf numFmtId="0" fontId="8" fillId="0" borderId="44" xfId="0" applyFont="1" applyBorder="1" applyAlignment="1">
      <alignment horizontal="center" vertical="center" wrapText="1"/>
    </xf>
    <xf numFmtId="0" fontId="4" fillId="0" borderId="34" xfId="0" applyFont="1" applyBorder="1" applyAlignment="1">
      <alignment horizontal="center" vertical="center" wrapText="1"/>
    </xf>
    <xf numFmtId="0" fontId="8" fillId="0" borderId="19" xfId="0" applyFont="1" applyBorder="1" applyAlignment="1">
      <alignment horizontal="center" vertical="top"/>
    </xf>
    <xf numFmtId="0" fontId="8" fillId="0" borderId="49" xfId="0" applyFont="1" applyBorder="1" applyAlignment="1">
      <alignment horizontal="center" vertical="top"/>
    </xf>
    <xf numFmtId="0" fontId="8" fillId="0" borderId="13" xfId="0" applyFont="1" applyBorder="1" applyAlignment="1">
      <alignment horizontal="center" vertical="top"/>
    </xf>
    <xf numFmtId="0" fontId="8" fillId="0" borderId="4" xfId="0" applyFont="1" applyBorder="1" applyAlignment="1">
      <alignment horizontal="center" vertical="top"/>
    </xf>
    <xf numFmtId="0" fontId="24" fillId="0" borderId="0" xfId="0" applyFont="1" applyFill="1" applyBorder="1" applyAlignment="1">
      <alignment horizontal="left" vertical="center"/>
    </xf>
    <xf numFmtId="0" fontId="9" fillId="0" borderId="0" xfId="0" applyFont="1" applyBorder="1" applyAlignment="1">
      <alignment horizontal="center" vertical="center"/>
    </xf>
    <xf numFmtId="0" fontId="10" fillId="2" borderId="7" xfId="6" applyNumberFormat="1" applyFont="1" applyFill="1" applyBorder="1" applyAlignment="1">
      <alignment horizontal="left" vertical="center" wrapText="1"/>
    </xf>
    <xf numFmtId="0" fontId="16" fillId="0" borderId="0" xfId="7" applyFont="1" applyFill="1" applyBorder="1" applyAlignment="1">
      <alignment horizontal="center" vertical="center"/>
    </xf>
    <xf numFmtId="0" fontId="10" fillId="0" borderId="0" xfId="0" applyFont="1" applyFill="1" applyAlignment="1">
      <alignment horizontal="left" vertical="center"/>
    </xf>
    <xf numFmtId="0" fontId="17" fillId="0" borderId="36" xfId="0" applyFont="1" applyFill="1" applyBorder="1" applyAlignment="1">
      <alignment horizontal="right" vertical="center"/>
    </xf>
    <xf numFmtId="0" fontId="9" fillId="0" borderId="0" xfId="0" applyFont="1" applyFill="1" applyAlignment="1">
      <alignment horizontal="center" vertical="center"/>
    </xf>
    <xf numFmtId="0" fontId="16" fillId="0" borderId="0" xfId="0" applyFont="1" applyFill="1" applyBorder="1" applyAlignment="1">
      <alignment horizontal="center" vertical="center"/>
    </xf>
    <xf numFmtId="164" fontId="10" fillId="2" borderId="51" xfId="2" applyNumberFormat="1" applyFont="1" applyFill="1" applyBorder="1" applyAlignment="1">
      <alignment horizontal="left" vertical="center" wrapText="1"/>
    </xf>
    <xf numFmtId="164" fontId="10" fillId="2" borderId="27" xfId="2" applyNumberFormat="1" applyFont="1" applyFill="1" applyBorder="1" applyAlignment="1">
      <alignment horizontal="left" vertical="center" wrapText="1"/>
    </xf>
    <xf numFmtId="0" fontId="17" fillId="0" borderId="36" xfId="0" applyFont="1" applyBorder="1" applyAlignment="1">
      <alignment horizontal="right" vertical="center" wrapText="1"/>
    </xf>
    <xf numFmtId="0" fontId="9" fillId="0" borderId="0" xfId="0" applyFont="1" applyFill="1" applyBorder="1" applyAlignment="1">
      <alignment horizontal="center"/>
    </xf>
    <xf numFmtId="164" fontId="10" fillId="2" borderId="12" xfId="2" applyNumberFormat="1" applyFont="1" applyFill="1" applyBorder="1" applyAlignment="1">
      <alignment horizontal="left" vertical="center"/>
    </xf>
    <xf numFmtId="164" fontId="10" fillId="2" borderId="7" xfId="2" applyNumberFormat="1" applyFont="1" applyFill="1" applyBorder="1" applyAlignment="1">
      <alignment horizontal="left" vertical="center"/>
    </xf>
    <xf numFmtId="164" fontId="10" fillId="2" borderId="7" xfId="2" applyNumberFormat="1" applyFont="1" applyFill="1" applyBorder="1" applyAlignment="1">
      <alignment horizontal="left" vertical="center" wrapText="1"/>
    </xf>
    <xf numFmtId="164" fontId="17" fillId="0" borderId="0" xfId="1" applyNumberFormat="1" applyFont="1" applyFill="1" applyAlignment="1">
      <alignment horizontal="right"/>
    </xf>
    <xf numFmtId="164" fontId="17" fillId="0" borderId="0" xfId="1" applyNumberFormat="1" applyFont="1" applyBorder="1" applyAlignment="1">
      <alignment horizontal="right"/>
    </xf>
    <xf numFmtId="0" fontId="10" fillId="2" borderId="36" xfId="6" applyNumberFormat="1" applyFont="1" applyFill="1" applyBorder="1" applyAlignment="1">
      <alignment horizontal="left" vertical="center"/>
    </xf>
    <xf numFmtId="0" fontId="10" fillId="2" borderId="18" xfId="6" applyNumberFormat="1" applyFont="1" applyFill="1" applyBorder="1" applyAlignment="1">
      <alignment horizontal="left" vertical="center"/>
    </xf>
    <xf numFmtId="0" fontId="10" fillId="2" borderId="23" xfId="0" applyFont="1" applyFill="1" applyBorder="1" applyAlignment="1">
      <alignment horizontal="left" vertical="center" wrapText="1"/>
    </xf>
    <xf numFmtId="0" fontId="10" fillId="2" borderId="12" xfId="0" applyFont="1" applyFill="1" applyBorder="1" applyAlignment="1">
      <alignment horizontal="left" vertical="center" wrapText="1"/>
    </xf>
    <xf numFmtId="0" fontId="10" fillId="2" borderId="23" xfId="7" applyFont="1" applyFill="1" applyBorder="1" applyAlignment="1">
      <alignment horizontal="left" vertical="center"/>
    </xf>
    <xf numFmtId="0" fontId="10" fillId="2" borderId="12" xfId="7" applyFont="1" applyFill="1" applyBorder="1" applyAlignment="1">
      <alignment horizontal="left" vertical="center"/>
    </xf>
    <xf numFmtId="0" fontId="10" fillId="2" borderId="12" xfId="7" applyFont="1" applyFill="1" applyBorder="1" applyAlignment="1">
      <alignment horizontal="left"/>
    </xf>
    <xf numFmtId="0" fontId="10" fillId="2" borderId="7" xfId="7" applyFont="1" applyFill="1" applyBorder="1" applyAlignment="1">
      <alignment horizontal="left"/>
    </xf>
    <xf numFmtId="0" fontId="16" fillId="0" borderId="52" xfId="7" applyFont="1" applyFill="1" applyBorder="1" applyAlignment="1">
      <alignment horizontal="center"/>
    </xf>
    <xf numFmtId="0" fontId="16" fillId="0" borderId="53" xfId="7" applyFont="1" applyFill="1" applyBorder="1" applyAlignment="1">
      <alignment horizontal="center"/>
    </xf>
    <xf numFmtId="0" fontId="16" fillId="4" borderId="24" xfId="7" applyFont="1" applyFill="1" applyBorder="1" applyAlignment="1">
      <alignment horizontal="center"/>
    </xf>
    <xf numFmtId="0" fontId="16" fillId="4" borderId="54" xfId="7" applyFont="1" applyFill="1" applyBorder="1" applyAlignment="1">
      <alignment horizontal="center"/>
    </xf>
    <xf numFmtId="0" fontId="16" fillId="4" borderId="55" xfId="7" applyFont="1" applyFill="1" applyBorder="1" applyAlignment="1">
      <alignment horizontal="center"/>
    </xf>
    <xf numFmtId="0" fontId="16" fillId="0" borderId="54" xfId="7" applyFont="1" applyFill="1" applyBorder="1" applyAlignment="1">
      <alignment horizontal="center"/>
    </xf>
    <xf numFmtId="0" fontId="16" fillId="0" borderId="55" xfId="7" applyFont="1" applyFill="1" applyBorder="1" applyAlignment="1">
      <alignment horizontal="center"/>
    </xf>
    <xf numFmtId="0" fontId="8" fillId="0" borderId="40" xfId="0" applyFont="1" applyBorder="1" applyAlignment="1">
      <alignment horizontal="center" vertical="center"/>
    </xf>
    <xf numFmtId="0" fontId="8" fillId="0" borderId="30" xfId="0" applyFont="1" applyBorder="1" applyAlignment="1">
      <alignment horizontal="center" vertical="center"/>
    </xf>
    <xf numFmtId="0" fontId="8" fillId="0" borderId="35" xfId="0" applyFont="1" applyBorder="1" applyAlignment="1">
      <alignment horizontal="center" vertical="center"/>
    </xf>
    <xf numFmtId="0" fontId="10" fillId="0" borderId="0" xfId="0" applyFont="1" applyAlignment="1">
      <alignment horizontal="right"/>
    </xf>
    <xf numFmtId="0" fontId="10" fillId="2" borderId="23" xfId="7" applyFont="1" applyFill="1" applyBorder="1" applyAlignment="1">
      <alignment horizontal="left" wrapText="1"/>
    </xf>
    <xf numFmtId="0" fontId="10" fillId="2" borderId="12" xfId="7" applyFont="1" applyFill="1" applyBorder="1" applyAlignment="1">
      <alignment horizontal="left" wrapText="1"/>
    </xf>
    <xf numFmtId="0" fontId="24" fillId="0" borderId="0" xfId="0" applyFont="1" applyBorder="1" applyAlignment="1">
      <alignment horizontal="left" wrapText="1"/>
    </xf>
    <xf numFmtId="0" fontId="10" fillId="2" borderId="23" xfId="13" applyFont="1" applyFill="1" applyBorder="1" applyAlignment="1">
      <alignment horizontal="left" vertical="center" wrapText="1"/>
    </xf>
    <xf numFmtId="0" fontId="10" fillId="2" borderId="12" xfId="13" applyFont="1" applyFill="1" applyBorder="1" applyAlignment="1">
      <alignment horizontal="left" vertical="center" wrapText="1"/>
    </xf>
    <xf numFmtId="0" fontId="17" fillId="0" borderId="0" xfId="0" applyFont="1" applyFill="1" applyBorder="1" applyAlignment="1">
      <alignment horizontal="right"/>
    </xf>
    <xf numFmtId="0" fontId="8" fillId="0" borderId="46" xfId="10" applyFont="1" applyFill="1" applyBorder="1" applyAlignment="1">
      <alignment horizontal="center" vertical="center" wrapText="1"/>
    </xf>
    <xf numFmtId="0" fontId="8" fillId="0" borderId="47" xfId="10" applyFont="1" applyFill="1" applyBorder="1" applyAlignment="1">
      <alignment horizontal="center" vertical="center" wrapText="1"/>
    </xf>
    <xf numFmtId="0" fontId="8" fillId="0" borderId="15" xfId="10" applyFont="1" applyFill="1" applyBorder="1" applyAlignment="1">
      <alignment horizontal="center" vertical="center" wrapText="1"/>
    </xf>
    <xf numFmtId="0" fontId="10" fillId="0" borderId="0" xfId="0" applyFont="1" applyBorder="1" applyAlignment="1">
      <alignment horizontal="center" vertical="center"/>
    </xf>
    <xf numFmtId="0" fontId="8" fillId="3" borderId="56" xfId="7" applyFont="1" applyFill="1" applyBorder="1" applyAlignment="1">
      <alignment horizontal="center" vertical="top" wrapText="1"/>
    </xf>
    <xf numFmtId="0" fontId="8" fillId="3" borderId="57" xfId="7" applyFont="1" applyFill="1" applyBorder="1" applyAlignment="1">
      <alignment horizontal="center" vertical="top" wrapText="1"/>
    </xf>
    <xf numFmtId="0" fontId="8" fillId="3" borderId="58" xfId="7" applyFont="1" applyFill="1" applyBorder="1" applyAlignment="1">
      <alignment horizontal="center" vertical="top" wrapText="1"/>
    </xf>
    <xf numFmtId="0" fontId="8" fillId="3" borderId="59" xfId="7" applyFont="1" applyFill="1" applyBorder="1" applyAlignment="1">
      <alignment horizontal="center" vertical="top" wrapText="1"/>
    </xf>
    <xf numFmtId="0" fontId="8" fillId="0" borderId="49" xfId="7" applyFont="1" applyFill="1" applyBorder="1" applyAlignment="1">
      <alignment horizontal="center" vertical="top"/>
    </xf>
    <xf numFmtId="0" fontId="8" fillId="0" borderId="60" xfId="7" applyFont="1" applyFill="1" applyBorder="1" applyAlignment="1">
      <alignment horizontal="center" vertical="top"/>
    </xf>
    <xf numFmtId="0" fontId="8" fillId="0" borderId="20" xfId="7" applyFont="1" applyFill="1" applyBorder="1" applyAlignment="1">
      <alignment horizontal="center" vertical="top"/>
    </xf>
    <xf numFmtId="0" fontId="8" fillId="0" borderId="61" xfId="7" applyNumberFormat="1" applyFont="1" applyFill="1" applyBorder="1" applyAlignment="1">
      <alignment horizontal="center" vertical="top" wrapText="1"/>
    </xf>
    <xf numFmtId="0" fontId="8" fillId="0" borderId="52" xfId="7" applyNumberFormat="1" applyFont="1" applyFill="1" applyBorder="1" applyAlignment="1">
      <alignment horizontal="center" vertical="top" wrapText="1"/>
    </xf>
    <xf numFmtId="0" fontId="8" fillId="0" borderId="53" xfId="7" applyNumberFormat="1" applyFont="1" applyFill="1" applyBorder="1" applyAlignment="1">
      <alignment horizontal="center" vertical="top" wrapText="1"/>
    </xf>
    <xf numFmtId="0" fontId="8" fillId="0" borderId="1" xfId="7" applyFont="1" applyFill="1" applyBorder="1" applyAlignment="1">
      <alignment horizontal="center" wrapText="1"/>
    </xf>
    <xf numFmtId="0" fontId="8" fillId="3" borderId="1" xfId="7" applyFont="1" applyFill="1" applyBorder="1" applyAlignment="1">
      <alignment horizontal="center"/>
    </xf>
    <xf numFmtId="0" fontId="8" fillId="3" borderId="5" xfId="7" applyFont="1" applyFill="1" applyBorder="1" applyAlignment="1">
      <alignment horizontal="center"/>
    </xf>
    <xf numFmtId="0" fontId="8" fillId="0" borderId="28" xfId="7" applyNumberFormat="1" applyFont="1" applyFill="1" applyBorder="1" applyAlignment="1">
      <alignment horizontal="center" vertical="top" wrapText="1"/>
    </xf>
    <xf numFmtId="0" fontId="8" fillId="0" borderId="1" xfId="7" applyFont="1" applyFill="1" applyBorder="1" applyAlignment="1">
      <alignment horizontal="center"/>
    </xf>
    <xf numFmtId="0" fontId="8" fillId="0" borderId="49" xfId="10" applyFont="1" applyFill="1" applyBorder="1" applyAlignment="1">
      <alignment horizontal="center" vertical="top"/>
    </xf>
    <xf numFmtId="0" fontId="8" fillId="0" borderId="60" xfId="10" applyFont="1" applyFill="1" applyBorder="1" applyAlignment="1">
      <alignment horizontal="center" vertical="top"/>
    </xf>
    <xf numFmtId="0" fontId="8" fillId="0" borderId="20" xfId="10" applyFont="1" applyFill="1" applyBorder="1" applyAlignment="1">
      <alignment horizontal="center" vertical="top"/>
    </xf>
    <xf numFmtId="164" fontId="10" fillId="0" borderId="1" xfId="1" applyNumberFormat="1" applyFont="1" applyFill="1" applyBorder="1" applyAlignment="1">
      <alignment horizontal="right" vertical="center"/>
    </xf>
    <xf numFmtId="164" fontId="10" fillId="0" borderId="5" xfId="1" applyNumberFormat="1" applyFont="1" applyFill="1" applyBorder="1" applyAlignment="1">
      <alignment horizontal="right" vertical="center"/>
    </xf>
    <xf numFmtId="164" fontId="10" fillId="2" borderId="50" xfId="1" applyNumberFormat="1" applyFont="1" applyFill="1" applyBorder="1" applyAlignment="1">
      <alignment horizontal="right" vertical="center"/>
    </xf>
    <xf numFmtId="164" fontId="10" fillId="2" borderId="23" xfId="1" applyNumberFormat="1" applyFont="1" applyFill="1" applyBorder="1" applyAlignment="1">
      <alignment horizontal="right" vertical="center"/>
    </xf>
    <xf numFmtId="164" fontId="10" fillId="2" borderId="25" xfId="1" applyNumberFormat="1" applyFont="1" applyFill="1" applyBorder="1" applyAlignment="1">
      <alignment horizontal="right" vertical="center"/>
    </xf>
    <xf numFmtId="164" fontId="10" fillId="2" borderId="12" xfId="1" applyNumberFormat="1" applyFont="1" applyFill="1" applyBorder="1" applyAlignment="1">
      <alignment horizontal="right" vertical="center"/>
    </xf>
    <xf numFmtId="164" fontId="8" fillId="0" borderId="1" xfId="1" applyNumberFormat="1" applyFont="1" applyFill="1" applyBorder="1" applyAlignment="1">
      <alignment horizontal="right" vertical="center"/>
    </xf>
    <xf numFmtId="164" fontId="8" fillId="0" borderId="5" xfId="1" applyNumberFormat="1" applyFont="1" applyFill="1" applyBorder="1" applyAlignment="1">
      <alignment horizontal="right" vertical="center"/>
    </xf>
    <xf numFmtId="164" fontId="10" fillId="0" borderId="24" xfId="1" applyNumberFormat="1" applyFont="1" applyFill="1" applyBorder="1" applyAlignment="1">
      <alignment horizontal="right" vertical="center"/>
    </xf>
    <xf numFmtId="164" fontId="10" fillId="0" borderId="54" xfId="1" applyNumberFormat="1" applyFont="1" applyFill="1" applyBorder="1" applyAlignment="1">
      <alignment horizontal="right" vertical="center"/>
    </xf>
    <xf numFmtId="164" fontId="10" fillId="0" borderId="17" xfId="1" applyNumberFormat="1" applyFont="1" applyFill="1" applyBorder="1" applyAlignment="1">
      <alignment horizontal="right" vertical="center"/>
    </xf>
    <xf numFmtId="164" fontId="10" fillId="0" borderId="21" xfId="1" applyNumberFormat="1" applyFont="1" applyFill="1" applyBorder="1" applyAlignment="1">
      <alignment horizontal="right" vertical="center"/>
    </xf>
    <xf numFmtId="164" fontId="10" fillId="0" borderId="22" xfId="1" applyNumberFormat="1" applyFont="1" applyFill="1" applyBorder="1" applyAlignment="1">
      <alignment horizontal="right" vertical="center"/>
    </xf>
    <xf numFmtId="0" fontId="12" fillId="0" borderId="0" xfId="7" applyFont="1" applyFill="1" applyBorder="1" applyAlignment="1">
      <alignment horizontal="center" vertical="center" wrapText="1"/>
    </xf>
    <xf numFmtId="164" fontId="29" fillId="0" borderId="1" xfId="1" applyNumberFormat="1" applyFont="1" applyFill="1" applyBorder="1" applyAlignment="1">
      <alignment horizontal="right" vertical="center"/>
    </xf>
    <xf numFmtId="164" fontId="21" fillId="0" borderId="1" xfId="1" applyNumberFormat="1" applyFont="1" applyFill="1" applyBorder="1" applyAlignment="1">
      <alignment horizontal="right" vertical="center"/>
    </xf>
    <xf numFmtId="164" fontId="29"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xf>
    <xf numFmtId="164" fontId="10" fillId="2" borderId="12" xfId="1" applyNumberFormat="1" applyFont="1" applyFill="1" applyBorder="1" applyAlignment="1">
      <alignment horizontal="left" vertical="center" wrapText="1"/>
    </xf>
    <xf numFmtId="164" fontId="10" fillId="2" borderId="7" xfId="1" applyNumberFormat="1" applyFont="1" applyFill="1" applyBorder="1" applyAlignment="1">
      <alignment horizontal="left" vertical="center"/>
    </xf>
    <xf numFmtId="0" fontId="10" fillId="0" borderId="36" xfId="0" applyFont="1" applyBorder="1" applyAlignment="1">
      <alignment horizontal="center" vertical="center"/>
    </xf>
    <xf numFmtId="0" fontId="8" fillId="0" borderId="61" xfId="7" applyNumberFormat="1" applyFont="1" applyFill="1" applyBorder="1" applyAlignment="1">
      <alignment horizontal="center" vertical="top"/>
    </xf>
    <xf numFmtId="0" fontId="8" fillId="0" borderId="52" xfId="7" applyNumberFormat="1" applyFont="1" applyFill="1" applyBorder="1" applyAlignment="1">
      <alignment horizontal="center" vertical="top"/>
    </xf>
    <xf numFmtId="0" fontId="8" fillId="0" borderId="28" xfId="7" applyNumberFormat="1" applyFont="1" applyFill="1" applyBorder="1" applyAlignment="1">
      <alignment horizontal="center" vertical="top"/>
    </xf>
    <xf numFmtId="0" fontId="8" fillId="0" borderId="53" xfId="7" applyNumberFormat="1" applyFont="1" applyFill="1" applyBorder="1" applyAlignment="1">
      <alignment horizontal="center" vertical="top"/>
    </xf>
    <xf numFmtId="0" fontId="8" fillId="0" borderId="41" xfId="7" applyFont="1" applyFill="1" applyBorder="1" applyAlignment="1">
      <alignment horizontal="center" vertical="top"/>
    </xf>
    <xf numFmtId="0" fontId="8" fillId="0" borderId="30" xfId="7" applyFont="1" applyFill="1" applyBorder="1" applyAlignment="1">
      <alignment horizontal="center" vertical="top"/>
    </xf>
    <xf numFmtId="0" fontId="8" fillId="0" borderId="35" xfId="7" applyFont="1" applyFill="1" applyBorder="1" applyAlignment="1">
      <alignment horizontal="center" vertical="top"/>
    </xf>
    <xf numFmtId="0" fontId="8" fillId="0" borderId="28" xfId="7" applyFont="1" applyFill="1" applyBorder="1" applyAlignment="1">
      <alignment horizontal="center" vertical="top"/>
    </xf>
    <xf numFmtId="0" fontId="8" fillId="0" borderId="17" xfId="7" applyFont="1" applyFill="1" applyBorder="1" applyAlignment="1">
      <alignment horizontal="center" vertical="top"/>
    </xf>
    <xf numFmtId="164" fontId="10" fillId="2" borderId="23" xfId="1" applyNumberFormat="1" applyFont="1" applyFill="1" applyBorder="1" applyAlignment="1">
      <alignment horizontal="left" wrapText="1"/>
    </xf>
    <xf numFmtId="164" fontId="10" fillId="2" borderId="12" xfId="1" applyNumberFormat="1" applyFont="1" applyFill="1" applyBorder="1" applyAlignment="1">
      <alignment horizontal="left"/>
    </xf>
    <xf numFmtId="164" fontId="10" fillId="2" borderId="24" xfId="1" applyNumberFormat="1" applyFont="1" applyFill="1" applyBorder="1" applyAlignment="1">
      <alignment horizontal="right" vertical="center"/>
    </xf>
    <xf numFmtId="164" fontId="10" fillId="2" borderId="55" xfId="1" applyNumberFormat="1" applyFont="1" applyFill="1" applyBorder="1" applyAlignment="1">
      <alignment horizontal="right" vertical="center"/>
    </xf>
    <xf numFmtId="164" fontId="10" fillId="2" borderId="17" xfId="1" applyNumberFormat="1" applyFont="1" applyFill="1" applyBorder="1" applyAlignment="1">
      <alignment horizontal="right" vertical="center"/>
    </xf>
    <xf numFmtId="164" fontId="8" fillId="0" borderId="24" xfId="1" applyNumberFormat="1" applyFont="1" applyFill="1" applyBorder="1" applyAlignment="1">
      <alignment horizontal="right" vertical="center"/>
    </xf>
    <xf numFmtId="164" fontId="8" fillId="0" borderId="17" xfId="1" applyNumberFormat="1" applyFont="1" applyFill="1" applyBorder="1" applyAlignment="1">
      <alignment horizontal="right" vertical="center"/>
    </xf>
    <xf numFmtId="0" fontId="10" fillId="2" borderId="23" xfId="7" applyNumberFormat="1" applyFont="1" applyFill="1" applyBorder="1" applyAlignment="1">
      <alignment horizontal="left" wrapText="1"/>
    </xf>
    <xf numFmtId="0" fontId="10" fillId="2" borderId="12" xfId="7" applyNumberFormat="1" applyFont="1" applyFill="1" applyBorder="1" applyAlignment="1">
      <alignment horizontal="left"/>
    </xf>
    <xf numFmtId="0" fontId="8" fillId="0" borderId="1" xfId="7" applyFont="1" applyFill="1" applyBorder="1" applyAlignment="1">
      <alignment horizontal="center" vertical="top"/>
    </xf>
    <xf numFmtId="164" fontId="8" fillId="2" borderId="24" xfId="1" applyNumberFormat="1" applyFont="1" applyFill="1" applyBorder="1" applyAlignment="1">
      <alignment horizontal="right" vertical="center"/>
    </xf>
    <xf numFmtId="164" fontId="8" fillId="2" borderId="55" xfId="1" applyNumberFormat="1" applyFont="1" applyFill="1" applyBorder="1" applyAlignment="1">
      <alignment horizontal="right" vertical="center"/>
    </xf>
    <xf numFmtId="164" fontId="8" fillId="2" borderId="17" xfId="1" applyNumberFormat="1" applyFont="1" applyFill="1" applyBorder="1" applyAlignment="1">
      <alignment horizontal="right" vertical="center"/>
    </xf>
    <xf numFmtId="0" fontId="12" fillId="0" borderId="0" xfId="7" applyFont="1" applyFill="1" applyBorder="1" applyAlignment="1">
      <alignment horizontal="center" vertical="center"/>
    </xf>
    <xf numFmtId="0" fontId="8" fillId="0" borderId="1" xfId="7" applyFont="1" applyFill="1" applyBorder="1" applyAlignment="1">
      <alignment horizontal="center" vertical="top" wrapText="1"/>
    </xf>
    <xf numFmtId="0" fontId="8" fillId="2" borderId="1" xfId="7" applyFont="1" applyFill="1" applyBorder="1" applyAlignment="1">
      <alignment horizontal="center" vertical="top"/>
    </xf>
    <xf numFmtId="0" fontId="8" fillId="2" borderId="5" xfId="7" applyFont="1" applyFill="1" applyBorder="1" applyAlignment="1">
      <alignment horizontal="center" vertical="top"/>
    </xf>
    <xf numFmtId="0" fontId="10" fillId="0" borderId="0" xfId="0" applyFont="1" applyFill="1" applyAlignment="1">
      <alignment horizontal="center" vertical="center"/>
    </xf>
    <xf numFmtId="0" fontId="8" fillId="0" borderId="1" xfId="7" applyFont="1" applyFill="1" applyBorder="1" applyAlignment="1">
      <alignment horizontal="center" vertical="center" wrapText="1"/>
    </xf>
    <xf numFmtId="0" fontId="8" fillId="0" borderId="5" xfId="7" applyFont="1" applyFill="1" applyBorder="1" applyAlignment="1">
      <alignment horizontal="center" vertical="center" wrapText="1"/>
    </xf>
    <xf numFmtId="164" fontId="10" fillId="2" borderId="12" xfId="1" applyNumberFormat="1" applyFont="1" applyFill="1" applyBorder="1" applyAlignment="1">
      <alignment horizontal="left" wrapText="1"/>
    </xf>
    <xf numFmtId="0" fontId="8" fillId="0" borderId="19" xfId="7" applyFont="1" applyFill="1" applyBorder="1" applyAlignment="1">
      <alignment horizontal="center" vertical="top"/>
    </xf>
    <xf numFmtId="0" fontId="17" fillId="0" borderId="36" xfId="0" applyFont="1" applyBorder="1" applyAlignment="1">
      <alignment horizontal="right" vertical="center"/>
    </xf>
    <xf numFmtId="0" fontId="4" fillId="0" borderId="52" xfId="0" applyFont="1" applyFill="1" applyBorder="1" applyAlignment="1">
      <alignment horizontal="center" vertical="top"/>
    </xf>
    <xf numFmtId="0" fontId="4" fillId="0" borderId="53" xfId="0" applyFont="1" applyFill="1" applyBorder="1" applyAlignment="1">
      <alignment horizontal="center" vertical="top"/>
    </xf>
    <xf numFmtId="0" fontId="12" fillId="0" borderId="43" xfId="7" applyFont="1" applyFill="1" applyBorder="1" applyAlignment="1">
      <alignment horizontal="center" vertical="center"/>
    </xf>
    <xf numFmtId="0" fontId="8" fillId="0" borderId="1" xfId="7" applyFont="1" applyFill="1" applyBorder="1" applyAlignment="1">
      <alignment horizontal="center" vertical="center"/>
    </xf>
    <xf numFmtId="0" fontId="8" fillId="0" borderId="5" xfId="7" applyFont="1" applyFill="1" applyBorder="1" applyAlignment="1">
      <alignment horizontal="center" vertical="center"/>
    </xf>
    <xf numFmtId="0" fontId="12" fillId="0" borderId="62" xfId="7" applyFont="1" applyFill="1" applyBorder="1" applyAlignment="1">
      <alignment horizontal="center" vertical="center" wrapText="1"/>
    </xf>
    <xf numFmtId="164" fontId="10" fillId="2" borderId="23" xfId="1" applyNumberFormat="1" applyFont="1" applyFill="1" applyBorder="1" applyAlignment="1">
      <alignment horizontal="left" vertical="top" wrapText="1"/>
    </xf>
    <xf numFmtId="164" fontId="10" fillId="2" borderId="12" xfId="1" applyNumberFormat="1" applyFont="1" applyFill="1" applyBorder="1" applyAlignment="1">
      <alignment horizontal="left" vertical="top"/>
    </xf>
    <xf numFmtId="0" fontId="8" fillId="0" borderId="19" xfId="10" applyFont="1" applyFill="1" applyBorder="1" applyAlignment="1">
      <alignment horizontal="center" vertical="top"/>
    </xf>
    <xf numFmtId="0" fontId="8" fillId="0" borderId="1" xfId="10" applyFont="1" applyFill="1" applyBorder="1" applyAlignment="1">
      <alignment horizontal="center" vertical="top"/>
    </xf>
    <xf numFmtId="0" fontId="8" fillId="0" borderId="19" xfId="7" applyNumberFormat="1" applyFont="1" applyFill="1" applyBorder="1" applyAlignment="1">
      <alignment horizontal="center" vertical="top"/>
    </xf>
    <xf numFmtId="0" fontId="8" fillId="0" borderId="4" xfId="7" applyNumberFormat="1" applyFont="1" applyFill="1" applyBorder="1" applyAlignment="1">
      <alignment horizontal="center" vertical="top"/>
    </xf>
    <xf numFmtId="0" fontId="8" fillId="0" borderId="24" xfId="7" applyFont="1" applyFill="1" applyBorder="1" applyAlignment="1">
      <alignment horizontal="center"/>
    </xf>
    <xf numFmtId="0" fontId="8" fillId="0" borderId="54" xfId="7" applyFont="1" applyFill="1" applyBorder="1" applyAlignment="1">
      <alignment horizontal="center"/>
    </xf>
    <xf numFmtId="0" fontId="8" fillId="0" borderId="17" xfId="7" applyFont="1" applyFill="1" applyBorder="1" applyAlignment="1">
      <alignment horizontal="center"/>
    </xf>
    <xf numFmtId="0" fontId="8" fillId="3" borderId="40" xfId="7" applyFont="1" applyFill="1" applyBorder="1" applyAlignment="1">
      <alignment horizontal="center" vertical="top" wrapText="1"/>
    </xf>
    <xf numFmtId="0" fontId="8" fillId="3" borderId="35" xfId="7" applyFont="1" applyFill="1" applyBorder="1" applyAlignment="1">
      <alignment horizontal="center" vertical="top" wrapText="1"/>
    </xf>
    <xf numFmtId="0" fontId="12" fillId="0" borderId="62" xfId="7" applyFont="1" applyFill="1" applyBorder="1" applyAlignment="1">
      <alignment horizontal="center" vertical="center"/>
    </xf>
    <xf numFmtId="0" fontId="12" fillId="0" borderId="57" xfId="7" applyFont="1" applyFill="1" applyBorder="1" applyAlignment="1">
      <alignment horizontal="center" vertical="center"/>
    </xf>
    <xf numFmtId="164" fontId="10" fillId="0" borderId="55" xfId="1" applyNumberFormat="1" applyFont="1" applyFill="1" applyBorder="1" applyAlignment="1">
      <alignment horizontal="right" vertical="center"/>
    </xf>
    <xf numFmtId="164" fontId="10" fillId="2" borderId="50" xfId="1" applyNumberFormat="1" applyFont="1" applyFill="1" applyBorder="1" applyAlignment="1">
      <alignment horizontal="center" vertical="center"/>
    </xf>
    <xf numFmtId="164" fontId="10" fillId="2" borderId="23" xfId="1" applyNumberFormat="1" applyFont="1" applyFill="1" applyBorder="1" applyAlignment="1">
      <alignment horizontal="center" vertical="center"/>
    </xf>
    <xf numFmtId="164" fontId="10" fillId="2" borderId="12" xfId="1" applyNumberFormat="1" applyFont="1" applyFill="1" applyBorder="1" applyAlignment="1">
      <alignment horizontal="center" vertical="center"/>
    </xf>
    <xf numFmtId="164" fontId="10" fillId="2" borderId="23" xfId="1" applyNumberFormat="1" applyFont="1" applyFill="1" applyBorder="1" applyAlignment="1">
      <alignment horizontal="left" vertical="center" wrapText="1"/>
    </xf>
    <xf numFmtId="0" fontId="8" fillId="0" borderId="0" xfId="0" applyFont="1" applyFill="1" applyBorder="1" applyAlignment="1" applyProtection="1">
      <alignment horizontal="right" vertical="center"/>
      <protection locked="0"/>
    </xf>
    <xf numFmtId="164" fontId="2" fillId="2" borderId="24" xfId="1" applyNumberFormat="1" applyFont="1" applyFill="1" applyBorder="1" applyAlignment="1">
      <alignment horizontal="right" vertical="center"/>
    </xf>
    <xf numFmtId="164" fontId="2" fillId="2" borderId="55" xfId="1" applyNumberFormat="1" applyFont="1" applyFill="1" applyBorder="1" applyAlignment="1">
      <alignment horizontal="right" vertical="center"/>
    </xf>
    <xf numFmtId="164" fontId="2" fillId="0" borderId="24" xfId="1" applyNumberFormat="1" applyFont="1" applyFill="1" applyBorder="1" applyAlignment="1">
      <alignment horizontal="right" vertical="center"/>
    </xf>
    <xf numFmtId="164" fontId="2" fillId="0" borderId="17" xfId="1" applyNumberFormat="1" applyFont="1" applyFill="1" applyBorder="1" applyAlignment="1">
      <alignment horizontal="right" vertical="center"/>
    </xf>
    <xf numFmtId="0" fontId="10" fillId="0" borderId="0" xfId="6" applyFont="1" applyBorder="1" applyAlignment="1">
      <alignment horizontal="center"/>
    </xf>
    <xf numFmtId="0" fontId="10" fillId="2" borderId="50" xfId="7" applyNumberFormat="1" applyFont="1" applyFill="1" applyBorder="1" applyAlignment="1">
      <alignment horizontal="left" vertical="center"/>
    </xf>
    <xf numFmtId="0" fontId="10" fillId="2" borderId="12" xfId="7" applyNumberFormat="1" applyFont="1" applyFill="1" applyBorder="1" applyAlignment="1">
      <alignment horizontal="left" vertical="center"/>
    </xf>
    <xf numFmtId="0" fontId="17" fillId="0" borderId="0" xfId="6" applyFont="1" applyBorder="1" applyAlignment="1">
      <alignment horizontal="right"/>
    </xf>
    <xf numFmtId="0" fontId="10" fillId="0" borderId="0" xfId="6" applyFont="1" applyFill="1" applyBorder="1" applyAlignment="1">
      <alignment horizontal="center"/>
    </xf>
    <xf numFmtId="164" fontId="5" fillId="2" borderId="50" xfId="1" applyNumberFormat="1" applyFont="1" applyFill="1" applyBorder="1" applyAlignment="1">
      <alignment horizontal="right" vertical="center"/>
    </xf>
    <xf numFmtId="164" fontId="5" fillId="2" borderId="23" xfId="1" applyNumberFormat="1" applyFont="1" applyFill="1" applyBorder="1" applyAlignment="1">
      <alignment horizontal="right" vertical="center"/>
    </xf>
    <xf numFmtId="164" fontId="5" fillId="2" borderId="12" xfId="1" applyNumberFormat="1" applyFont="1" applyFill="1" applyBorder="1" applyAlignment="1">
      <alignment horizontal="right" vertical="center"/>
    </xf>
    <xf numFmtId="164" fontId="2" fillId="0" borderId="1" xfId="1" applyNumberFormat="1" applyFont="1" applyFill="1" applyBorder="1" applyAlignment="1">
      <alignment horizontal="right" vertical="center"/>
    </xf>
    <xf numFmtId="0" fontId="10" fillId="2" borderId="50" xfId="7" applyNumberFormat="1" applyFont="1" applyFill="1" applyBorder="1" applyAlignment="1">
      <alignment horizontal="left" vertical="center" wrapText="1"/>
    </xf>
    <xf numFmtId="0" fontId="10" fillId="2" borderId="12" xfId="7" applyNumberFormat="1" applyFont="1" applyFill="1" applyBorder="1" applyAlignment="1">
      <alignment horizontal="left" vertical="center" wrapText="1"/>
    </xf>
    <xf numFmtId="164" fontId="2" fillId="0" borderId="5" xfId="1" applyNumberFormat="1" applyFont="1" applyFill="1" applyBorder="1" applyAlignment="1">
      <alignment horizontal="right" vertical="center"/>
    </xf>
    <xf numFmtId="0" fontId="35" fillId="0" borderId="54" xfId="7" applyFont="1" applyFill="1" applyBorder="1" applyAlignment="1">
      <alignment horizontal="center"/>
    </xf>
    <xf numFmtId="0" fontId="8" fillId="0" borderId="5" xfId="7" applyFont="1" applyFill="1" applyBorder="1" applyAlignment="1">
      <alignment horizontal="center" vertical="top"/>
    </xf>
    <xf numFmtId="0" fontId="35" fillId="0" borderId="55" xfId="7" applyFont="1" applyFill="1" applyBorder="1" applyAlignment="1">
      <alignment horizontal="center"/>
    </xf>
    <xf numFmtId="164" fontId="2" fillId="2" borderId="17" xfId="1" applyNumberFormat="1" applyFont="1" applyFill="1" applyBorder="1" applyAlignment="1">
      <alignment horizontal="right" vertical="center"/>
    </xf>
    <xf numFmtId="0" fontId="12" fillId="0" borderId="0" xfId="7" applyFont="1" applyFill="1" applyBorder="1" applyAlignment="1">
      <alignment horizontal="center"/>
    </xf>
    <xf numFmtId="0" fontId="15" fillId="0" borderId="0" xfId="0" applyFont="1" applyFill="1" applyAlignment="1">
      <alignment horizontal="right"/>
    </xf>
    <xf numFmtId="0" fontId="9" fillId="0" borderId="0" xfId="6" applyFont="1" applyAlignment="1">
      <alignment horizontal="center"/>
    </xf>
    <xf numFmtId="0" fontId="15" fillId="0" borderId="36" xfId="6" applyFont="1" applyBorder="1" applyAlignment="1">
      <alignment horizontal="right"/>
    </xf>
    <xf numFmtId="0" fontId="10" fillId="0" borderId="36" xfId="6" applyFont="1" applyBorder="1" applyAlignment="1">
      <alignment horizontal="center"/>
    </xf>
    <xf numFmtId="0" fontId="8" fillId="3" borderId="1" xfId="7" applyFont="1" applyFill="1" applyBorder="1" applyAlignment="1">
      <alignment horizontal="center" vertical="center"/>
    </xf>
    <xf numFmtId="0" fontId="8" fillId="3" borderId="5" xfId="7" applyFont="1" applyFill="1" applyBorder="1" applyAlignment="1">
      <alignment horizontal="center" vertical="center"/>
    </xf>
    <xf numFmtId="0" fontId="8" fillId="0" borderId="61" xfId="7" applyNumberFormat="1" applyFont="1" applyFill="1" applyBorder="1" applyAlignment="1">
      <alignment horizontal="center" vertical="center" wrapText="1"/>
    </xf>
    <xf numFmtId="0" fontId="8" fillId="0" borderId="52" xfId="7" applyNumberFormat="1" applyFont="1" applyFill="1" applyBorder="1" applyAlignment="1">
      <alignment horizontal="center" vertical="center" wrapText="1"/>
    </xf>
    <xf numFmtId="0" fontId="8" fillId="0" borderId="53" xfId="7" applyNumberFormat="1" applyFont="1" applyFill="1" applyBorder="1" applyAlignment="1">
      <alignment horizontal="center" vertical="center" wrapText="1"/>
    </xf>
    <xf numFmtId="0" fontId="8" fillId="0" borderId="44" xfId="0" applyFont="1" applyFill="1" applyBorder="1" applyAlignment="1">
      <alignment horizontal="center" vertical="center" wrapText="1"/>
    </xf>
    <xf numFmtId="0" fontId="4" fillId="0" borderId="42" xfId="0" applyFont="1" applyBorder="1" applyAlignment="1">
      <alignment horizontal="center" vertical="center"/>
    </xf>
    <xf numFmtId="0" fontId="4" fillId="0" borderId="63" xfId="0" applyFont="1" applyBorder="1" applyAlignment="1">
      <alignment horizontal="center" vertical="center"/>
    </xf>
    <xf numFmtId="0" fontId="8" fillId="0" borderId="61" xfId="7" applyNumberFormat="1" applyFont="1" applyFill="1" applyBorder="1" applyAlignment="1">
      <alignment horizontal="center" vertical="center"/>
    </xf>
    <xf numFmtId="0" fontId="8" fillId="0" borderId="52" xfId="7" applyNumberFormat="1" applyFont="1" applyFill="1" applyBorder="1" applyAlignment="1">
      <alignment horizontal="center" vertical="center"/>
    </xf>
    <xf numFmtId="0" fontId="8" fillId="0" borderId="28" xfId="7" applyNumberFormat="1" applyFont="1" applyFill="1" applyBorder="1" applyAlignment="1">
      <alignment horizontal="center" vertical="center"/>
    </xf>
    <xf numFmtId="164" fontId="5" fillId="2" borderId="25" xfId="1" applyNumberFormat="1" applyFont="1" applyFill="1" applyBorder="1" applyAlignment="1">
      <alignment horizontal="right" vertical="center"/>
    </xf>
    <xf numFmtId="0" fontId="8" fillId="3" borderId="62" xfId="7" applyFont="1" applyFill="1" applyBorder="1" applyAlignment="1">
      <alignment horizontal="center" vertical="top"/>
    </xf>
    <xf numFmtId="0" fontId="8" fillId="3" borderId="40" xfId="7" applyFont="1" applyFill="1" applyBorder="1" applyAlignment="1">
      <alignment horizontal="center" vertical="top"/>
    </xf>
    <xf numFmtId="0" fontId="8" fillId="3" borderId="64" xfId="7" applyFont="1" applyFill="1" applyBorder="1" applyAlignment="1">
      <alignment horizontal="center" vertical="top"/>
    </xf>
    <xf numFmtId="0" fontId="8" fillId="3" borderId="35" xfId="7" applyFont="1" applyFill="1" applyBorder="1" applyAlignment="1">
      <alignment horizontal="center" vertical="top"/>
    </xf>
    <xf numFmtId="0" fontId="8" fillId="0" borderId="24" xfId="7" applyFont="1" applyFill="1" applyBorder="1" applyAlignment="1">
      <alignment horizontal="center" vertical="center"/>
    </xf>
    <xf numFmtId="0" fontId="8" fillId="0" borderId="54" xfId="7" applyFont="1" applyFill="1" applyBorder="1" applyAlignment="1">
      <alignment horizontal="center" vertical="center"/>
    </xf>
    <xf numFmtId="0" fontId="8" fillId="0" borderId="53" xfId="7" applyNumberFormat="1" applyFont="1" applyFill="1" applyBorder="1" applyAlignment="1">
      <alignment horizontal="center" vertical="center"/>
    </xf>
    <xf numFmtId="0" fontId="8" fillId="0" borderId="17" xfId="7" applyFont="1" applyFill="1" applyBorder="1" applyAlignment="1">
      <alignment horizontal="center" vertical="center"/>
    </xf>
    <xf numFmtId="0" fontId="8" fillId="0" borderId="28" xfId="7" applyNumberFormat="1" applyFont="1" applyFill="1" applyBorder="1" applyAlignment="1">
      <alignment horizontal="center" vertical="center" wrapText="1"/>
    </xf>
    <xf numFmtId="0" fontId="12" fillId="0" borderId="43" xfId="7" applyFont="1" applyFill="1" applyBorder="1" applyAlignment="1">
      <alignment horizontal="center"/>
    </xf>
    <xf numFmtId="0" fontId="10" fillId="0" borderId="0" xfId="0" applyFont="1" applyBorder="1" applyAlignment="1">
      <alignment horizontal="center"/>
    </xf>
    <xf numFmtId="0" fontId="10" fillId="2" borderId="23" xfId="7" applyNumberFormat="1" applyFont="1" applyFill="1" applyBorder="1" applyAlignment="1">
      <alignment horizontal="left" vertical="center"/>
    </xf>
    <xf numFmtId="0" fontId="10" fillId="0" borderId="0" xfId="0" applyFont="1" applyFill="1" applyBorder="1" applyAlignment="1">
      <alignment horizontal="center"/>
    </xf>
    <xf numFmtId="0" fontId="12" fillId="0" borderId="54" xfId="7" applyFont="1" applyFill="1" applyBorder="1" applyAlignment="1">
      <alignment horizontal="center"/>
    </xf>
    <xf numFmtId="0" fontId="12" fillId="0" borderId="55" xfId="7" applyFont="1" applyFill="1" applyBorder="1" applyAlignment="1">
      <alignment horizontal="center"/>
    </xf>
    <xf numFmtId="164" fontId="5" fillId="3" borderId="7" xfId="1" applyNumberFormat="1" applyFont="1" applyFill="1" applyBorder="1" applyAlignment="1">
      <alignment horizontal="right" vertical="center"/>
    </xf>
    <xf numFmtId="164" fontId="5" fillId="3" borderId="8" xfId="1" applyNumberFormat="1" applyFont="1" applyFill="1" applyBorder="1" applyAlignment="1">
      <alignment horizontal="right" vertical="center"/>
    </xf>
    <xf numFmtId="164" fontId="5" fillId="2" borderId="7" xfId="1" applyNumberFormat="1" applyFont="1" applyFill="1" applyBorder="1" applyAlignment="1">
      <alignment horizontal="right" vertical="center"/>
    </xf>
    <xf numFmtId="0" fontId="10" fillId="0" borderId="0" xfId="7" applyFont="1" applyFill="1" applyBorder="1" applyAlignment="1">
      <alignment horizontal="center"/>
    </xf>
    <xf numFmtId="0" fontId="10" fillId="0" borderId="43" xfId="7" applyFont="1" applyFill="1" applyBorder="1" applyAlignment="1">
      <alignment horizontal="center"/>
    </xf>
    <xf numFmtId="0" fontId="17" fillId="0" borderId="0" xfId="6" applyFont="1" applyBorder="1" applyAlignment="1">
      <alignment horizontal="right" vertical="center"/>
    </xf>
    <xf numFmtId="0" fontId="10" fillId="2" borderId="7" xfId="7" applyNumberFormat="1" applyFont="1" applyFill="1" applyBorder="1" applyAlignment="1">
      <alignment horizontal="left" vertical="center"/>
    </xf>
    <xf numFmtId="0" fontId="8" fillId="0" borderId="5" xfId="7" applyFont="1" applyFill="1" applyBorder="1" applyAlignment="1">
      <alignment horizontal="center" wrapText="1"/>
    </xf>
    <xf numFmtId="0" fontId="8" fillId="0" borderId="19" xfId="7" applyNumberFormat="1" applyFont="1" applyFill="1" applyBorder="1" applyAlignment="1">
      <alignment horizontal="center" vertical="center" wrapText="1"/>
    </xf>
    <xf numFmtId="0" fontId="8" fillId="0" borderId="4" xfId="7" applyNumberFormat="1" applyFont="1" applyFill="1" applyBorder="1" applyAlignment="1">
      <alignment horizontal="center" vertical="center" wrapText="1"/>
    </xf>
    <xf numFmtId="0" fontId="8" fillId="0" borderId="0" xfId="6" applyFont="1" applyFill="1" applyBorder="1" applyAlignment="1" applyProtection="1">
      <alignment horizontal="left"/>
      <protection locked="0"/>
    </xf>
    <xf numFmtId="0" fontId="12" fillId="4" borderId="0" xfId="0" applyFont="1" applyFill="1"/>
    <xf numFmtId="0" fontId="13" fillId="4" borderId="0" xfId="0" applyFont="1" applyFill="1" applyAlignment="1">
      <alignment horizontal="right"/>
    </xf>
    <xf numFmtId="0" fontId="13" fillId="4" borderId="0" xfId="0" applyFont="1" applyFill="1"/>
    <xf numFmtId="0" fontId="17" fillId="4" borderId="0" xfId="0" applyFont="1" applyFill="1" applyAlignment="1">
      <alignment horizontal="right"/>
    </xf>
    <xf numFmtId="0" fontId="12" fillId="4" borderId="0" xfId="0" applyFont="1" applyFill="1" applyAlignment="1"/>
    <xf numFmtId="0" fontId="17" fillId="4" borderId="0" xfId="0" applyFont="1" applyFill="1" applyAlignment="1">
      <alignment horizontal="right"/>
    </xf>
    <xf numFmtId="0" fontId="13" fillId="0" borderId="1" xfId="0" applyFont="1" applyBorder="1"/>
    <xf numFmtId="0" fontId="13" fillId="0" borderId="1" xfId="0" applyFont="1" applyBorder="1" applyAlignment="1">
      <alignment vertical="center"/>
    </xf>
    <xf numFmtId="0" fontId="13" fillId="0" borderId="1" xfId="0" applyFont="1" applyBorder="1" applyAlignment="1">
      <alignment horizontal="center" vertical="center" wrapText="1"/>
    </xf>
    <xf numFmtId="0" fontId="18" fillId="0" borderId="1" xfId="0" applyFont="1" applyBorder="1" applyAlignment="1">
      <alignment horizontal="center" vertical="top" wrapText="1"/>
    </xf>
    <xf numFmtId="0" fontId="18" fillId="5" borderId="1" xfId="0" applyFont="1" applyFill="1" applyBorder="1" applyAlignment="1">
      <alignment horizontal="center" vertical="top" wrapText="1"/>
    </xf>
    <xf numFmtId="0" fontId="12" fillId="5" borderId="1" xfId="6" applyFont="1" applyFill="1" applyBorder="1" applyAlignment="1">
      <alignment horizontal="left" vertical="center" wrapText="1"/>
    </xf>
    <xf numFmtId="43" fontId="18" fillId="5" borderId="1" xfId="1" applyFont="1" applyFill="1" applyBorder="1" applyAlignment="1">
      <alignment horizontal="center" vertical="top" wrapText="1"/>
    </xf>
    <xf numFmtId="0" fontId="13" fillId="0" borderId="1" xfId="0" applyFont="1" applyBorder="1" applyAlignment="1">
      <alignment horizontal="center"/>
    </xf>
    <xf numFmtId="0" fontId="13" fillId="0" borderId="1" xfId="6" applyFont="1" applyBorder="1" applyAlignment="1">
      <alignment horizontal="left" vertical="center" wrapText="1"/>
    </xf>
    <xf numFmtId="43" fontId="13" fillId="0" borderId="1" xfId="1" applyFont="1" applyBorder="1"/>
    <xf numFmtId="0" fontId="13" fillId="0" borderId="1" xfId="6" applyFont="1" applyFill="1" applyBorder="1" applyAlignment="1">
      <alignment horizontal="left" vertical="center" wrapText="1"/>
    </xf>
    <xf numFmtId="0" fontId="18" fillId="0" borderId="1" xfId="0" applyFont="1" applyBorder="1" applyAlignment="1">
      <alignment horizontal="center" wrapText="1"/>
    </xf>
    <xf numFmtId="0" fontId="13" fillId="4" borderId="0" xfId="0" applyFont="1" applyFill="1" applyBorder="1" applyAlignment="1">
      <alignment horizontal="center"/>
    </xf>
    <xf numFmtId="0" fontId="13" fillId="4" borderId="0" xfId="6" applyFont="1" applyFill="1" applyBorder="1" applyAlignment="1">
      <alignment horizontal="left" vertical="center" wrapText="1"/>
    </xf>
    <xf numFmtId="43" fontId="13" fillId="4" borderId="0" xfId="1" applyFont="1" applyFill="1" applyBorder="1"/>
    <xf numFmtId="0" fontId="13" fillId="4" borderId="0" xfId="0" applyFont="1" applyFill="1" applyBorder="1" applyAlignment="1" applyProtection="1">
      <protection locked="0"/>
    </xf>
  </cellXfs>
  <cellStyles count="14">
    <cellStyle name="Comma" xfId="1" builtinId="3"/>
    <cellStyle name="Comma 10" xfId="2" xr:uid="{00000000-0005-0000-0000-000001000000}"/>
    <cellStyle name="Comma 2" xfId="3" xr:uid="{00000000-0005-0000-0000-000002000000}"/>
    <cellStyle name="Comma 3" xfId="4" xr:uid="{00000000-0005-0000-0000-000003000000}"/>
    <cellStyle name="Comma 3 2" xfId="5" xr:uid="{00000000-0005-0000-0000-000004000000}"/>
    <cellStyle name="Normal" xfId="0" builtinId="0"/>
    <cellStyle name="Normal 11" xfId="6" xr:uid="{00000000-0005-0000-0000-000006000000}"/>
    <cellStyle name="Normal 2" xfId="7" xr:uid="{00000000-0005-0000-0000-000007000000}"/>
    <cellStyle name="Normal 2 2" xfId="13" xr:uid="{00000000-0005-0000-0000-000008000000}"/>
    <cellStyle name="Normal_BCI Restatement &amp; FS-10.04 (GEL)" xfId="8" xr:uid="{00000000-0005-0000-0000-000009000000}"/>
    <cellStyle name="Normal_ch.of acc. new" xfId="9" xr:uid="{00000000-0005-0000-0000-00000A000000}"/>
    <cellStyle name="Normal_Financial Statements" xfId="10" xr:uid="{00000000-0005-0000-0000-00000B000000}"/>
    <cellStyle name="Normal_Restatement model &amp; FS-03" xfId="11" xr:uid="{00000000-0005-0000-0000-00000C000000}"/>
    <cellStyle name="Percent 2" xfId="12" xr:uid="{00000000-0005-0000-0000-00000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5" Type="http://schemas.openxmlformats.org/officeDocument/2006/relationships/printerSettings" Target="../printerSettings/printerSettings15.bin"/><Relationship Id="rId4" Type="http://schemas.openxmlformats.org/officeDocument/2006/relationships/printerSettings" Target="../printerSettings/printerSettings14.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5" Type="http://schemas.openxmlformats.org/officeDocument/2006/relationships/printerSettings" Target="../printerSettings/printerSettings20.bin"/><Relationship Id="rId4" Type="http://schemas.openxmlformats.org/officeDocument/2006/relationships/printerSettings" Target="../printerSettings/printerSettings19.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5" Type="http://schemas.openxmlformats.org/officeDocument/2006/relationships/printerSettings" Target="../printerSettings/printerSettings25.bin"/><Relationship Id="rId4" Type="http://schemas.openxmlformats.org/officeDocument/2006/relationships/printerSettings" Target="../printerSettings/printerSettings2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 Id="rId5" Type="http://schemas.openxmlformats.org/officeDocument/2006/relationships/printerSettings" Target="../printerSettings/printerSettings31.bin"/><Relationship Id="rId4" Type="http://schemas.openxmlformats.org/officeDocument/2006/relationships/printerSettings" Target="../printerSettings/printerSettings30.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 Id="rId5" Type="http://schemas.openxmlformats.org/officeDocument/2006/relationships/printerSettings" Target="../printerSettings/printerSettings36.bin"/><Relationship Id="rId4" Type="http://schemas.openxmlformats.org/officeDocument/2006/relationships/printerSettings" Target="../printerSettings/printerSettings35.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5" Type="http://schemas.openxmlformats.org/officeDocument/2006/relationships/printerSettings" Target="../printerSettings/printerSettings41.bin"/><Relationship Id="rId4" Type="http://schemas.openxmlformats.org/officeDocument/2006/relationships/printerSettings" Target="../printerSettings/printerSettings40.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5" Type="http://schemas.openxmlformats.org/officeDocument/2006/relationships/printerSettings" Target="../printerSettings/printerSettings47.bin"/><Relationship Id="rId4" Type="http://schemas.openxmlformats.org/officeDocument/2006/relationships/printerSettings" Target="../printerSettings/printerSettings46.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0.bin"/><Relationship Id="rId2" Type="http://schemas.openxmlformats.org/officeDocument/2006/relationships/printerSettings" Target="../printerSettings/printerSettings49.bin"/><Relationship Id="rId1" Type="http://schemas.openxmlformats.org/officeDocument/2006/relationships/printerSettings" Target="../printerSettings/printerSettings48.bin"/><Relationship Id="rId5" Type="http://schemas.openxmlformats.org/officeDocument/2006/relationships/printerSettings" Target="../printerSettings/printerSettings52.bin"/><Relationship Id="rId4" Type="http://schemas.openxmlformats.org/officeDocument/2006/relationships/printerSettings" Target="../printerSettings/printerSettings51.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 Id="rId5" Type="http://schemas.openxmlformats.org/officeDocument/2006/relationships/printerSettings" Target="../printerSettings/printerSettings57.bin"/><Relationship Id="rId4" Type="http://schemas.openxmlformats.org/officeDocument/2006/relationships/printerSettings" Target="../printerSettings/printerSettings56.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5" Type="http://schemas.openxmlformats.org/officeDocument/2006/relationships/printerSettings" Target="../printerSettings/printerSettings62.bin"/><Relationship Id="rId4" Type="http://schemas.openxmlformats.org/officeDocument/2006/relationships/printerSettings" Target="../printerSettings/printerSettings61.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65.bin"/><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 Id="rId5" Type="http://schemas.openxmlformats.org/officeDocument/2006/relationships/printerSettings" Target="../printerSettings/printerSettings67.bin"/><Relationship Id="rId4" Type="http://schemas.openxmlformats.org/officeDocument/2006/relationships/printerSettings" Target="../printerSettings/printerSettings66.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70.bin"/><Relationship Id="rId2" Type="http://schemas.openxmlformats.org/officeDocument/2006/relationships/printerSettings" Target="../printerSettings/printerSettings69.bin"/><Relationship Id="rId1" Type="http://schemas.openxmlformats.org/officeDocument/2006/relationships/printerSettings" Target="../printerSettings/printerSettings68.bin"/><Relationship Id="rId5" Type="http://schemas.openxmlformats.org/officeDocument/2006/relationships/printerSettings" Target="../printerSettings/printerSettings72.bin"/><Relationship Id="rId4" Type="http://schemas.openxmlformats.org/officeDocument/2006/relationships/printerSettings" Target="../printerSettings/printerSettings71.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 Id="rId5" Type="http://schemas.openxmlformats.org/officeDocument/2006/relationships/printerSettings" Target="../printerSettings/printerSettings77.bin"/><Relationship Id="rId4" Type="http://schemas.openxmlformats.org/officeDocument/2006/relationships/printerSettings" Target="../printerSettings/printerSettings76.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80.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5" Type="http://schemas.openxmlformats.org/officeDocument/2006/relationships/printerSettings" Target="../printerSettings/printerSettings82.bin"/><Relationship Id="rId4" Type="http://schemas.openxmlformats.org/officeDocument/2006/relationships/printerSettings" Target="../printerSettings/printerSettings8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86.bin"/><Relationship Id="rId2" Type="http://schemas.openxmlformats.org/officeDocument/2006/relationships/printerSettings" Target="../printerSettings/printerSettings85.bin"/><Relationship Id="rId1" Type="http://schemas.openxmlformats.org/officeDocument/2006/relationships/printerSettings" Target="../printerSettings/printerSettings84.bin"/><Relationship Id="rId5" Type="http://schemas.openxmlformats.org/officeDocument/2006/relationships/printerSettings" Target="../printerSettings/printerSettings88.bin"/><Relationship Id="rId4" Type="http://schemas.openxmlformats.org/officeDocument/2006/relationships/printerSettings" Target="../printerSettings/printerSettings8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94.bin"/><Relationship Id="rId2" Type="http://schemas.openxmlformats.org/officeDocument/2006/relationships/printerSettings" Target="../printerSettings/printerSettings93.bin"/><Relationship Id="rId1" Type="http://schemas.openxmlformats.org/officeDocument/2006/relationships/printerSettings" Target="../printerSettings/printerSettings92.bin"/><Relationship Id="rId5" Type="http://schemas.openxmlformats.org/officeDocument/2006/relationships/printerSettings" Target="../printerSettings/printerSettings96.bin"/><Relationship Id="rId4" Type="http://schemas.openxmlformats.org/officeDocument/2006/relationships/printerSettings" Target="../printerSettings/printerSettings95.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99.bin"/><Relationship Id="rId2" Type="http://schemas.openxmlformats.org/officeDocument/2006/relationships/printerSettings" Target="../printerSettings/printerSettings98.bin"/><Relationship Id="rId1" Type="http://schemas.openxmlformats.org/officeDocument/2006/relationships/printerSettings" Target="../printerSettings/printerSettings97.bin"/><Relationship Id="rId5" Type="http://schemas.openxmlformats.org/officeDocument/2006/relationships/printerSettings" Target="../printerSettings/printerSettings101.bin"/><Relationship Id="rId4" Type="http://schemas.openxmlformats.org/officeDocument/2006/relationships/printerSettings" Target="../printerSettings/printerSettings100.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104.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 Id="rId5" Type="http://schemas.openxmlformats.org/officeDocument/2006/relationships/printerSettings" Target="../printerSettings/printerSettings106.bin"/><Relationship Id="rId4" Type="http://schemas.openxmlformats.org/officeDocument/2006/relationships/printerSettings" Target="../printerSettings/printerSettings10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Q37"/>
  <sheetViews>
    <sheetView showGridLines="0" zoomScale="90" zoomScaleNormal="90" workbookViewId="0">
      <selection activeCell="D16" sqref="D16"/>
    </sheetView>
  </sheetViews>
  <sheetFormatPr defaultColWidth="9.140625" defaultRowHeight="15" x14ac:dyDescent="0.3"/>
  <cols>
    <col min="1" max="1" width="3.5703125" style="4" customWidth="1"/>
    <col min="2" max="2" width="6.5703125" style="8" customWidth="1"/>
    <col min="3" max="3" width="59.42578125" style="3" customWidth="1"/>
    <col min="4" max="4" width="47.28515625" style="4" customWidth="1"/>
    <col min="5" max="16384" width="9.140625" style="4"/>
  </cols>
  <sheetData>
    <row r="1" spans="2:6" ht="18" x14ac:dyDescent="0.35">
      <c r="D1" s="623" t="s">
        <v>4645</v>
      </c>
    </row>
    <row r="2" spans="2:6" ht="18" x14ac:dyDescent="0.3">
      <c r="B2" s="781" t="s">
        <v>347</v>
      </c>
      <c r="C2" s="781"/>
      <c r="D2" s="781"/>
    </row>
    <row r="3" spans="2:6" ht="13.5" customHeight="1" x14ac:dyDescent="0.3">
      <c r="B3" s="28"/>
      <c r="C3" s="28"/>
      <c r="D3" s="28"/>
    </row>
    <row r="4" spans="2:6" x14ac:dyDescent="0.3">
      <c r="B4" s="783" t="s">
        <v>357</v>
      </c>
      <c r="C4" s="783"/>
      <c r="D4" s="783"/>
    </row>
    <row r="5" spans="2:6" ht="15.75" thickBot="1" x14ac:dyDescent="0.35">
      <c r="B5" s="229"/>
      <c r="C5" s="229"/>
      <c r="D5" s="229"/>
    </row>
    <row r="6" spans="2:6" s="30" customFormat="1" ht="19.5" customHeight="1" x14ac:dyDescent="0.2">
      <c r="B6" s="36">
        <v>1</v>
      </c>
      <c r="C6" s="308" t="s">
        <v>4696</v>
      </c>
      <c r="D6" s="43"/>
    </row>
    <row r="7" spans="2:6" s="30" customFormat="1" ht="19.5" customHeight="1" x14ac:dyDescent="0.2">
      <c r="B7" s="283">
        <v>2</v>
      </c>
      <c r="C7" s="162" t="s">
        <v>322</v>
      </c>
      <c r="D7" s="45"/>
    </row>
    <row r="8" spans="2:6" s="30" customFormat="1" ht="19.5" customHeight="1" x14ac:dyDescent="0.2">
      <c r="B8" s="37">
        <v>3</v>
      </c>
      <c r="C8" s="162" t="s">
        <v>359</v>
      </c>
      <c r="D8" s="44"/>
    </row>
    <row r="9" spans="2:6" s="30" customFormat="1" ht="19.5" customHeight="1" x14ac:dyDescent="0.2">
      <c r="B9" s="283">
        <v>4</v>
      </c>
      <c r="C9" s="162" t="s">
        <v>348</v>
      </c>
      <c r="D9" s="44"/>
    </row>
    <row r="10" spans="2:6" s="30" customFormat="1" ht="19.5" customHeight="1" x14ac:dyDescent="0.2">
      <c r="B10" s="37">
        <v>5</v>
      </c>
      <c r="C10" s="162" t="s">
        <v>349</v>
      </c>
      <c r="D10" s="44"/>
    </row>
    <row r="11" spans="2:6" s="30" customFormat="1" ht="19.5" customHeight="1" x14ac:dyDescent="0.2">
      <c r="B11" s="283">
        <v>6</v>
      </c>
      <c r="C11" s="162" t="s">
        <v>350</v>
      </c>
      <c r="D11" s="44"/>
      <c r="F11" s="31"/>
    </row>
    <row r="12" spans="2:6" s="30" customFormat="1" ht="19.5" customHeight="1" x14ac:dyDescent="0.2">
      <c r="B12" s="37">
        <v>7</v>
      </c>
      <c r="C12" s="162" t="s">
        <v>351</v>
      </c>
      <c r="D12" s="44"/>
    </row>
    <row r="13" spans="2:6" s="30" customFormat="1" ht="19.5" customHeight="1" x14ac:dyDescent="0.2">
      <c r="B13" s="283">
        <v>8</v>
      </c>
      <c r="C13" s="162" t="s">
        <v>352</v>
      </c>
      <c r="D13" s="46"/>
    </row>
    <row r="14" spans="2:6" s="30" customFormat="1" ht="19.5" customHeight="1" x14ac:dyDescent="0.2">
      <c r="B14" s="37">
        <v>9</v>
      </c>
      <c r="C14" s="162" t="s">
        <v>3321</v>
      </c>
      <c r="D14" s="44"/>
    </row>
    <row r="15" spans="2:6" s="30" customFormat="1" ht="19.5" customHeight="1" x14ac:dyDescent="0.2">
      <c r="B15" s="283">
        <v>10</v>
      </c>
      <c r="C15" s="162" t="s">
        <v>353</v>
      </c>
      <c r="D15" s="44"/>
    </row>
    <row r="16" spans="2:6" s="30" customFormat="1" ht="19.5" customHeight="1" x14ac:dyDescent="0.2">
      <c r="B16" s="37">
        <v>11</v>
      </c>
      <c r="C16" s="162" t="s">
        <v>354</v>
      </c>
      <c r="D16" s="44"/>
    </row>
    <row r="17" spans="2:17" s="30" customFormat="1" ht="19.5" customHeight="1" x14ac:dyDescent="0.2">
      <c r="B17" s="283">
        <v>12</v>
      </c>
      <c r="C17" s="162" t="s">
        <v>355</v>
      </c>
      <c r="D17" s="697">
        <f>SUM(D18:D20)</f>
        <v>0</v>
      </c>
    </row>
    <row r="18" spans="2:17" s="38" customFormat="1" ht="19.5" customHeight="1" x14ac:dyDescent="0.2">
      <c r="B18" s="39" t="s">
        <v>4647</v>
      </c>
      <c r="C18" s="309" t="s">
        <v>1602</v>
      </c>
      <c r="D18" s="47"/>
    </row>
    <row r="19" spans="2:17" s="38" customFormat="1" ht="19.5" customHeight="1" x14ac:dyDescent="0.2">
      <c r="B19" s="39" t="s">
        <v>4648</v>
      </c>
      <c r="C19" s="309" t="s">
        <v>1603</v>
      </c>
      <c r="D19" s="47"/>
    </row>
    <row r="20" spans="2:17" s="38" customFormat="1" ht="19.5" customHeight="1" x14ac:dyDescent="0.2">
      <c r="B20" s="39" t="s">
        <v>4649</v>
      </c>
      <c r="C20" s="309" t="s">
        <v>3345</v>
      </c>
      <c r="D20" s="47"/>
    </row>
    <row r="21" spans="2:17" s="30" customFormat="1" ht="19.5" customHeight="1" x14ac:dyDescent="0.2">
      <c r="B21" s="37">
        <v>13</v>
      </c>
      <c r="C21" s="162" t="s">
        <v>356</v>
      </c>
      <c r="D21" s="44"/>
    </row>
    <row r="22" spans="2:17" s="30" customFormat="1" ht="19.5" customHeight="1" x14ac:dyDescent="0.2">
      <c r="B22" s="37">
        <v>14</v>
      </c>
      <c r="C22" s="162" t="s">
        <v>358</v>
      </c>
      <c r="D22" s="44"/>
    </row>
    <row r="23" spans="2:17" s="30" customFormat="1" ht="19.5" customHeight="1" x14ac:dyDescent="0.2">
      <c r="B23" s="37">
        <v>15</v>
      </c>
      <c r="C23" s="162" t="s">
        <v>3323</v>
      </c>
      <c r="D23" s="44"/>
    </row>
    <row r="24" spans="2:17" s="30" customFormat="1" ht="19.5" customHeight="1" thickBot="1" x14ac:dyDescent="0.25">
      <c r="B24" s="705">
        <v>16</v>
      </c>
      <c r="C24" s="706" t="s">
        <v>3322</v>
      </c>
      <c r="D24" s="707"/>
    </row>
    <row r="25" spans="2:17" ht="62.25" customHeight="1" x14ac:dyDescent="0.3">
      <c r="B25" s="4"/>
      <c r="C25" s="4"/>
    </row>
    <row r="26" spans="2:17" x14ac:dyDescent="0.3">
      <c r="B26" s="9"/>
      <c r="C26" s="29"/>
      <c r="D26" s="29"/>
    </row>
    <row r="27" spans="2:17" x14ac:dyDescent="0.3">
      <c r="B27" s="9"/>
      <c r="C27" s="29"/>
      <c r="D27" s="29"/>
    </row>
    <row r="28" spans="2:17" s="32" customFormat="1" x14ac:dyDescent="0.3">
      <c r="B28" s="784"/>
      <c r="C28" s="784"/>
      <c r="D28" s="784"/>
      <c r="E28" s="33"/>
      <c r="F28" s="33"/>
      <c r="G28" s="33"/>
      <c r="H28" s="33"/>
      <c r="I28" s="33"/>
      <c r="J28" s="33"/>
      <c r="K28" s="33"/>
      <c r="L28" s="33"/>
      <c r="M28" s="33"/>
      <c r="N28" s="33"/>
      <c r="O28" s="33"/>
      <c r="P28" s="33"/>
      <c r="Q28" s="33"/>
    </row>
    <row r="29" spans="2:17" s="32" customFormat="1" x14ac:dyDescent="0.3">
      <c r="B29" s="785"/>
      <c r="C29" s="785"/>
      <c r="D29" s="785"/>
      <c r="E29" s="31"/>
      <c r="F29" s="33"/>
      <c r="G29" s="33"/>
      <c r="H29" s="33"/>
      <c r="I29" s="33"/>
      <c r="J29" s="33"/>
      <c r="K29" s="33"/>
      <c r="L29" s="33"/>
      <c r="M29" s="33"/>
      <c r="N29" s="33"/>
      <c r="O29" s="33"/>
      <c r="P29" s="33"/>
      <c r="Q29" s="33"/>
    </row>
    <row r="30" spans="2:17" s="32" customFormat="1" x14ac:dyDescent="0.3">
      <c r="B30" s="784"/>
      <c r="C30" s="784"/>
      <c r="D30" s="784"/>
      <c r="E30" s="33"/>
      <c r="F30" s="33"/>
      <c r="G30" s="33"/>
      <c r="H30" s="33"/>
      <c r="I30" s="33"/>
      <c r="J30" s="33"/>
      <c r="K30" s="33"/>
      <c r="L30" s="33"/>
      <c r="M30" s="33"/>
      <c r="N30" s="33"/>
      <c r="O30" s="33"/>
      <c r="P30" s="33"/>
      <c r="Q30" s="33"/>
    </row>
    <row r="31" spans="2:17" s="32" customFormat="1" x14ac:dyDescent="0.3">
      <c r="B31" s="785"/>
      <c r="C31" s="785"/>
      <c r="D31" s="785"/>
      <c r="E31" s="31"/>
      <c r="F31" s="33"/>
      <c r="G31" s="33"/>
      <c r="H31" s="33"/>
      <c r="I31" s="33"/>
      <c r="J31" s="33"/>
      <c r="K31" s="33"/>
      <c r="L31" s="33"/>
      <c r="M31" s="33"/>
      <c r="N31" s="33"/>
      <c r="O31" s="33"/>
      <c r="P31" s="33"/>
      <c r="Q31" s="33"/>
    </row>
    <row r="32" spans="2:17" s="32" customFormat="1" x14ac:dyDescent="0.3">
      <c r="B32" s="784"/>
      <c r="C32" s="784"/>
      <c r="D32" s="784"/>
      <c r="E32" s="33"/>
      <c r="F32" s="33"/>
      <c r="G32" s="33"/>
      <c r="H32" s="33"/>
      <c r="I32" s="33"/>
      <c r="J32" s="33"/>
      <c r="K32" s="33"/>
      <c r="L32" s="33"/>
      <c r="M32" s="33"/>
      <c r="N32" s="33"/>
      <c r="O32" s="33"/>
      <c r="P32" s="33"/>
      <c r="Q32" s="33"/>
    </row>
    <row r="33" spans="2:17" s="32" customFormat="1" x14ac:dyDescent="0.3">
      <c r="B33" s="785"/>
      <c r="C33" s="785"/>
      <c r="D33" s="785"/>
      <c r="E33" s="31"/>
      <c r="F33" s="33"/>
      <c r="G33" s="33"/>
      <c r="H33" s="33"/>
      <c r="I33" s="33"/>
      <c r="J33" s="33"/>
      <c r="K33" s="33"/>
      <c r="L33" s="33"/>
      <c r="M33" s="33"/>
      <c r="N33" s="33"/>
      <c r="O33" s="33"/>
      <c r="P33" s="33"/>
      <c r="Q33" s="33"/>
    </row>
    <row r="34" spans="2:17" s="32" customFormat="1" x14ac:dyDescent="0.3">
      <c r="B34" s="34"/>
      <c r="C34" s="33"/>
      <c r="D34" s="33"/>
      <c r="E34" s="33"/>
      <c r="F34" s="33"/>
      <c r="G34" s="33"/>
      <c r="H34" s="33"/>
      <c r="I34" s="33"/>
      <c r="J34" s="33"/>
      <c r="K34" s="33"/>
      <c r="L34" s="33"/>
      <c r="M34" s="33"/>
      <c r="N34" s="33"/>
      <c r="O34" s="33"/>
      <c r="P34" s="33"/>
      <c r="Q34" s="33"/>
    </row>
    <row r="35" spans="2:17" s="32" customFormat="1" x14ac:dyDescent="0.3">
      <c r="B35" s="34"/>
      <c r="C35" s="33"/>
      <c r="D35" s="33"/>
      <c r="E35" s="33"/>
      <c r="F35" s="33"/>
      <c r="G35" s="33"/>
      <c r="H35" s="33"/>
      <c r="I35" s="33"/>
      <c r="J35" s="33"/>
      <c r="K35" s="33"/>
      <c r="L35" s="33"/>
      <c r="M35" s="33"/>
      <c r="N35" s="33"/>
      <c r="O35" s="33"/>
      <c r="P35" s="33"/>
      <c r="Q35" s="33"/>
    </row>
    <row r="36" spans="2:17" s="32" customFormat="1" x14ac:dyDescent="0.3">
      <c r="B36" s="782"/>
      <c r="C36" s="782"/>
    </row>
    <row r="37" spans="2:17" s="32" customFormat="1" x14ac:dyDescent="0.3">
      <c r="B37" s="8"/>
    </row>
  </sheetData>
  <customSheetViews>
    <customSheetView guid="{F18E25A1-ACAC-4BA2-9084-15C64EADD71F}" fitToPage="1" topLeftCell="A16">
      <selection activeCell="C21" sqref="C21"/>
      <pageMargins left="0.61" right="0.4" top="0.49" bottom="0.55000000000000004" header="0.51181102362204722" footer="0.51181102362204722"/>
      <printOptions verticalCentered="1"/>
      <pageSetup paperSize="9" scale="85" fitToHeight="2" orientation="portrait" horizontalDpi="300" verticalDpi="300" r:id="rId1"/>
      <headerFooter alignWithMargins="0"/>
    </customSheetView>
    <customSheetView guid="{42441662-3193-455A-AAAC-E0697E2ED236}" showPageBreaks="1" fitToPage="1" topLeftCell="A16">
      <selection activeCell="C21" sqref="C21"/>
      <pageMargins left="0.61" right="0.4" top="0.49" bottom="0.55000000000000004" header="0.51181102362204722" footer="0.51181102362204722"/>
      <printOptions verticalCentered="1"/>
      <pageSetup paperSize="9" scale="85" fitToHeight="2" orientation="portrait" horizontalDpi="300" verticalDpi="300" r:id="rId2"/>
      <headerFooter alignWithMargins="0"/>
    </customSheetView>
    <customSheetView guid="{AB1DC9E9-A3E4-4BE0-8A49-B02D340E9D12}" fitToPage="1">
      <selection activeCell="G1" sqref="G1"/>
      <pageMargins left="0.61" right="0.4" top="0.49" bottom="0.55000000000000004" header="0.51181102362204722" footer="0.51181102362204722"/>
      <printOptions verticalCentered="1"/>
      <pageSetup paperSize="9" scale="85" fitToHeight="2" orientation="portrait" horizontalDpi="300" verticalDpi="300" r:id="rId3"/>
      <headerFooter alignWithMargins="0"/>
    </customSheetView>
    <customSheetView guid="{BC7A4191-54CC-4009-AB21-42ED557A5091}" showPageBreaks="1" fitToPage="1" showRuler="0">
      <pageMargins left="0.61" right="0.4" top="0.49" bottom="0.55000000000000004" header="0.51181102362204722" footer="0.51181102362204722"/>
      <printOptions verticalCentered="1"/>
      <pageSetup paperSize="9" scale="85" fitToHeight="2" orientation="portrait" horizontalDpi="300" verticalDpi="300" r:id="rId4"/>
      <headerFooter alignWithMargins="0"/>
    </customSheetView>
  </customSheetViews>
  <mergeCells count="9">
    <mergeCell ref="B2:D2"/>
    <mergeCell ref="B36:C36"/>
    <mergeCell ref="B4:D4"/>
    <mergeCell ref="B28:D28"/>
    <mergeCell ref="B29:D29"/>
    <mergeCell ref="B31:D31"/>
    <mergeCell ref="B30:D30"/>
    <mergeCell ref="B33:D33"/>
    <mergeCell ref="B32:D32"/>
  </mergeCells>
  <phoneticPr fontId="3" type="noConversion"/>
  <printOptions horizontalCentered="1"/>
  <pageMargins left="0.2" right="0.2" top="0.26" bottom="0.2" header="0.17" footer="0.17"/>
  <pageSetup paperSize="9" scale="87" fitToHeight="2" orientation="portrait" horizontalDpi="300" verticalDpi="300" r:id="rId5"/>
  <headerFooter alignWithMargins="0"/>
  <ignoredErrors>
    <ignoredError sqref="D17"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1" tint="4.9989318521683403E-2"/>
  </sheetPr>
  <dimension ref="B1:G58"/>
  <sheetViews>
    <sheetView showGridLines="0" tabSelected="1" zoomScale="90" zoomScaleNormal="90" workbookViewId="0">
      <pane ySplit="6" topLeftCell="A7" activePane="bottomLeft" state="frozen"/>
      <selection pane="bottomLeft" activeCell="D46" sqref="D46"/>
    </sheetView>
  </sheetViews>
  <sheetFormatPr defaultColWidth="9.140625" defaultRowHeight="15" x14ac:dyDescent="0.3"/>
  <cols>
    <col min="1" max="1" width="2" style="11" customWidth="1"/>
    <col min="2" max="2" width="11" style="11" customWidth="1"/>
    <col min="3" max="3" width="5.140625" style="11" customWidth="1"/>
    <col min="4" max="4" width="73.7109375" style="11" customWidth="1"/>
    <col min="5" max="6" width="16.140625" style="11" customWidth="1"/>
    <col min="7" max="7" width="12.85546875" style="11" customWidth="1"/>
    <col min="8" max="16384" width="9.140625" style="11"/>
  </cols>
  <sheetData>
    <row r="1" spans="2:6" x14ac:dyDescent="0.3">
      <c r="B1" s="789" t="s">
        <v>315</v>
      </c>
      <c r="C1" s="789"/>
      <c r="D1" s="230"/>
      <c r="E1" s="791" t="s">
        <v>1210</v>
      </c>
      <c r="F1" s="791"/>
    </row>
    <row r="2" spans="2:6" x14ac:dyDescent="0.3">
      <c r="B2" s="788" t="s">
        <v>1209</v>
      </c>
      <c r="C2" s="788"/>
      <c r="D2" s="788"/>
      <c r="E2" s="788"/>
      <c r="F2" s="788"/>
    </row>
    <row r="3" spans="2:6" x14ac:dyDescent="0.3">
      <c r="B3" s="357"/>
      <c r="C3" s="357"/>
    </row>
    <row r="4" spans="2:6" ht="18" customHeight="1" x14ac:dyDescent="0.35">
      <c r="B4" s="231"/>
      <c r="C4" s="786" t="s">
        <v>4628</v>
      </c>
      <c r="D4" s="787"/>
      <c r="E4" s="787"/>
      <c r="F4" s="787"/>
    </row>
    <row r="5" spans="2:6" ht="15.75" thickBot="1" x14ac:dyDescent="0.35">
      <c r="E5" s="791" t="s">
        <v>323</v>
      </c>
      <c r="F5" s="791"/>
    </row>
    <row r="6" spans="2:6" s="232" customFormat="1" ht="45.75" thickBot="1" x14ac:dyDescent="0.25">
      <c r="B6" s="400" t="s">
        <v>4627</v>
      </c>
      <c r="C6" s="401" t="s">
        <v>1211</v>
      </c>
      <c r="D6" s="402"/>
      <c r="E6" s="403" t="s">
        <v>322</v>
      </c>
      <c r="F6" s="404" t="s">
        <v>333</v>
      </c>
    </row>
    <row r="7" spans="2:6" s="232" customFormat="1" ht="6" customHeight="1" x14ac:dyDescent="0.2">
      <c r="C7" s="233"/>
      <c r="D7" s="54"/>
      <c r="E7" s="234"/>
      <c r="F7" s="234"/>
    </row>
    <row r="8" spans="2:6" s="138" customFormat="1" ht="15.75" thickBot="1" x14ac:dyDescent="0.25">
      <c r="C8" s="790" t="s">
        <v>314</v>
      </c>
      <c r="D8" s="790"/>
      <c r="E8" s="790"/>
      <c r="F8" s="790"/>
    </row>
    <row r="9" spans="2:6" s="143" customFormat="1" ht="15" customHeight="1" x14ac:dyDescent="0.2">
      <c r="B9" s="405" t="s">
        <v>3628</v>
      </c>
      <c r="C9" s="406">
        <v>1</v>
      </c>
      <c r="D9" s="407" t="s">
        <v>334</v>
      </c>
      <c r="E9" s="408">
        <f>'BS-C'!E27</f>
        <v>0</v>
      </c>
      <c r="F9" s="409">
        <f>'BS-C'!F27</f>
        <v>0</v>
      </c>
    </row>
    <row r="10" spans="2:6" s="143" customFormat="1" ht="15" customHeight="1" x14ac:dyDescent="0.2">
      <c r="B10" s="410" t="s">
        <v>3629</v>
      </c>
      <c r="C10" s="397">
        <v>2</v>
      </c>
      <c r="D10" s="235" t="s">
        <v>335</v>
      </c>
      <c r="E10" s="239">
        <f>'BS-D'!E1034</f>
        <v>0</v>
      </c>
      <c r="F10" s="240">
        <f>'BS-D'!F1034</f>
        <v>0</v>
      </c>
    </row>
    <row r="11" spans="2:6" s="143" customFormat="1" ht="15" customHeight="1" x14ac:dyDescent="0.2">
      <c r="B11" s="410" t="s">
        <v>3630</v>
      </c>
      <c r="C11" s="397">
        <v>3</v>
      </c>
      <c r="D11" s="235" t="s">
        <v>317</v>
      </c>
      <c r="E11" s="239">
        <f>'BS-FA '!E93</f>
        <v>0</v>
      </c>
      <c r="F11" s="240">
        <f>'BS-FA '!F93</f>
        <v>0</v>
      </c>
    </row>
    <row r="12" spans="2:6" s="143" customFormat="1" ht="15" customHeight="1" x14ac:dyDescent="0.2">
      <c r="B12" s="410" t="s">
        <v>3631</v>
      </c>
      <c r="C12" s="397">
        <v>4</v>
      </c>
      <c r="D12" s="236" t="s">
        <v>318</v>
      </c>
      <c r="E12" s="239">
        <f>'BS-FA '!E436</f>
        <v>0</v>
      </c>
      <c r="F12" s="240">
        <f>'BS-FA '!F436</f>
        <v>0</v>
      </c>
    </row>
    <row r="13" spans="2:6" s="143" customFormat="1" ht="30" x14ac:dyDescent="0.2">
      <c r="B13" s="410" t="s">
        <v>3632</v>
      </c>
      <c r="C13" s="397">
        <v>5</v>
      </c>
      <c r="D13" s="237" t="s">
        <v>3405</v>
      </c>
      <c r="E13" s="239">
        <f>'BS-FA '!E779</f>
        <v>0</v>
      </c>
      <c r="F13" s="240">
        <f>'BS-FA '!F779</f>
        <v>0</v>
      </c>
    </row>
    <row r="14" spans="2:6" s="143" customFormat="1" ht="15" customHeight="1" x14ac:dyDescent="0.2">
      <c r="B14" s="410" t="s">
        <v>3633</v>
      </c>
      <c r="C14" s="397">
        <v>6</v>
      </c>
      <c r="D14" s="236" t="s">
        <v>336</v>
      </c>
      <c r="E14" s="239">
        <f>'BS-IR &amp; RR'!E19</f>
        <v>0</v>
      </c>
      <c r="F14" s="240">
        <f>'BS-IR &amp; RR'!F19</f>
        <v>0</v>
      </c>
    </row>
    <row r="15" spans="2:6" s="143" customFormat="1" ht="15" customHeight="1" x14ac:dyDescent="0.2">
      <c r="B15" s="410" t="s">
        <v>3634</v>
      </c>
      <c r="C15" s="397">
        <v>7</v>
      </c>
      <c r="D15" s="235" t="s">
        <v>337</v>
      </c>
      <c r="E15" s="239">
        <f>'BS-IR &amp; RR'!E35</f>
        <v>0</v>
      </c>
      <c r="F15" s="240">
        <f>'BS-IR &amp; RR'!F35</f>
        <v>0</v>
      </c>
    </row>
    <row r="16" spans="2:6" s="143" customFormat="1" ht="15" customHeight="1" x14ac:dyDescent="0.2">
      <c r="B16" s="410" t="s">
        <v>3635</v>
      </c>
      <c r="C16" s="397">
        <v>8</v>
      </c>
      <c r="D16" s="236" t="s">
        <v>4697</v>
      </c>
      <c r="E16" s="239"/>
      <c r="F16" s="240"/>
    </row>
    <row r="17" spans="2:7" s="143" customFormat="1" ht="15" customHeight="1" x14ac:dyDescent="0.2">
      <c r="B17" s="410" t="s">
        <v>3636</v>
      </c>
      <c r="C17" s="397">
        <v>9</v>
      </c>
      <c r="D17" s="235" t="s">
        <v>4805</v>
      </c>
      <c r="E17" s="239">
        <f>'BS-L'!K722</f>
        <v>0</v>
      </c>
      <c r="F17" s="240">
        <f>'BS-L'!R722</f>
        <v>0</v>
      </c>
    </row>
    <row r="18" spans="2:7" s="143" customFormat="1" ht="15" customHeight="1" x14ac:dyDescent="0.2">
      <c r="B18" s="410" t="s">
        <v>3637</v>
      </c>
      <c r="C18" s="397">
        <v>10</v>
      </c>
      <c r="D18" s="235" t="s">
        <v>325</v>
      </c>
      <c r="E18" s="239">
        <f>'BS-I'!E476</f>
        <v>0</v>
      </c>
      <c r="F18" s="240">
        <f>'BS-I'!F476</f>
        <v>0</v>
      </c>
    </row>
    <row r="19" spans="2:7" s="143" customFormat="1" ht="15" customHeight="1" x14ac:dyDescent="0.2">
      <c r="B19" s="410" t="s">
        <v>3638</v>
      </c>
      <c r="C19" s="397">
        <v>11</v>
      </c>
      <c r="D19" s="235" t="s">
        <v>326</v>
      </c>
      <c r="E19" s="239">
        <f>'BS-I'!E946</f>
        <v>0</v>
      </c>
      <c r="F19" s="240">
        <f>'BS-I'!F946</f>
        <v>0</v>
      </c>
    </row>
    <row r="20" spans="2:7" s="143" customFormat="1" ht="15" customHeight="1" x14ac:dyDescent="0.2">
      <c r="B20" s="410" t="s">
        <v>3639</v>
      </c>
      <c r="C20" s="397">
        <v>12</v>
      </c>
      <c r="D20" s="235" t="s">
        <v>330</v>
      </c>
      <c r="E20" s="239">
        <f>'BS-R'!E18+'BS-R'!E38</f>
        <v>0</v>
      </c>
      <c r="F20" s="240">
        <f>'BS-R'!F18+'BS-R'!F38</f>
        <v>0</v>
      </c>
    </row>
    <row r="21" spans="2:7" s="143" customFormat="1" ht="15" customHeight="1" x14ac:dyDescent="0.2">
      <c r="B21" s="410" t="s">
        <v>3640</v>
      </c>
      <c r="C21" s="397">
        <v>13</v>
      </c>
      <c r="D21" s="235" t="s">
        <v>346</v>
      </c>
      <c r="E21" s="239">
        <f>'BS-DC'!E13+'BS-DC'!E24</f>
        <v>0</v>
      </c>
      <c r="F21" s="240">
        <f>'BS-DC'!F13+'BS-DC'!F24</f>
        <v>0</v>
      </c>
    </row>
    <row r="22" spans="2:7" s="143" customFormat="1" ht="15" customHeight="1" x14ac:dyDescent="0.2">
      <c r="B22" s="410" t="s">
        <v>3641</v>
      </c>
      <c r="C22" s="397">
        <v>14</v>
      </c>
      <c r="D22" s="235" t="s">
        <v>331</v>
      </c>
      <c r="E22" s="239">
        <f>'BS-PPE'!L18</f>
        <v>0</v>
      </c>
      <c r="F22" s="240"/>
    </row>
    <row r="23" spans="2:7" s="143" customFormat="1" ht="15" customHeight="1" x14ac:dyDescent="0.2">
      <c r="B23" s="410" t="s">
        <v>3642</v>
      </c>
      <c r="C23" s="397">
        <v>15</v>
      </c>
      <c r="D23" s="235" t="s">
        <v>327</v>
      </c>
      <c r="E23" s="239">
        <f>'BS-IP &amp; OA'!E73</f>
        <v>0</v>
      </c>
      <c r="F23" s="240">
        <f>'BS-IP &amp; OA'!F73</f>
        <v>0</v>
      </c>
    </row>
    <row r="24" spans="2:7" s="143" customFormat="1" ht="15" customHeight="1" x14ac:dyDescent="0.2">
      <c r="B24" s="410" t="s">
        <v>3643</v>
      </c>
      <c r="C24" s="397">
        <v>16</v>
      </c>
      <c r="D24" s="235" t="s">
        <v>339</v>
      </c>
      <c r="E24" s="239">
        <f>'BS-IA'!I19</f>
        <v>0</v>
      </c>
      <c r="F24" s="240"/>
    </row>
    <row r="25" spans="2:7" s="143" customFormat="1" ht="15" customHeight="1" x14ac:dyDescent="0.2">
      <c r="B25" s="410" t="s">
        <v>3644</v>
      </c>
      <c r="C25" s="397">
        <v>17</v>
      </c>
      <c r="D25" s="235" t="s">
        <v>340</v>
      </c>
      <c r="E25" s="239"/>
      <c r="F25" s="240"/>
    </row>
    <row r="26" spans="2:7" s="143" customFormat="1" ht="15" customHeight="1" x14ac:dyDescent="0.2">
      <c r="B26" s="410" t="s">
        <v>3645</v>
      </c>
      <c r="C26" s="397">
        <v>18</v>
      </c>
      <c r="D26" s="150" t="s">
        <v>341</v>
      </c>
      <c r="E26" s="239">
        <f>'BS-IP &amp; OA'!E92</f>
        <v>0</v>
      </c>
      <c r="F26" s="240">
        <f>'BS-IP &amp; OA'!F92</f>
        <v>0</v>
      </c>
    </row>
    <row r="27" spans="2:7" s="295" customFormat="1" ht="15" customHeight="1" thickBot="1" x14ac:dyDescent="0.3">
      <c r="B27" s="411" t="s">
        <v>3646</v>
      </c>
      <c r="C27" s="398">
        <v>19</v>
      </c>
      <c r="D27" s="292" t="s">
        <v>3317</v>
      </c>
      <c r="E27" s="293">
        <f>SUM(E9:E26)</f>
        <v>0</v>
      </c>
      <c r="F27" s="294">
        <f>SUM(F9:F26)</f>
        <v>0</v>
      </c>
    </row>
    <row r="28" spans="2:7" s="138" customFormat="1" ht="6" customHeight="1" x14ac:dyDescent="0.2">
      <c r="B28" s="394"/>
      <c r="C28" s="238"/>
      <c r="D28" s="137"/>
      <c r="E28" s="136"/>
      <c r="F28" s="136"/>
      <c r="G28" s="143"/>
    </row>
    <row r="29" spans="2:7" s="138" customFormat="1" ht="15.75" thickBot="1" x14ac:dyDescent="0.25">
      <c r="B29" s="394"/>
      <c r="C29" s="790" t="s">
        <v>310</v>
      </c>
      <c r="D29" s="790"/>
      <c r="E29" s="790"/>
      <c r="F29" s="790"/>
    </row>
    <row r="30" spans="2:7" s="143" customFormat="1" ht="15" customHeight="1" x14ac:dyDescent="0.2">
      <c r="B30" s="405" t="s">
        <v>3647</v>
      </c>
      <c r="C30" s="406">
        <v>20</v>
      </c>
      <c r="D30" s="412" t="s">
        <v>316</v>
      </c>
      <c r="E30" s="408">
        <f>'BS-R'!E13+'BS-R'!E32</f>
        <v>0</v>
      </c>
      <c r="F30" s="409">
        <f>'BS-R'!F13+'BS-R'!F32</f>
        <v>0</v>
      </c>
    </row>
    <row r="31" spans="2:7" s="143" customFormat="1" ht="15" customHeight="1" x14ac:dyDescent="0.2">
      <c r="B31" s="410" t="s">
        <v>3648</v>
      </c>
      <c r="C31" s="397">
        <v>21</v>
      </c>
      <c r="D31" s="94" t="s">
        <v>342</v>
      </c>
      <c r="E31" s="239">
        <f>'BS-OIL &amp; OL'!E15</f>
        <v>0</v>
      </c>
      <c r="F31" s="240">
        <f>'BS-OIL &amp; OL'!F15</f>
        <v>0</v>
      </c>
    </row>
    <row r="32" spans="2:7" s="143" customFormat="1" ht="15" customHeight="1" x14ac:dyDescent="0.2">
      <c r="B32" s="410" t="s">
        <v>3649</v>
      </c>
      <c r="C32" s="397">
        <v>22</v>
      </c>
      <c r="D32" s="236" t="s">
        <v>324</v>
      </c>
      <c r="E32" s="239"/>
      <c r="F32" s="240"/>
    </row>
    <row r="33" spans="2:6" s="143" customFormat="1" ht="15" customHeight="1" x14ac:dyDescent="0.2">
      <c r="B33" s="410" t="s">
        <v>3650</v>
      </c>
      <c r="C33" s="397">
        <v>23</v>
      </c>
      <c r="D33" s="94" t="s">
        <v>313</v>
      </c>
      <c r="E33" s="239">
        <f>'BS-FL'!I286</f>
        <v>0</v>
      </c>
      <c r="F33" s="240">
        <f>'BS-FL'!N286</f>
        <v>0</v>
      </c>
    </row>
    <row r="34" spans="2:6" s="143" customFormat="1" ht="15" customHeight="1" x14ac:dyDescent="0.2">
      <c r="B34" s="410" t="s">
        <v>3651</v>
      </c>
      <c r="C34" s="397">
        <v>24</v>
      </c>
      <c r="D34" s="94" t="s">
        <v>311</v>
      </c>
      <c r="E34" s="239">
        <f>'BS-PL'!E22+'BS-PL'!E27</f>
        <v>0</v>
      </c>
      <c r="F34" s="240">
        <f>'BS-PL'!F22+'BS-PL'!F27</f>
        <v>0</v>
      </c>
    </row>
    <row r="35" spans="2:6" s="143" customFormat="1" ht="15" customHeight="1" x14ac:dyDescent="0.2">
      <c r="B35" s="410" t="s">
        <v>3652</v>
      </c>
      <c r="C35" s="397">
        <v>25</v>
      </c>
      <c r="D35" s="94" t="s">
        <v>319</v>
      </c>
      <c r="E35" s="239">
        <f>'BS-LA'!E328</f>
        <v>0</v>
      </c>
      <c r="F35" s="240">
        <f>'BS-LA'!F328</f>
        <v>0</v>
      </c>
    </row>
    <row r="36" spans="2:6" s="143" customFormat="1" ht="15" customHeight="1" x14ac:dyDescent="0.2">
      <c r="B36" s="410" t="s">
        <v>3653</v>
      </c>
      <c r="C36" s="397">
        <v>26</v>
      </c>
      <c r="D36" s="94" t="s">
        <v>320</v>
      </c>
      <c r="E36" s="239">
        <f>'BS-LA'!E650</f>
        <v>0</v>
      </c>
      <c r="F36" s="240">
        <f>'BS-LA'!F650</f>
        <v>0</v>
      </c>
    </row>
    <row r="37" spans="2:6" s="143" customFormat="1" ht="15" customHeight="1" x14ac:dyDescent="0.2">
      <c r="B37" s="410" t="s">
        <v>3654</v>
      </c>
      <c r="C37" s="397">
        <v>27</v>
      </c>
      <c r="D37" s="94" t="s">
        <v>321</v>
      </c>
      <c r="E37" s="239">
        <f>'BS-DC'!E17+'BS-DC'!E28</f>
        <v>0</v>
      </c>
      <c r="F37" s="240">
        <f>'BS-DC'!F17+'BS-DC'!F28</f>
        <v>0</v>
      </c>
    </row>
    <row r="38" spans="2:6" s="143" customFormat="1" ht="15" customHeight="1" x14ac:dyDescent="0.2">
      <c r="B38" s="410" t="s">
        <v>3655</v>
      </c>
      <c r="C38" s="397">
        <v>28</v>
      </c>
      <c r="D38" s="94" t="s">
        <v>343</v>
      </c>
      <c r="E38" s="239"/>
      <c r="F38" s="240"/>
    </row>
    <row r="39" spans="2:6" s="143" customFormat="1" ht="15" customHeight="1" x14ac:dyDescent="0.2">
      <c r="B39" s="410" t="s">
        <v>3656</v>
      </c>
      <c r="C39" s="397">
        <v>29</v>
      </c>
      <c r="D39" s="94" t="s">
        <v>344</v>
      </c>
      <c r="E39" s="239">
        <f>'BS-OIL &amp; OL'!E30</f>
        <v>0</v>
      </c>
      <c r="F39" s="240">
        <f>'BS-OIL &amp; OL'!F30</f>
        <v>0</v>
      </c>
    </row>
    <row r="40" spans="2:6" s="295" customFormat="1" ht="15" customHeight="1" thickBot="1" x14ac:dyDescent="0.25">
      <c r="B40" s="411" t="s">
        <v>3657</v>
      </c>
      <c r="C40" s="398">
        <v>30</v>
      </c>
      <c r="D40" s="296" t="s">
        <v>2829</v>
      </c>
      <c r="E40" s="293">
        <f>SUM(E30:E39)</f>
        <v>0</v>
      </c>
      <c r="F40" s="294">
        <f>SUM(F30:F39)</f>
        <v>0</v>
      </c>
    </row>
    <row r="41" spans="2:6" s="30" customFormat="1" ht="6" customHeight="1" x14ac:dyDescent="0.2">
      <c r="B41" s="393"/>
      <c r="C41" s="9"/>
      <c r="D41" s="137"/>
      <c r="E41" s="136"/>
      <c r="F41" s="136"/>
    </row>
    <row r="42" spans="2:6" s="138" customFormat="1" ht="15.75" thickBot="1" x14ac:dyDescent="0.25">
      <c r="B42" s="392"/>
      <c r="C42" s="790" t="s">
        <v>308</v>
      </c>
      <c r="D42" s="790"/>
      <c r="E42" s="790"/>
      <c r="F42" s="790"/>
    </row>
    <row r="43" spans="2:6" s="143" customFormat="1" ht="15" customHeight="1" x14ac:dyDescent="0.2">
      <c r="B43" s="405" t="s">
        <v>3658</v>
      </c>
      <c r="C43" s="406">
        <v>31</v>
      </c>
      <c r="D43" s="412" t="s">
        <v>328</v>
      </c>
      <c r="E43" s="408"/>
      <c r="F43" s="409"/>
    </row>
    <row r="44" spans="2:6" s="143" customFormat="1" ht="15" customHeight="1" x14ac:dyDescent="0.2">
      <c r="B44" s="410" t="s">
        <v>3659</v>
      </c>
      <c r="C44" s="397">
        <v>32</v>
      </c>
      <c r="D44" s="94" t="s">
        <v>309</v>
      </c>
      <c r="E44" s="239"/>
      <c r="F44" s="240"/>
    </row>
    <row r="45" spans="2:6" s="143" customFormat="1" ht="15" customHeight="1" x14ac:dyDescent="0.2">
      <c r="B45" s="410" t="s">
        <v>3660</v>
      </c>
      <c r="C45" s="397">
        <v>33</v>
      </c>
      <c r="D45" s="94" t="s">
        <v>329</v>
      </c>
      <c r="E45" s="239"/>
      <c r="F45" s="240"/>
    </row>
    <row r="46" spans="2:6" s="143" customFormat="1" ht="15" customHeight="1" x14ac:dyDescent="0.2">
      <c r="B46" s="410" t="s">
        <v>3661</v>
      </c>
      <c r="C46" s="397">
        <v>34</v>
      </c>
      <c r="D46" s="94" t="s">
        <v>312</v>
      </c>
      <c r="E46" s="239"/>
      <c r="F46" s="240"/>
    </row>
    <row r="47" spans="2:6" s="143" customFormat="1" ht="15" customHeight="1" x14ac:dyDescent="0.2">
      <c r="B47" s="410" t="s">
        <v>3662</v>
      </c>
      <c r="C47" s="397">
        <v>35</v>
      </c>
      <c r="D47" s="94" t="s">
        <v>332</v>
      </c>
      <c r="E47" s="239"/>
      <c r="F47" s="240"/>
    </row>
    <row r="48" spans="2:6" s="143" customFormat="1" ht="15" customHeight="1" x14ac:dyDescent="0.2">
      <c r="B48" s="410" t="s">
        <v>3663</v>
      </c>
      <c r="C48" s="397">
        <v>36</v>
      </c>
      <c r="D48" s="94" t="s">
        <v>345</v>
      </c>
      <c r="E48" s="239"/>
      <c r="F48" s="240"/>
    </row>
    <row r="49" spans="2:6" s="295" customFormat="1" ht="15" customHeight="1" x14ac:dyDescent="0.2">
      <c r="B49" s="410" t="s">
        <v>3664</v>
      </c>
      <c r="C49" s="413">
        <v>37</v>
      </c>
      <c r="D49" s="297" t="s">
        <v>2830</v>
      </c>
      <c r="E49" s="298">
        <f>SUM(E43+E44-E45+E46+E47+E48)</f>
        <v>0</v>
      </c>
      <c r="F49" s="299">
        <f>SUM(F43+F44-F45+F46+F47+F48)</f>
        <v>0</v>
      </c>
    </row>
    <row r="50" spans="2:6" s="295" customFormat="1" ht="15" customHeight="1" thickBot="1" x14ac:dyDescent="0.25">
      <c r="B50" s="411" t="s">
        <v>3665</v>
      </c>
      <c r="C50" s="414">
        <v>38</v>
      </c>
      <c r="D50" s="300" t="s">
        <v>2831</v>
      </c>
      <c r="E50" s="301">
        <f>E40+E49</f>
        <v>0</v>
      </c>
      <c r="F50" s="302">
        <f>F40+F49</f>
        <v>0</v>
      </c>
    </row>
    <row r="51" spans="2:6" s="4" customFormat="1" x14ac:dyDescent="0.3"/>
    <row r="52" spans="2:6" s="4" customFormat="1" x14ac:dyDescent="0.3"/>
    <row r="53" spans="2:6" x14ac:dyDescent="0.3">
      <c r="C53" s="782"/>
      <c r="D53" s="782"/>
      <c r="E53" s="782"/>
      <c r="F53" s="782"/>
    </row>
    <row r="54" spans="2:6" x14ac:dyDescent="0.3">
      <c r="C54" s="785"/>
      <c r="D54" s="785"/>
      <c r="E54" s="785"/>
      <c r="F54" s="785"/>
    </row>
    <row r="55" spans="2:6" x14ac:dyDescent="0.3">
      <c r="C55" s="782"/>
      <c r="D55" s="782"/>
      <c r="E55" s="782"/>
      <c r="F55" s="782"/>
    </row>
    <row r="56" spans="2:6" x14ac:dyDescent="0.3">
      <c r="C56" s="785"/>
      <c r="D56" s="785"/>
      <c r="E56" s="785"/>
      <c r="F56" s="785"/>
    </row>
    <row r="57" spans="2:6" ht="15" customHeight="1" x14ac:dyDescent="0.3">
      <c r="C57" s="782"/>
      <c r="D57" s="782"/>
      <c r="E57" s="782"/>
      <c r="F57" s="782"/>
    </row>
    <row r="58" spans="2:6" x14ac:dyDescent="0.3">
      <c r="C58" s="785"/>
      <c r="D58" s="785"/>
      <c r="E58" s="785"/>
      <c r="F58" s="785"/>
    </row>
  </sheetData>
  <customSheetViews>
    <customSheetView guid="{F18E25A1-ACAC-4BA2-9084-15C64EADD71F}" fitToPage="1" topLeftCell="A7">
      <selection activeCell="B15" sqref="B15"/>
      <pageMargins left="0.5" right="0.39" top="0.5" bottom="0.5" header="0.25" footer="0.25"/>
      <pageSetup scale="90" fitToWidth="2" orientation="portrait" r:id="rId1"/>
      <headerFooter alignWithMargins="0"/>
    </customSheetView>
    <customSheetView guid="{42441662-3193-455A-AAAC-E0697E2ED236}" showPageBreaks="1" fitToPage="1">
      <selection activeCell="A29" sqref="A29:IV29"/>
      <pageMargins left="0.5" right="0.39" top="0.5" bottom="0.5" header="0.25" footer="0.25"/>
      <pageSetup scale="90" fitToWidth="2" orientation="portrait" r:id="rId2"/>
      <headerFooter alignWithMargins="0"/>
    </customSheetView>
    <customSheetView guid="{AB1DC9E9-A3E4-4BE0-8A49-B02D340E9D12}" fitToPage="1" topLeftCell="A28">
      <selection activeCell="B5" sqref="B5"/>
      <pageMargins left="0.5" right="0.39" top="0.5" bottom="0.5" header="0.25" footer="0.25"/>
      <pageSetup scale="89" fitToWidth="2" orientation="portrait" r:id="rId3"/>
      <headerFooter alignWithMargins="0"/>
    </customSheetView>
    <customSheetView guid="{BC7A4191-54CC-4009-AB21-42ED557A5091}" showPageBreaks="1" fitToPage="1" showRuler="0" topLeftCell="A28">
      <selection activeCell="A48" sqref="A48"/>
      <pageMargins left="0.5" right="0.39" top="0.5" bottom="0.5" header="0.25" footer="0.25"/>
      <pageSetup scale="89" fitToWidth="2" orientation="portrait" r:id="rId4"/>
      <headerFooter alignWithMargins="0"/>
    </customSheetView>
  </customSheetViews>
  <mergeCells count="14">
    <mergeCell ref="C58:F58"/>
    <mergeCell ref="C4:F4"/>
    <mergeCell ref="B2:F2"/>
    <mergeCell ref="B1:C1"/>
    <mergeCell ref="C29:F29"/>
    <mergeCell ref="C42:F42"/>
    <mergeCell ref="E5:F5"/>
    <mergeCell ref="E1:F1"/>
    <mergeCell ref="C8:F8"/>
    <mergeCell ref="C53:F53"/>
    <mergeCell ref="C54:F54"/>
    <mergeCell ref="C55:F55"/>
    <mergeCell ref="C56:F56"/>
    <mergeCell ref="C57:F57"/>
  </mergeCells>
  <phoneticPr fontId="3" type="noConversion"/>
  <printOptions horizontalCentered="1"/>
  <pageMargins left="0.2" right="0.2" top="0.26" bottom="0.2" header="0.17" footer="0.16"/>
  <pageSetup scale="80" fitToWidth="2" orientation="portrait" r:id="rId5"/>
  <headerFooter alignWithMargins="0"/>
  <ignoredErrors>
    <ignoredError sqref="E23:F23 E25:F27 E24" evalError="1"/>
    <ignoredError sqref="B9:B5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sheetPr>
  <dimension ref="B1:H1234"/>
  <sheetViews>
    <sheetView showGridLines="0" zoomScale="90" zoomScaleNormal="90" workbookViewId="0">
      <pane ySplit="6" topLeftCell="A263" activePane="bottomLeft" state="frozen"/>
      <selection activeCell="C120" sqref="C120"/>
      <selection pane="bottomLeft" activeCell="I281" sqref="I281"/>
    </sheetView>
  </sheetViews>
  <sheetFormatPr defaultColWidth="9.140625" defaultRowHeight="15" outlineLevelRow="2" x14ac:dyDescent="0.3"/>
  <cols>
    <col min="1" max="1" width="2" style="4" customWidth="1"/>
    <col min="2" max="2" width="11.140625" style="48" customWidth="1"/>
    <col min="3" max="3" width="8.28515625" style="4" customWidth="1"/>
    <col min="4" max="4" width="75.28515625" style="4" customWidth="1"/>
    <col min="5" max="6" width="16.140625" style="4" customWidth="1"/>
    <col min="7" max="16384" width="9.140625" style="4"/>
  </cols>
  <sheetData>
    <row r="1" spans="2:8" s="360" customFormat="1" x14ac:dyDescent="0.3">
      <c r="B1" s="789" t="s">
        <v>315</v>
      </c>
      <c r="C1" s="789"/>
      <c r="D1" s="358"/>
      <c r="E1" s="792" t="s">
        <v>1212</v>
      </c>
      <c r="F1" s="792"/>
      <c r="G1" s="359"/>
      <c r="H1" s="359"/>
    </row>
    <row r="2" spans="2:8" s="361" customFormat="1" x14ac:dyDescent="0.3">
      <c r="B2" s="799" t="s">
        <v>1209</v>
      </c>
      <c r="C2" s="799"/>
      <c r="D2" s="799"/>
      <c r="E2" s="799"/>
      <c r="F2" s="799"/>
    </row>
    <row r="3" spans="2:8" s="5" customFormat="1" x14ac:dyDescent="0.3">
      <c r="B3" s="27"/>
      <c r="C3" s="42"/>
      <c r="D3" s="42"/>
    </row>
    <row r="4" spans="2:8" s="51" customFormat="1" ht="15" customHeight="1" x14ac:dyDescent="0.2">
      <c r="B4" s="77"/>
      <c r="D4" s="795" t="s">
        <v>710</v>
      </c>
      <c r="E4" s="795"/>
      <c r="F4" s="795"/>
    </row>
    <row r="5" spans="2:8" s="50" customFormat="1" ht="14.25" customHeight="1" thickBot="1" x14ac:dyDescent="0.35">
      <c r="B5" s="48"/>
      <c r="E5" s="55"/>
      <c r="F5" s="41" t="s">
        <v>323</v>
      </c>
    </row>
    <row r="6" spans="2:8" s="54" customFormat="1" ht="45" customHeight="1" thickBot="1" x14ac:dyDescent="0.25">
      <c r="B6" s="400" t="s">
        <v>4627</v>
      </c>
      <c r="C6" s="422" t="s">
        <v>1211</v>
      </c>
      <c r="D6" s="415"/>
      <c r="E6" s="416" t="s">
        <v>322</v>
      </c>
      <c r="F6" s="417" t="s">
        <v>333</v>
      </c>
    </row>
    <row r="7" spans="2:8" s="54" customFormat="1" ht="9" customHeight="1" x14ac:dyDescent="0.2">
      <c r="B7" s="396"/>
      <c r="C7" s="56"/>
      <c r="D7" s="57"/>
      <c r="E7" s="58"/>
      <c r="F7" s="58"/>
    </row>
    <row r="8" spans="2:8" ht="15" customHeight="1" thickBot="1" x14ac:dyDescent="0.35">
      <c r="B8" s="391"/>
      <c r="C8" s="798" t="s">
        <v>292</v>
      </c>
      <c r="D8" s="798"/>
      <c r="E8" s="53"/>
      <c r="F8" s="53"/>
    </row>
    <row r="9" spans="2:8" s="48" customFormat="1" ht="15" customHeight="1" x14ac:dyDescent="0.3">
      <c r="B9" s="418" t="s">
        <v>3628</v>
      </c>
      <c r="C9" s="423">
        <v>1</v>
      </c>
      <c r="D9" s="419" t="s">
        <v>284</v>
      </c>
      <c r="E9" s="420">
        <f>E31+E330+E629+E928</f>
        <v>0</v>
      </c>
      <c r="F9" s="421">
        <f>F31+F330+F629+F928</f>
        <v>0</v>
      </c>
    </row>
    <row r="10" spans="2:8" s="48" customFormat="1" ht="15" customHeight="1" x14ac:dyDescent="0.3">
      <c r="B10" s="60" t="s">
        <v>3629</v>
      </c>
      <c r="C10" s="424">
        <v>2</v>
      </c>
      <c r="D10" s="49" t="s">
        <v>285</v>
      </c>
      <c r="E10" s="198">
        <f>E11+E12+E13+E14</f>
        <v>0</v>
      </c>
      <c r="F10" s="199">
        <f>F11+F12+F13+F14</f>
        <v>0</v>
      </c>
    </row>
    <row r="11" spans="2:8" ht="15" customHeight="1" outlineLevel="1" x14ac:dyDescent="0.3">
      <c r="B11" s="60" t="s">
        <v>3630</v>
      </c>
      <c r="C11" s="425">
        <v>2.1</v>
      </c>
      <c r="D11" s="59" t="s">
        <v>286</v>
      </c>
      <c r="E11" s="85">
        <f>E33+E332+E631+E930</f>
        <v>0</v>
      </c>
      <c r="F11" s="86">
        <f>F33+F332+F631+F930</f>
        <v>0</v>
      </c>
    </row>
    <row r="12" spans="2:8" ht="15" customHeight="1" outlineLevel="1" x14ac:dyDescent="0.3">
      <c r="B12" s="60" t="s">
        <v>3631</v>
      </c>
      <c r="C12" s="425">
        <v>2.2000000000000002</v>
      </c>
      <c r="D12" s="59" t="s">
        <v>4654</v>
      </c>
      <c r="E12" s="85">
        <f>E54+E353+E652+E951</f>
        <v>0</v>
      </c>
      <c r="F12" s="86">
        <f>F54+F353+F652+F951</f>
        <v>0</v>
      </c>
    </row>
    <row r="13" spans="2:8" ht="15" customHeight="1" outlineLevel="1" x14ac:dyDescent="0.3">
      <c r="B13" s="60" t="s">
        <v>3632</v>
      </c>
      <c r="C13" s="425">
        <v>2.2999999999999998</v>
      </c>
      <c r="D13" s="59" t="s">
        <v>287</v>
      </c>
      <c r="E13" s="85">
        <f>E75+E374+E673+E972</f>
        <v>0</v>
      </c>
      <c r="F13" s="86">
        <f>F75+F374+F673+F972</f>
        <v>0</v>
      </c>
    </row>
    <row r="14" spans="2:8" ht="15" customHeight="1" outlineLevel="1" x14ac:dyDescent="0.3">
      <c r="B14" s="60" t="s">
        <v>3633</v>
      </c>
      <c r="C14" s="425">
        <v>2.4</v>
      </c>
      <c r="D14" s="59" t="s">
        <v>4655</v>
      </c>
      <c r="E14" s="85">
        <f>E96+E395+E694+E993</f>
        <v>0</v>
      </c>
      <c r="F14" s="86">
        <f>F96+F395+F694+F993</f>
        <v>0</v>
      </c>
    </row>
    <row r="15" spans="2:8" s="48" customFormat="1" ht="15" customHeight="1" x14ac:dyDescent="0.3">
      <c r="B15" s="60" t="s">
        <v>3634</v>
      </c>
      <c r="C15" s="424">
        <v>3</v>
      </c>
      <c r="D15" s="49" t="s">
        <v>293</v>
      </c>
      <c r="E15" s="198">
        <f>E16+E17+E18+E19</f>
        <v>0</v>
      </c>
      <c r="F15" s="199">
        <f>F16+F17+F18+F19</f>
        <v>0</v>
      </c>
    </row>
    <row r="16" spans="2:8" ht="15" customHeight="1" outlineLevel="1" x14ac:dyDescent="0.3">
      <c r="B16" s="60" t="s">
        <v>3635</v>
      </c>
      <c r="C16" s="425">
        <v>3.1</v>
      </c>
      <c r="D16" s="59" t="s">
        <v>294</v>
      </c>
      <c r="E16" s="85">
        <f>E118+E417+E716+E1015</f>
        <v>0</v>
      </c>
      <c r="F16" s="86">
        <f>F118+F417+F716+F1015</f>
        <v>0</v>
      </c>
    </row>
    <row r="17" spans="2:6" ht="15" customHeight="1" outlineLevel="1" x14ac:dyDescent="0.3">
      <c r="B17" s="60" t="s">
        <v>3636</v>
      </c>
      <c r="C17" s="425">
        <v>3.2</v>
      </c>
      <c r="D17" s="59" t="s">
        <v>4656</v>
      </c>
      <c r="E17" s="85">
        <f>E139+E438+E737+E1036</f>
        <v>0</v>
      </c>
      <c r="F17" s="86">
        <f>F139+F438+F737+F1036</f>
        <v>0</v>
      </c>
    </row>
    <row r="18" spans="2:6" ht="15" customHeight="1" outlineLevel="1" x14ac:dyDescent="0.3">
      <c r="B18" s="60" t="s">
        <v>3637</v>
      </c>
      <c r="C18" s="425">
        <v>3.3</v>
      </c>
      <c r="D18" s="59" t="s">
        <v>295</v>
      </c>
      <c r="E18" s="85">
        <f>E160+E459+E758+E1057</f>
        <v>0</v>
      </c>
      <c r="F18" s="86">
        <f>F160+F459+F758+F1057</f>
        <v>0</v>
      </c>
    </row>
    <row r="19" spans="2:6" ht="15" customHeight="1" outlineLevel="1" x14ac:dyDescent="0.3">
      <c r="B19" s="60" t="s">
        <v>3638</v>
      </c>
      <c r="C19" s="425">
        <v>3.4</v>
      </c>
      <c r="D19" s="59" t="s">
        <v>4657</v>
      </c>
      <c r="E19" s="85">
        <f>E181+E480+E779+E1078</f>
        <v>0</v>
      </c>
      <c r="F19" s="86">
        <f>F181+F480+F779+F1078</f>
        <v>0</v>
      </c>
    </row>
    <row r="20" spans="2:6" s="48" customFormat="1" ht="15" customHeight="1" x14ac:dyDescent="0.3">
      <c r="B20" s="60" t="s">
        <v>3639</v>
      </c>
      <c r="C20" s="424">
        <v>4</v>
      </c>
      <c r="D20" s="49" t="s">
        <v>283</v>
      </c>
      <c r="E20" s="198">
        <f>E21+E22+E23+E24</f>
        <v>0</v>
      </c>
      <c r="F20" s="199">
        <f>F21+F22+F23+F24</f>
        <v>0</v>
      </c>
    </row>
    <row r="21" spans="2:6" outlineLevel="1" x14ac:dyDescent="0.3">
      <c r="B21" s="60" t="s">
        <v>3640</v>
      </c>
      <c r="C21" s="425">
        <v>4.0999999999999996</v>
      </c>
      <c r="D21" s="59" t="s">
        <v>288</v>
      </c>
      <c r="E21" s="85">
        <f>E203+E502+E801+E1100</f>
        <v>0</v>
      </c>
      <c r="F21" s="86">
        <f>F203+F502+F801+F1100</f>
        <v>0</v>
      </c>
    </row>
    <row r="22" spans="2:6" outlineLevel="1" x14ac:dyDescent="0.3">
      <c r="B22" s="60" t="s">
        <v>3641</v>
      </c>
      <c r="C22" s="425">
        <v>4.2</v>
      </c>
      <c r="D22" s="59" t="s">
        <v>4658</v>
      </c>
      <c r="E22" s="85">
        <f>E224+E523+E822+E1121</f>
        <v>0</v>
      </c>
      <c r="F22" s="86">
        <f>F224+F523+F822+F1121</f>
        <v>0</v>
      </c>
    </row>
    <row r="23" spans="2:6" outlineLevel="1" x14ac:dyDescent="0.3">
      <c r="B23" s="60" t="s">
        <v>3642</v>
      </c>
      <c r="C23" s="425">
        <v>4.3</v>
      </c>
      <c r="D23" s="59" t="s">
        <v>289</v>
      </c>
      <c r="E23" s="85">
        <f>E245+E544+E843+E1142</f>
        <v>0</v>
      </c>
      <c r="F23" s="86">
        <f>F245+F544+F843+F1142</f>
        <v>0</v>
      </c>
    </row>
    <row r="24" spans="2:6" outlineLevel="1" x14ac:dyDescent="0.3">
      <c r="B24" s="60" t="s">
        <v>3643</v>
      </c>
      <c r="C24" s="425">
        <v>4.4000000000000004</v>
      </c>
      <c r="D24" s="59" t="s">
        <v>4659</v>
      </c>
      <c r="E24" s="85">
        <f>E266+E565+E864+E1163</f>
        <v>0</v>
      </c>
      <c r="F24" s="86">
        <f>F266+F565+F864+F1163</f>
        <v>0</v>
      </c>
    </row>
    <row r="25" spans="2:6" s="48" customFormat="1" ht="15" customHeight="1" x14ac:dyDescent="0.3">
      <c r="B25" s="60" t="s">
        <v>3644</v>
      </c>
      <c r="C25" s="424">
        <v>5</v>
      </c>
      <c r="D25" s="49" t="s">
        <v>291</v>
      </c>
      <c r="E25" s="198">
        <f>E287+E586+E885+E1184</f>
        <v>0</v>
      </c>
      <c r="F25" s="199">
        <f>F287+F586+F885+F1184</f>
        <v>0</v>
      </c>
    </row>
    <row r="26" spans="2:6" s="48" customFormat="1" ht="15" customHeight="1" x14ac:dyDescent="0.3">
      <c r="B26" s="60" t="s">
        <v>3645</v>
      </c>
      <c r="C26" s="424">
        <v>6</v>
      </c>
      <c r="D26" s="69" t="s">
        <v>296</v>
      </c>
      <c r="E26" s="198">
        <f>E308+E607+E906+E1205</f>
        <v>0</v>
      </c>
      <c r="F26" s="199">
        <f>F308+F607+F906+F1205</f>
        <v>0</v>
      </c>
    </row>
    <row r="27" spans="2:6" s="48" customFormat="1" ht="16.5" customHeight="1" thickBot="1" x14ac:dyDescent="0.35">
      <c r="B27" s="426" t="s">
        <v>3646</v>
      </c>
      <c r="C27" s="793" t="s">
        <v>297</v>
      </c>
      <c r="D27" s="794"/>
      <c r="E27" s="243">
        <f>E9+E10+E15+E20+E25+E26</f>
        <v>0</v>
      </c>
      <c r="F27" s="244">
        <f>F9+F10+F15+F20+F25+F26</f>
        <v>0</v>
      </c>
    </row>
    <row r="28" spans="2:6" ht="9" customHeight="1" x14ac:dyDescent="0.3">
      <c r="B28" s="78"/>
      <c r="C28" s="12"/>
      <c r="D28" s="13"/>
      <c r="E28" s="40"/>
      <c r="F28" s="40"/>
    </row>
    <row r="29" spans="2:6" s="50" customFormat="1" ht="16.5" customHeight="1" thickBot="1" x14ac:dyDescent="0.35">
      <c r="B29" s="78"/>
      <c r="C29" s="798" t="s">
        <v>298</v>
      </c>
      <c r="D29" s="798"/>
      <c r="E29" s="61"/>
      <c r="F29" s="61"/>
    </row>
    <row r="30" spans="2:6" x14ac:dyDescent="0.3">
      <c r="B30" s="439" t="s">
        <v>3647</v>
      </c>
      <c r="C30" s="440">
        <v>7</v>
      </c>
      <c r="D30" s="441" t="s">
        <v>281</v>
      </c>
      <c r="E30" s="442">
        <f>E31+E32+E117+E202+E287+E308</f>
        <v>0</v>
      </c>
      <c r="F30" s="443">
        <f>F31+F32+F117+F202+F287+F308</f>
        <v>0</v>
      </c>
    </row>
    <row r="31" spans="2:6" s="68" customFormat="1" x14ac:dyDescent="0.3">
      <c r="B31" s="444" t="s">
        <v>3648</v>
      </c>
      <c r="C31" s="435">
        <v>7.1</v>
      </c>
      <c r="D31" s="67" t="s">
        <v>284</v>
      </c>
      <c r="E31" s="428"/>
      <c r="F31" s="73"/>
    </row>
    <row r="32" spans="2:6" s="66" customFormat="1" x14ac:dyDescent="0.3">
      <c r="B32" s="444" t="s">
        <v>3649</v>
      </c>
      <c r="C32" s="436">
        <v>7.2</v>
      </c>
      <c r="D32" s="67" t="s">
        <v>285</v>
      </c>
      <c r="E32" s="428">
        <f>E33+E54+E75+E96</f>
        <v>0</v>
      </c>
      <c r="F32" s="73">
        <f>F33+F54+F75+F96</f>
        <v>0</v>
      </c>
    </row>
    <row r="33" spans="2:6" outlineLevel="1" x14ac:dyDescent="0.3">
      <c r="B33" s="444" t="s">
        <v>3650</v>
      </c>
      <c r="C33" s="437" t="s">
        <v>1824</v>
      </c>
      <c r="D33" s="59" t="s">
        <v>286</v>
      </c>
      <c r="E33" s="429">
        <f>SUM(E34:E53)</f>
        <v>0</v>
      </c>
      <c r="F33" s="74">
        <f>SUM(F34:F53)</f>
        <v>0</v>
      </c>
    </row>
    <row r="34" spans="2:6" s="50" customFormat="1" outlineLevel="2" x14ac:dyDescent="0.3">
      <c r="B34" s="444" t="s">
        <v>3651</v>
      </c>
      <c r="C34" s="438" t="s">
        <v>2854</v>
      </c>
      <c r="D34" s="62" t="s">
        <v>299</v>
      </c>
      <c r="E34" s="430"/>
      <c r="F34" s="75"/>
    </row>
    <row r="35" spans="2:6" s="50" customFormat="1" outlineLevel="2" x14ac:dyDescent="0.3">
      <c r="B35" s="444" t="s">
        <v>3652</v>
      </c>
      <c r="C35" s="438" t="s">
        <v>2855</v>
      </c>
      <c r="D35" s="63" t="s">
        <v>299</v>
      </c>
      <c r="E35" s="430"/>
      <c r="F35" s="75"/>
    </row>
    <row r="36" spans="2:6" s="50" customFormat="1" outlineLevel="2" x14ac:dyDescent="0.3">
      <c r="B36" s="444" t="s">
        <v>3653</v>
      </c>
      <c r="C36" s="438" t="s">
        <v>2856</v>
      </c>
      <c r="D36" s="63" t="s">
        <v>299</v>
      </c>
      <c r="E36" s="430"/>
      <c r="F36" s="75"/>
    </row>
    <row r="37" spans="2:6" s="50" customFormat="1" outlineLevel="2" x14ac:dyDescent="0.3">
      <c r="B37" s="444" t="s">
        <v>3654</v>
      </c>
      <c r="C37" s="438" t="s">
        <v>2857</v>
      </c>
      <c r="D37" s="63" t="s">
        <v>299</v>
      </c>
      <c r="E37" s="430"/>
      <c r="F37" s="75"/>
    </row>
    <row r="38" spans="2:6" s="50" customFormat="1" outlineLevel="2" x14ac:dyDescent="0.3">
      <c r="B38" s="444" t="s">
        <v>3655</v>
      </c>
      <c r="C38" s="438" t="s">
        <v>2858</v>
      </c>
      <c r="D38" s="63" t="s">
        <v>299</v>
      </c>
      <c r="E38" s="430"/>
      <c r="F38" s="75"/>
    </row>
    <row r="39" spans="2:6" s="50" customFormat="1" outlineLevel="2" x14ac:dyDescent="0.3">
      <c r="B39" s="444" t="s">
        <v>3656</v>
      </c>
      <c r="C39" s="438" t="s">
        <v>2859</v>
      </c>
      <c r="D39" s="63" t="s">
        <v>299</v>
      </c>
      <c r="E39" s="430"/>
      <c r="F39" s="75"/>
    </row>
    <row r="40" spans="2:6" s="50" customFormat="1" outlineLevel="2" x14ac:dyDescent="0.3">
      <c r="B40" s="444" t="s">
        <v>3657</v>
      </c>
      <c r="C40" s="438" t="s">
        <v>2860</v>
      </c>
      <c r="D40" s="63" t="s">
        <v>299</v>
      </c>
      <c r="E40" s="430"/>
      <c r="F40" s="75"/>
    </row>
    <row r="41" spans="2:6" s="50" customFormat="1" outlineLevel="2" x14ac:dyDescent="0.3">
      <c r="B41" s="444" t="s">
        <v>3658</v>
      </c>
      <c r="C41" s="438" t="s">
        <v>2861</v>
      </c>
      <c r="D41" s="63" t="s">
        <v>299</v>
      </c>
      <c r="E41" s="430"/>
      <c r="F41" s="75"/>
    </row>
    <row r="42" spans="2:6" s="50" customFormat="1" outlineLevel="2" x14ac:dyDescent="0.3">
      <c r="B42" s="444" t="s">
        <v>3659</v>
      </c>
      <c r="C42" s="438" t="s">
        <v>2862</v>
      </c>
      <c r="D42" s="63" t="s">
        <v>299</v>
      </c>
      <c r="E42" s="430"/>
      <c r="F42" s="75"/>
    </row>
    <row r="43" spans="2:6" s="50" customFormat="1" outlineLevel="2" x14ac:dyDescent="0.3">
      <c r="B43" s="444" t="s">
        <v>3660</v>
      </c>
      <c r="C43" s="438" t="s">
        <v>2863</v>
      </c>
      <c r="D43" s="63" t="s">
        <v>299</v>
      </c>
      <c r="E43" s="430"/>
      <c r="F43" s="75"/>
    </row>
    <row r="44" spans="2:6" s="50" customFormat="1" outlineLevel="2" x14ac:dyDescent="0.3">
      <c r="B44" s="444" t="s">
        <v>3661</v>
      </c>
      <c r="C44" s="438" t="s">
        <v>2864</v>
      </c>
      <c r="D44" s="63" t="s">
        <v>299</v>
      </c>
      <c r="E44" s="430"/>
      <c r="F44" s="75"/>
    </row>
    <row r="45" spans="2:6" s="50" customFormat="1" outlineLevel="2" x14ac:dyDescent="0.3">
      <c r="B45" s="444" t="s">
        <v>3662</v>
      </c>
      <c r="C45" s="438" t="s">
        <v>2865</v>
      </c>
      <c r="D45" s="63" t="s">
        <v>299</v>
      </c>
      <c r="E45" s="430"/>
      <c r="F45" s="75"/>
    </row>
    <row r="46" spans="2:6" s="50" customFormat="1" outlineLevel="2" x14ac:dyDescent="0.3">
      <c r="B46" s="444" t="s">
        <v>3663</v>
      </c>
      <c r="C46" s="438" t="s">
        <v>2866</v>
      </c>
      <c r="D46" s="63" t="s">
        <v>299</v>
      </c>
      <c r="E46" s="430"/>
      <c r="F46" s="75"/>
    </row>
    <row r="47" spans="2:6" s="50" customFormat="1" outlineLevel="2" x14ac:dyDescent="0.3">
      <c r="B47" s="444" t="s">
        <v>3664</v>
      </c>
      <c r="C47" s="438" t="s">
        <v>2867</v>
      </c>
      <c r="D47" s="63" t="s">
        <v>299</v>
      </c>
      <c r="E47" s="430"/>
      <c r="F47" s="75"/>
    </row>
    <row r="48" spans="2:6" s="50" customFormat="1" outlineLevel="2" x14ac:dyDescent="0.3">
      <c r="B48" s="444" t="s">
        <v>3665</v>
      </c>
      <c r="C48" s="438" t="s">
        <v>2868</v>
      </c>
      <c r="D48" s="63" t="s">
        <v>299</v>
      </c>
      <c r="E48" s="430"/>
      <c r="F48" s="75"/>
    </row>
    <row r="49" spans="2:6" s="50" customFormat="1" outlineLevel="2" x14ac:dyDescent="0.3">
      <c r="B49" s="444" t="s">
        <v>3666</v>
      </c>
      <c r="C49" s="438" t="s">
        <v>2869</v>
      </c>
      <c r="D49" s="63" t="s">
        <v>299</v>
      </c>
      <c r="E49" s="430"/>
      <c r="F49" s="75"/>
    </row>
    <row r="50" spans="2:6" s="50" customFormat="1" outlineLevel="2" x14ac:dyDescent="0.3">
      <c r="B50" s="444" t="s">
        <v>3667</v>
      </c>
      <c r="C50" s="438" t="s">
        <v>2870</v>
      </c>
      <c r="D50" s="63" t="s">
        <v>299</v>
      </c>
      <c r="E50" s="430"/>
      <c r="F50" s="75"/>
    </row>
    <row r="51" spans="2:6" s="50" customFormat="1" outlineLevel="2" x14ac:dyDescent="0.3">
      <c r="B51" s="444" t="s">
        <v>3668</v>
      </c>
      <c r="C51" s="438" t="s">
        <v>2871</v>
      </c>
      <c r="D51" s="63" t="s">
        <v>299</v>
      </c>
      <c r="E51" s="430"/>
      <c r="F51" s="75"/>
    </row>
    <row r="52" spans="2:6" s="50" customFormat="1" outlineLevel="2" x14ac:dyDescent="0.3">
      <c r="B52" s="444" t="s">
        <v>3669</v>
      </c>
      <c r="C52" s="438" t="s">
        <v>2872</v>
      </c>
      <c r="D52" s="63" t="s">
        <v>299</v>
      </c>
      <c r="E52" s="430"/>
      <c r="F52" s="75"/>
    </row>
    <row r="53" spans="2:6" s="50" customFormat="1" outlineLevel="2" x14ac:dyDescent="0.3">
      <c r="B53" s="444" t="s">
        <v>3670</v>
      </c>
      <c r="C53" s="438" t="s">
        <v>2873</v>
      </c>
      <c r="D53" s="63" t="s">
        <v>299</v>
      </c>
      <c r="E53" s="430"/>
      <c r="F53" s="75"/>
    </row>
    <row r="54" spans="2:6" outlineLevel="1" x14ac:dyDescent="0.3">
      <c r="B54" s="444" t="s">
        <v>3671</v>
      </c>
      <c r="C54" s="437" t="s">
        <v>1825</v>
      </c>
      <c r="D54" s="59" t="s">
        <v>4654</v>
      </c>
      <c r="E54" s="429">
        <f>SUM(E55:E74)</f>
        <v>0</v>
      </c>
      <c r="F54" s="74">
        <f>SUM(F55:F74)</f>
        <v>0</v>
      </c>
    </row>
    <row r="55" spans="2:6" s="50" customFormat="1" outlineLevel="2" x14ac:dyDescent="0.3">
      <c r="B55" s="444" t="s">
        <v>3672</v>
      </c>
      <c r="C55" s="438" t="s">
        <v>2874</v>
      </c>
      <c r="D55" s="62" t="s">
        <v>299</v>
      </c>
      <c r="E55" s="430"/>
      <c r="F55" s="75"/>
    </row>
    <row r="56" spans="2:6" s="50" customFormat="1" outlineLevel="2" x14ac:dyDescent="0.3">
      <c r="B56" s="444" t="s">
        <v>3673</v>
      </c>
      <c r="C56" s="438" t="s">
        <v>2875</v>
      </c>
      <c r="D56" s="63" t="s">
        <v>299</v>
      </c>
      <c r="E56" s="430"/>
      <c r="F56" s="75"/>
    </row>
    <row r="57" spans="2:6" s="50" customFormat="1" outlineLevel="2" x14ac:dyDescent="0.3">
      <c r="B57" s="444" t="s">
        <v>3674</v>
      </c>
      <c r="C57" s="438" t="s">
        <v>2876</v>
      </c>
      <c r="D57" s="63" t="s">
        <v>299</v>
      </c>
      <c r="E57" s="430"/>
      <c r="F57" s="75"/>
    </row>
    <row r="58" spans="2:6" s="50" customFormat="1" outlineLevel="2" x14ac:dyDescent="0.3">
      <c r="B58" s="444" t="s">
        <v>3675</v>
      </c>
      <c r="C58" s="438" t="s">
        <v>2877</v>
      </c>
      <c r="D58" s="63" t="s">
        <v>299</v>
      </c>
      <c r="E58" s="430"/>
      <c r="F58" s="75"/>
    </row>
    <row r="59" spans="2:6" s="50" customFormat="1" outlineLevel="2" x14ac:dyDescent="0.3">
      <c r="B59" s="444" t="s">
        <v>3676</v>
      </c>
      <c r="C59" s="438" t="s">
        <v>2878</v>
      </c>
      <c r="D59" s="63" t="s">
        <v>299</v>
      </c>
      <c r="E59" s="430"/>
      <c r="F59" s="75"/>
    </row>
    <row r="60" spans="2:6" s="50" customFormat="1" outlineLevel="2" x14ac:dyDescent="0.3">
      <c r="B60" s="444" t="s">
        <v>3677</v>
      </c>
      <c r="C60" s="438" t="s">
        <v>2879</v>
      </c>
      <c r="D60" s="63" t="s">
        <v>299</v>
      </c>
      <c r="E60" s="430"/>
      <c r="F60" s="75"/>
    </row>
    <row r="61" spans="2:6" s="50" customFormat="1" outlineLevel="2" x14ac:dyDescent="0.3">
      <c r="B61" s="444" t="s">
        <v>3678</v>
      </c>
      <c r="C61" s="438" t="s">
        <v>2880</v>
      </c>
      <c r="D61" s="63" t="s">
        <v>299</v>
      </c>
      <c r="E61" s="430"/>
      <c r="F61" s="75"/>
    </row>
    <row r="62" spans="2:6" s="50" customFormat="1" outlineLevel="2" x14ac:dyDescent="0.3">
      <c r="B62" s="444" t="s">
        <v>3679</v>
      </c>
      <c r="C62" s="438" t="s">
        <v>2881</v>
      </c>
      <c r="D62" s="63" t="s">
        <v>299</v>
      </c>
      <c r="E62" s="430"/>
      <c r="F62" s="75"/>
    </row>
    <row r="63" spans="2:6" s="50" customFormat="1" outlineLevel="2" x14ac:dyDescent="0.3">
      <c r="B63" s="444" t="s">
        <v>3680</v>
      </c>
      <c r="C63" s="438" t="s">
        <v>2882</v>
      </c>
      <c r="D63" s="63" t="s">
        <v>299</v>
      </c>
      <c r="E63" s="430"/>
      <c r="F63" s="75"/>
    </row>
    <row r="64" spans="2:6" s="50" customFormat="1" outlineLevel="2" x14ac:dyDescent="0.3">
      <c r="B64" s="444" t="s">
        <v>3681</v>
      </c>
      <c r="C64" s="438" t="s">
        <v>2883</v>
      </c>
      <c r="D64" s="63" t="s">
        <v>299</v>
      </c>
      <c r="E64" s="430"/>
      <c r="F64" s="75"/>
    </row>
    <row r="65" spans="2:6" s="50" customFormat="1" outlineLevel="2" x14ac:dyDescent="0.3">
      <c r="B65" s="444" t="s">
        <v>3682</v>
      </c>
      <c r="C65" s="438" t="s">
        <v>2884</v>
      </c>
      <c r="D65" s="63" t="s">
        <v>299</v>
      </c>
      <c r="E65" s="430"/>
      <c r="F65" s="75"/>
    </row>
    <row r="66" spans="2:6" s="50" customFormat="1" outlineLevel="2" x14ac:dyDescent="0.3">
      <c r="B66" s="444" t="s">
        <v>3683</v>
      </c>
      <c r="C66" s="438" t="s">
        <v>2885</v>
      </c>
      <c r="D66" s="63" t="s">
        <v>299</v>
      </c>
      <c r="E66" s="430"/>
      <c r="F66" s="75"/>
    </row>
    <row r="67" spans="2:6" s="50" customFormat="1" outlineLevel="2" x14ac:dyDescent="0.3">
      <c r="B67" s="444" t="s">
        <v>3684</v>
      </c>
      <c r="C67" s="438" t="s">
        <v>2886</v>
      </c>
      <c r="D67" s="63" t="s">
        <v>299</v>
      </c>
      <c r="E67" s="430"/>
      <c r="F67" s="75"/>
    </row>
    <row r="68" spans="2:6" s="50" customFormat="1" outlineLevel="2" x14ac:dyDescent="0.3">
      <c r="B68" s="444" t="s">
        <v>3685</v>
      </c>
      <c r="C68" s="438" t="s">
        <v>2887</v>
      </c>
      <c r="D68" s="63" t="s">
        <v>299</v>
      </c>
      <c r="E68" s="430"/>
      <c r="F68" s="75"/>
    </row>
    <row r="69" spans="2:6" s="50" customFormat="1" outlineLevel="2" x14ac:dyDescent="0.3">
      <c r="B69" s="444" t="s">
        <v>3686</v>
      </c>
      <c r="C69" s="438" t="s">
        <v>2888</v>
      </c>
      <c r="D69" s="63" t="s">
        <v>299</v>
      </c>
      <c r="E69" s="430"/>
      <c r="F69" s="75"/>
    </row>
    <row r="70" spans="2:6" s="50" customFormat="1" outlineLevel="2" x14ac:dyDescent="0.3">
      <c r="B70" s="444" t="s">
        <v>3687</v>
      </c>
      <c r="C70" s="438" t="s">
        <v>2889</v>
      </c>
      <c r="D70" s="63" t="s">
        <v>299</v>
      </c>
      <c r="E70" s="430"/>
      <c r="F70" s="75"/>
    </row>
    <row r="71" spans="2:6" s="50" customFormat="1" outlineLevel="2" x14ac:dyDescent="0.3">
      <c r="B71" s="444" t="s">
        <v>3688</v>
      </c>
      <c r="C71" s="438" t="s">
        <v>2890</v>
      </c>
      <c r="D71" s="63" t="s">
        <v>299</v>
      </c>
      <c r="E71" s="430"/>
      <c r="F71" s="75"/>
    </row>
    <row r="72" spans="2:6" s="50" customFormat="1" outlineLevel="2" x14ac:dyDescent="0.3">
      <c r="B72" s="444" t="s">
        <v>3689</v>
      </c>
      <c r="C72" s="438" t="s">
        <v>2891</v>
      </c>
      <c r="D72" s="63" t="s">
        <v>299</v>
      </c>
      <c r="E72" s="430"/>
      <c r="F72" s="75"/>
    </row>
    <row r="73" spans="2:6" s="50" customFormat="1" outlineLevel="2" x14ac:dyDescent="0.3">
      <c r="B73" s="444" t="s">
        <v>3690</v>
      </c>
      <c r="C73" s="438" t="s">
        <v>2892</v>
      </c>
      <c r="D73" s="63" t="s">
        <v>299</v>
      </c>
      <c r="E73" s="430"/>
      <c r="F73" s="75"/>
    </row>
    <row r="74" spans="2:6" s="50" customFormat="1" outlineLevel="2" x14ac:dyDescent="0.3">
      <c r="B74" s="444" t="s">
        <v>3691</v>
      </c>
      <c r="C74" s="438" t="s">
        <v>2893</v>
      </c>
      <c r="D74" s="63" t="s">
        <v>299</v>
      </c>
      <c r="E74" s="430"/>
      <c r="F74" s="75"/>
    </row>
    <row r="75" spans="2:6" outlineLevel="1" x14ac:dyDescent="0.3">
      <c r="B75" s="444" t="s">
        <v>3692</v>
      </c>
      <c r="C75" s="437" t="s">
        <v>1826</v>
      </c>
      <c r="D75" s="59" t="s">
        <v>287</v>
      </c>
      <c r="E75" s="429">
        <f>SUM(E76:E95)</f>
        <v>0</v>
      </c>
      <c r="F75" s="74">
        <f>SUM(F76:F95)</f>
        <v>0</v>
      </c>
    </row>
    <row r="76" spans="2:6" s="50" customFormat="1" outlineLevel="2" x14ac:dyDescent="0.3">
      <c r="B76" s="444" t="s">
        <v>3693</v>
      </c>
      <c r="C76" s="438" t="s">
        <v>2894</v>
      </c>
      <c r="D76" s="62" t="s">
        <v>299</v>
      </c>
      <c r="E76" s="430"/>
      <c r="F76" s="75"/>
    </row>
    <row r="77" spans="2:6" s="50" customFormat="1" outlineLevel="2" x14ac:dyDescent="0.3">
      <c r="B77" s="444" t="s">
        <v>3694</v>
      </c>
      <c r="C77" s="438" t="s">
        <v>2895</v>
      </c>
      <c r="D77" s="63" t="s">
        <v>299</v>
      </c>
      <c r="E77" s="430"/>
      <c r="F77" s="75"/>
    </row>
    <row r="78" spans="2:6" s="50" customFormat="1" outlineLevel="2" x14ac:dyDescent="0.3">
      <c r="B78" s="444" t="s">
        <v>3695</v>
      </c>
      <c r="C78" s="438" t="s">
        <v>2896</v>
      </c>
      <c r="D78" s="63" t="s">
        <v>299</v>
      </c>
      <c r="E78" s="430"/>
      <c r="F78" s="75"/>
    </row>
    <row r="79" spans="2:6" s="50" customFormat="1" outlineLevel="2" x14ac:dyDescent="0.3">
      <c r="B79" s="444" t="s">
        <v>3696</v>
      </c>
      <c r="C79" s="438" t="s">
        <v>2897</v>
      </c>
      <c r="D79" s="63" t="s">
        <v>299</v>
      </c>
      <c r="E79" s="430"/>
      <c r="F79" s="75"/>
    </row>
    <row r="80" spans="2:6" s="50" customFormat="1" outlineLevel="2" x14ac:dyDescent="0.3">
      <c r="B80" s="444" t="s">
        <v>3697</v>
      </c>
      <c r="C80" s="438" t="s">
        <v>2898</v>
      </c>
      <c r="D80" s="63" t="s">
        <v>299</v>
      </c>
      <c r="E80" s="430"/>
      <c r="F80" s="75"/>
    </row>
    <row r="81" spans="2:6" s="50" customFormat="1" outlineLevel="2" x14ac:dyDescent="0.3">
      <c r="B81" s="444" t="s">
        <v>3698</v>
      </c>
      <c r="C81" s="438" t="s">
        <v>2899</v>
      </c>
      <c r="D81" s="63" t="s">
        <v>299</v>
      </c>
      <c r="E81" s="430"/>
      <c r="F81" s="75"/>
    </row>
    <row r="82" spans="2:6" s="50" customFormat="1" outlineLevel="2" x14ac:dyDescent="0.3">
      <c r="B82" s="444" t="s">
        <v>3699</v>
      </c>
      <c r="C82" s="438" t="s">
        <v>2900</v>
      </c>
      <c r="D82" s="63" t="s">
        <v>299</v>
      </c>
      <c r="E82" s="430"/>
      <c r="F82" s="75"/>
    </row>
    <row r="83" spans="2:6" s="50" customFormat="1" outlineLevel="2" x14ac:dyDescent="0.3">
      <c r="B83" s="444" t="s">
        <v>3700</v>
      </c>
      <c r="C83" s="438" t="s">
        <v>2901</v>
      </c>
      <c r="D83" s="63" t="s">
        <v>299</v>
      </c>
      <c r="E83" s="430"/>
      <c r="F83" s="75"/>
    </row>
    <row r="84" spans="2:6" s="50" customFormat="1" outlineLevel="2" x14ac:dyDescent="0.3">
      <c r="B84" s="444" t="s">
        <v>3701</v>
      </c>
      <c r="C84" s="438" t="s">
        <v>2902</v>
      </c>
      <c r="D84" s="63" t="s">
        <v>299</v>
      </c>
      <c r="E84" s="430"/>
      <c r="F84" s="75"/>
    </row>
    <row r="85" spans="2:6" s="50" customFormat="1" outlineLevel="2" x14ac:dyDescent="0.3">
      <c r="B85" s="444" t="s">
        <v>3702</v>
      </c>
      <c r="C85" s="438" t="s">
        <v>2903</v>
      </c>
      <c r="D85" s="63" t="s">
        <v>299</v>
      </c>
      <c r="E85" s="430"/>
      <c r="F85" s="75"/>
    </row>
    <row r="86" spans="2:6" s="50" customFormat="1" outlineLevel="2" x14ac:dyDescent="0.3">
      <c r="B86" s="444" t="s">
        <v>3703</v>
      </c>
      <c r="C86" s="438" t="s">
        <v>2904</v>
      </c>
      <c r="D86" s="63" t="s">
        <v>299</v>
      </c>
      <c r="E86" s="430"/>
      <c r="F86" s="75"/>
    </row>
    <row r="87" spans="2:6" s="50" customFormat="1" outlineLevel="2" x14ac:dyDescent="0.3">
      <c r="B87" s="444" t="s">
        <v>3704</v>
      </c>
      <c r="C87" s="438" t="s">
        <v>2905</v>
      </c>
      <c r="D87" s="63" t="s">
        <v>299</v>
      </c>
      <c r="E87" s="430"/>
      <c r="F87" s="75"/>
    </row>
    <row r="88" spans="2:6" s="50" customFormat="1" outlineLevel="2" x14ac:dyDescent="0.3">
      <c r="B88" s="444" t="s">
        <v>3705</v>
      </c>
      <c r="C88" s="438" t="s">
        <v>2906</v>
      </c>
      <c r="D88" s="63" t="s">
        <v>299</v>
      </c>
      <c r="E88" s="430"/>
      <c r="F88" s="75"/>
    </row>
    <row r="89" spans="2:6" s="50" customFormat="1" outlineLevel="2" x14ac:dyDescent="0.3">
      <c r="B89" s="444" t="s">
        <v>3706</v>
      </c>
      <c r="C89" s="438" t="s">
        <v>2907</v>
      </c>
      <c r="D89" s="63" t="s">
        <v>299</v>
      </c>
      <c r="E89" s="430"/>
      <c r="F89" s="75"/>
    </row>
    <row r="90" spans="2:6" s="50" customFormat="1" outlineLevel="2" x14ac:dyDescent="0.3">
      <c r="B90" s="444" t="s">
        <v>3707</v>
      </c>
      <c r="C90" s="438" t="s">
        <v>2908</v>
      </c>
      <c r="D90" s="63" t="s">
        <v>299</v>
      </c>
      <c r="E90" s="430"/>
      <c r="F90" s="75"/>
    </row>
    <row r="91" spans="2:6" s="50" customFormat="1" outlineLevel="2" x14ac:dyDescent="0.3">
      <c r="B91" s="444" t="s">
        <v>3708</v>
      </c>
      <c r="C91" s="438" t="s">
        <v>2909</v>
      </c>
      <c r="D91" s="63" t="s">
        <v>299</v>
      </c>
      <c r="E91" s="430"/>
      <c r="F91" s="75"/>
    </row>
    <row r="92" spans="2:6" s="50" customFormat="1" outlineLevel="2" x14ac:dyDescent="0.3">
      <c r="B92" s="444" t="s">
        <v>3709</v>
      </c>
      <c r="C92" s="438" t="s">
        <v>2910</v>
      </c>
      <c r="D92" s="63" t="s">
        <v>299</v>
      </c>
      <c r="E92" s="430"/>
      <c r="F92" s="75"/>
    </row>
    <row r="93" spans="2:6" s="50" customFormat="1" outlineLevel="2" x14ac:dyDescent="0.3">
      <c r="B93" s="444" t="s">
        <v>3710</v>
      </c>
      <c r="C93" s="438" t="s">
        <v>2911</v>
      </c>
      <c r="D93" s="63" t="s">
        <v>299</v>
      </c>
      <c r="E93" s="430"/>
      <c r="F93" s="75"/>
    </row>
    <row r="94" spans="2:6" s="50" customFormat="1" outlineLevel="2" x14ac:dyDescent="0.3">
      <c r="B94" s="444" t="s">
        <v>3711</v>
      </c>
      <c r="C94" s="438" t="s">
        <v>2912</v>
      </c>
      <c r="D94" s="63" t="s">
        <v>299</v>
      </c>
      <c r="E94" s="430"/>
      <c r="F94" s="75"/>
    </row>
    <row r="95" spans="2:6" s="50" customFormat="1" outlineLevel="2" x14ac:dyDescent="0.3">
      <c r="B95" s="444" t="s">
        <v>3712</v>
      </c>
      <c r="C95" s="438" t="s">
        <v>2913</v>
      </c>
      <c r="D95" s="63" t="s">
        <v>299</v>
      </c>
      <c r="E95" s="430"/>
      <c r="F95" s="75"/>
    </row>
    <row r="96" spans="2:6" outlineLevel="1" x14ac:dyDescent="0.3">
      <c r="B96" s="444" t="s">
        <v>3713</v>
      </c>
      <c r="C96" s="437" t="s">
        <v>1827</v>
      </c>
      <c r="D96" s="59" t="s">
        <v>4655</v>
      </c>
      <c r="E96" s="429">
        <f>SUM(E97:E116)</f>
        <v>0</v>
      </c>
      <c r="F96" s="74">
        <f>SUM(F97:F116)</f>
        <v>0</v>
      </c>
    </row>
    <row r="97" spans="2:6" s="50" customFormat="1" outlineLevel="2" x14ac:dyDescent="0.3">
      <c r="B97" s="444" t="s">
        <v>3714</v>
      </c>
      <c r="C97" s="438" t="s">
        <v>2914</v>
      </c>
      <c r="D97" s="62" t="s">
        <v>299</v>
      </c>
      <c r="E97" s="430"/>
      <c r="F97" s="75"/>
    </row>
    <row r="98" spans="2:6" s="50" customFormat="1" outlineLevel="2" x14ac:dyDescent="0.3">
      <c r="B98" s="444" t="s">
        <v>3715</v>
      </c>
      <c r="C98" s="438" t="s">
        <v>2915</v>
      </c>
      <c r="D98" s="63" t="s">
        <v>299</v>
      </c>
      <c r="E98" s="430"/>
      <c r="F98" s="75"/>
    </row>
    <row r="99" spans="2:6" s="50" customFormat="1" outlineLevel="2" x14ac:dyDescent="0.3">
      <c r="B99" s="444" t="s">
        <v>3716</v>
      </c>
      <c r="C99" s="438" t="s">
        <v>2916</v>
      </c>
      <c r="D99" s="63" t="s">
        <v>299</v>
      </c>
      <c r="E99" s="430"/>
      <c r="F99" s="75"/>
    </row>
    <row r="100" spans="2:6" s="50" customFormat="1" outlineLevel="2" x14ac:dyDescent="0.3">
      <c r="B100" s="444" t="s">
        <v>3717</v>
      </c>
      <c r="C100" s="438" t="s">
        <v>2917</v>
      </c>
      <c r="D100" s="63" t="s">
        <v>299</v>
      </c>
      <c r="E100" s="430"/>
      <c r="F100" s="75"/>
    </row>
    <row r="101" spans="2:6" s="50" customFormat="1" outlineLevel="2" x14ac:dyDescent="0.3">
      <c r="B101" s="444" t="s">
        <v>3718</v>
      </c>
      <c r="C101" s="438" t="s">
        <v>2918</v>
      </c>
      <c r="D101" s="63" t="s">
        <v>299</v>
      </c>
      <c r="E101" s="430"/>
      <c r="F101" s="75"/>
    </row>
    <row r="102" spans="2:6" s="50" customFormat="1" outlineLevel="2" x14ac:dyDescent="0.3">
      <c r="B102" s="444" t="s">
        <v>3719</v>
      </c>
      <c r="C102" s="438" t="s">
        <v>2919</v>
      </c>
      <c r="D102" s="63" t="s">
        <v>299</v>
      </c>
      <c r="E102" s="430"/>
      <c r="F102" s="75"/>
    </row>
    <row r="103" spans="2:6" s="50" customFormat="1" outlineLevel="2" x14ac:dyDescent="0.3">
      <c r="B103" s="444" t="s">
        <v>3720</v>
      </c>
      <c r="C103" s="438" t="s">
        <v>2920</v>
      </c>
      <c r="D103" s="63" t="s">
        <v>299</v>
      </c>
      <c r="E103" s="430"/>
      <c r="F103" s="75"/>
    </row>
    <row r="104" spans="2:6" s="50" customFormat="1" outlineLevel="2" x14ac:dyDescent="0.3">
      <c r="B104" s="444" t="s">
        <v>3721</v>
      </c>
      <c r="C104" s="438" t="s">
        <v>2921</v>
      </c>
      <c r="D104" s="63" t="s">
        <v>299</v>
      </c>
      <c r="E104" s="430"/>
      <c r="F104" s="75"/>
    </row>
    <row r="105" spans="2:6" s="50" customFormat="1" outlineLevel="2" x14ac:dyDescent="0.3">
      <c r="B105" s="444" t="s">
        <v>3722</v>
      </c>
      <c r="C105" s="438" t="s">
        <v>2922</v>
      </c>
      <c r="D105" s="63" t="s">
        <v>299</v>
      </c>
      <c r="E105" s="430"/>
      <c r="F105" s="75"/>
    </row>
    <row r="106" spans="2:6" s="50" customFormat="1" outlineLevel="2" x14ac:dyDescent="0.3">
      <c r="B106" s="444" t="s">
        <v>3723</v>
      </c>
      <c r="C106" s="438" t="s">
        <v>2923</v>
      </c>
      <c r="D106" s="63" t="s">
        <v>299</v>
      </c>
      <c r="E106" s="430"/>
      <c r="F106" s="75"/>
    </row>
    <row r="107" spans="2:6" s="50" customFormat="1" outlineLevel="2" x14ac:dyDescent="0.3">
      <c r="B107" s="444" t="s">
        <v>3724</v>
      </c>
      <c r="C107" s="438" t="s">
        <v>2924</v>
      </c>
      <c r="D107" s="63" t="s">
        <v>299</v>
      </c>
      <c r="E107" s="430"/>
      <c r="F107" s="75"/>
    </row>
    <row r="108" spans="2:6" s="50" customFormat="1" outlineLevel="2" x14ac:dyDescent="0.3">
      <c r="B108" s="444" t="s">
        <v>3725</v>
      </c>
      <c r="C108" s="438" t="s">
        <v>2925</v>
      </c>
      <c r="D108" s="63" t="s">
        <v>299</v>
      </c>
      <c r="E108" s="430"/>
      <c r="F108" s="75"/>
    </row>
    <row r="109" spans="2:6" s="50" customFormat="1" outlineLevel="2" x14ac:dyDescent="0.3">
      <c r="B109" s="444" t="s">
        <v>3726</v>
      </c>
      <c r="C109" s="438" t="s">
        <v>2926</v>
      </c>
      <c r="D109" s="63" t="s">
        <v>299</v>
      </c>
      <c r="E109" s="430"/>
      <c r="F109" s="75"/>
    </row>
    <row r="110" spans="2:6" s="50" customFormat="1" outlineLevel="2" x14ac:dyDescent="0.3">
      <c r="B110" s="444" t="s">
        <v>3727</v>
      </c>
      <c r="C110" s="438" t="s">
        <v>2927</v>
      </c>
      <c r="D110" s="63" t="s">
        <v>299</v>
      </c>
      <c r="E110" s="430"/>
      <c r="F110" s="75"/>
    </row>
    <row r="111" spans="2:6" s="50" customFormat="1" outlineLevel="2" x14ac:dyDescent="0.3">
      <c r="B111" s="444" t="s">
        <v>3728</v>
      </c>
      <c r="C111" s="438" t="s">
        <v>2928</v>
      </c>
      <c r="D111" s="63" t="s">
        <v>299</v>
      </c>
      <c r="E111" s="430"/>
      <c r="F111" s="75"/>
    </row>
    <row r="112" spans="2:6" s="50" customFormat="1" outlineLevel="2" x14ac:dyDescent="0.3">
      <c r="B112" s="444" t="s">
        <v>3729</v>
      </c>
      <c r="C112" s="438" t="s">
        <v>2929</v>
      </c>
      <c r="D112" s="63" t="s">
        <v>299</v>
      </c>
      <c r="E112" s="430"/>
      <c r="F112" s="75"/>
    </row>
    <row r="113" spans="2:6" s="50" customFormat="1" outlineLevel="2" x14ac:dyDescent="0.3">
      <c r="B113" s="444" t="s">
        <v>3730</v>
      </c>
      <c r="C113" s="438" t="s">
        <v>2930</v>
      </c>
      <c r="D113" s="63" t="s">
        <v>299</v>
      </c>
      <c r="E113" s="430"/>
      <c r="F113" s="75"/>
    </row>
    <row r="114" spans="2:6" s="50" customFormat="1" outlineLevel="2" x14ac:dyDescent="0.3">
      <c r="B114" s="444" t="s">
        <v>3731</v>
      </c>
      <c r="C114" s="438" t="s">
        <v>2931</v>
      </c>
      <c r="D114" s="63" t="s">
        <v>299</v>
      </c>
      <c r="E114" s="430"/>
      <c r="F114" s="75"/>
    </row>
    <row r="115" spans="2:6" s="50" customFormat="1" outlineLevel="2" x14ac:dyDescent="0.3">
      <c r="B115" s="444" t="s">
        <v>3732</v>
      </c>
      <c r="C115" s="438" t="s">
        <v>2932</v>
      </c>
      <c r="D115" s="63" t="s">
        <v>299</v>
      </c>
      <c r="E115" s="430"/>
      <c r="F115" s="75"/>
    </row>
    <row r="116" spans="2:6" s="50" customFormat="1" outlineLevel="2" x14ac:dyDescent="0.3">
      <c r="B116" s="444" t="s">
        <v>3733</v>
      </c>
      <c r="C116" s="438" t="s">
        <v>2933</v>
      </c>
      <c r="D116" s="63" t="s">
        <v>299</v>
      </c>
      <c r="E116" s="430"/>
      <c r="F116" s="75"/>
    </row>
    <row r="117" spans="2:6" s="66" customFormat="1" x14ac:dyDescent="0.3">
      <c r="B117" s="444" t="s">
        <v>3734</v>
      </c>
      <c r="C117" s="436">
        <v>7.3</v>
      </c>
      <c r="D117" s="67" t="s">
        <v>293</v>
      </c>
      <c r="E117" s="428">
        <f>E118+E139+E160+E181</f>
        <v>0</v>
      </c>
      <c r="F117" s="73">
        <f>F118+F139+F160+F181</f>
        <v>0</v>
      </c>
    </row>
    <row r="118" spans="2:6" outlineLevel="1" x14ac:dyDescent="0.3">
      <c r="B118" s="444" t="s">
        <v>3735</v>
      </c>
      <c r="C118" s="437" t="s">
        <v>2934</v>
      </c>
      <c r="D118" s="59" t="s">
        <v>294</v>
      </c>
      <c r="E118" s="429">
        <f>SUM(E119:E138)</f>
        <v>0</v>
      </c>
      <c r="F118" s="74">
        <f>SUM(F119:F138)</f>
        <v>0</v>
      </c>
    </row>
    <row r="119" spans="2:6" s="50" customFormat="1" outlineLevel="2" x14ac:dyDescent="0.3">
      <c r="B119" s="444" t="s">
        <v>3736</v>
      </c>
      <c r="C119" s="438" t="s">
        <v>2935</v>
      </c>
      <c r="D119" s="62" t="s">
        <v>299</v>
      </c>
      <c r="E119" s="430"/>
      <c r="F119" s="75"/>
    </row>
    <row r="120" spans="2:6" s="50" customFormat="1" outlineLevel="2" x14ac:dyDescent="0.3">
      <c r="B120" s="444" t="s">
        <v>3737</v>
      </c>
      <c r="C120" s="438" t="s">
        <v>2936</v>
      </c>
      <c r="D120" s="63" t="s">
        <v>299</v>
      </c>
      <c r="E120" s="430"/>
      <c r="F120" s="75"/>
    </row>
    <row r="121" spans="2:6" s="50" customFormat="1" outlineLevel="2" x14ac:dyDescent="0.3">
      <c r="B121" s="444" t="s">
        <v>3738</v>
      </c>
      <c r="C121" s="438" t="s">
        <v>2937</v>
      </c>
      <c r="D121" s="63" t="s">
        <v>299</v>
      </c>
      <c r="E121" s="430"/>
      <c r="F121" s="75"/>
    </row>
    <row r="122" spans="2:6" s="50" customFormat="1" outlineLevel="2" x14ac:dyDescent="0.3">
      <c r="B122" s="444" t="s">
        <v>3739</v>
      </c>
      <c r="C122" s="438" t="s">
        <v>2938</v>
      </c>
      <c r="D122" s="63" t="s">
        <v>299</v>
      </c>
      <c r="E122" s="430"/>
      <c r="F122" s="75"/>
    </row>
    <row r="123" spans="2:6" s="50" customFormat="1" outlineLevel="2" x14ac:dyDescent="0.3">
      <c r="B123" s="444" t="s">
        <v>3740</v>
      </c>
      <c r="C123" s="438" t="s">
        <v>2939</v>
      </c>
      <c r="D123" s="63" t="s">
        <v>299</v>
      </c>
      <c r="E123" s="430"/>
      <c r="F123" s="75"/>
    </row>
    <row r="124" spans="2:6" s="50" customFormat="1" outlineLevel="2" x14ac:dyDescent="0.3">
      <c r="B124" s="444" t="s">
        <v>3741</v>
      </c>
      <c r="C124" s="438" t="s">
        <v>2940</v>
      </c>
      <c r="D124" s="63" t="s">
        <v>299</v>
      </c>
      <c r="E124" s="430"/>
      <c r="F124" s="75"/>
    </row>
    <row r="125" spans="2:6" s="50" customFormat="1" outlineLevel="2" x14ac:dyDescent="0.3">
      <c r="B125" s="444" t="s">
        <v>3742</v>
      </c>
      <c r="C125" s="438" t="s">
        <v>2941</v>
      </c>
      <c r="D125" s="63" t="s">
        <v>299</v>
      </c>
      <c r="E125" s="430"/>
      <c r="F125" s="75"/>
    </row>
    <row r="126" spans="2:6" s="50" customFormat="1" outlineLevel="2" x14ac:dyDescent="0.3">
      <c r="B126" s="444" t="s">
        <v>3743</v>
      </c>
      <c r="C126" s="438" t="s">
        <v>2942</v>
      </c>
      <c r="D126" s="63" t="s">
        <v>299</v>
      </c>
      <c r="E126" s="430"/>
      <c r="F126" s="75"/>
    </row>
    <row r="127" spans="2:6" s="50" customFormat="1" outlineLevel="2" x14ac:dyDescent="0.3">
      <c r="B127" s="444" t="s">
        <v>3744</v>
      </c>
      <c r="C127" s="438" t="s">
        <v>2943</v>
      </c>
      <c r="D127" s="63" t="s">
        <v>299</v>
      </c>
      <c r="E127" s="430"/>
      <c r="F127" s="75"/>
    </row>
    <row r="128" spans="2:6" s="50" customFormat="1" outlineLevel="2" x14ac:dyDescent="0.3">
      <c r="B128" s="444" t="s">
        <v>3745</v>
      </c>
      <c r="C128" s="438" t="s">
        <v>2944</v>
      </c>
      <c r="D128" s="63" t="s">
        <v>299</v>
      </c>
      <c r="E128" s="430"/>
      <c r="F128" s="75"/>
    </row>
    <row r="129" spans="2:6" s="50" customFormat="1" outlineLevel="2" x14ac:dyDescent="0.3">
      <c r="B129" s="444" t="s">
        <v>3746</v>
      </c>
      <c r="C129" s="438" t="s">
        <v>2945</v>
      </c>
      <c r="D129" s="63" t="s">
        <v>299</v>
      </c>
      <c r="E129" s="430"/>
      <c r="F129" s="75"/>
    </row>
    <row r="130" spans="2:6" s="50" customFormat="1" outlineLevel="2" x14ac:dyDescent="0.3">
      <c r="B130" s="444" t="s">
        <v>3747</v>
      </c>
      <c r="C130" s="438" t="s">
        <v>2946</v>
      </c>
      <c r="D130" s="63" t="s">
        <v>299</v>
      </c>
      <c r="E130" s="430"/>
      <c r="F130" s="75"/>
    </row>
    <row r="131" spans="2:6" s="50" customFormat="1" outlineLevel="2" x14ac:dyDescent="0.3">
      <c r="B131" s="444" t="s">
        <v>3748</v>
      </c>
      <c r="C131" s="438" t="s">
        <v>2947</v>
      </c>
      <c r="D131" s="63" t="s">
        <v>299</v>
      </c>
      <c r="E131" s="430"/>
      <c r="F131" s="75"/>
    </row>
    <row r="132" spans="2:6" s="50" customFormat="1" outlineLevel="2" x14ac:dyDescent="0.3">
      <c r="B132" s="444" t="s">
        <v>3749</v>
      </c>
      <c r="C132" s="438" t="s">
        <v>2948</v>
      </c>
      <c r="D132" s="63" t="s">
        <v>299</v>
      </c>
      <c r="E132" s="430"/>
      <c r="F132" s="75"/>
    </row>
    <row r="133" spans="2:6" s="50" customFormat="1" outlineLevel="2" x14ac:dyDescent="0.3">
      <c r="B133" s="444" t="s">
        <v>3750</v>
      </c>
      <c r="C133" s="438" t="s">
        <v>2949</v>
      </c>
      <c r="D133" s="63" t="s">
        <v>299</v>
      </c>
      <c r="E133" s="430"/>
      <c r="F133" s="75"/>
    </row>
    <row r="134" spans="2:6" s="50" customFormat="1" outlineLevel="2" x14ac:dyDescent="0.3">
      <c r="B134" s="444" t="s">
        <v>3751</v>
      </c>
      <c r="C134" s="438" t="s">
        <v>2950</v>
      </c>
      <c r="D134" s="63" t="s">
        <v>299</v>
      </c>
      <c r="E134" s="430"/>
      <c r="F134" s="75"/>
    </row>
    <row r="135" spans="2:6" s="50" customFormat="1" outlineLevel="2" x14ac:dyDescent="0.3">
      <c r="B135" s="444" t="s">
        <v>3752</v>
      </c>
      <c r="C135" s="438" t="s">
        <v>2951</v>
      </c>
      <c r="D135" s="63" t="s">
        <v>299</v>
      </c>
      <c r="E135" s="430"/>
      <c r="F135" s="75"/>
    </row>
    <row r="136" spans="2:6" s="50" customFormat="1" outlineLevel="2" x14ac:dyDescent="0.3">
      <c r="B136" s="444" t="s">
        <v>3753</v>
      </c>
      <c r="C136" s="438" t="s">
        <v>2952</v>
      </c>
      <c r="D136" s="63" t="s">
        <v>299</v>
      </c>
      <c r="E136" s="430"/>
      <c r="F136" s="75"/>
    </row>
    <row r="137" spans="2:6" s="50" customFormat="1" outlineLevel="2" x14ac:dyDescent="0.3">
      <c r="B137" s="444" t="s">
        <v>3754</v>
      </c>
      <c r="C137" s="438" t="s">
        <v>2953</v>
      </c>
      <c r="D137" s="63" t="s">
        <v>299</v>
      </c>
      <c r="E137" s="430"/>
      <c r="F137" s="75"/>
    </row>
    <row r="138" spans="2:6" s="50" customFormat="1" outlineLevel="2" x14ac:dyDescent="0.3">
      <c r="B138" s="444" t="s">
        <v>3755</v>
      </c>
      <c r="C138" s="438" t="s">
        <v>2954</v>
      </c>
      <c r="D138" s="63" t="s">
        <v>299</v>
      </c>
      <c r="E138" s="430"/>
      <c r="F138" s="75"/>
    </row>
    <row r="139" spans="2:6" outlineLevel="1" x14ac:dyDescent="0.3">
      <c r="B139" s="444" t="s">
        <v>3756</v>
      </c>
      <c r="C139" s="437" t="s">
        <v>1845</v>
      </c>
      <c r="D139" s="59" t="s">
        <v>4656</v>
      </c>
      <c r="E139" s="429">
        <f>SUM(E140:E159)</f>
        <v>0</v>
      </c>
      <c r="F139" s="74">
        <f>SUM(F140:F159)</f>
        <v>0</v>
      </c>
    </row>
    <row r="140" spans="2:6" s="50" customFormat="1" outlineLevel="2" x14ac:dyDescent="0.3">
      <c r="B140" s="444" t="s">
        <v>3757</v>
      </c>
      <c r="C140" s="438" t="s">
        <v>2955</v>
      </c>
      <c r="D140" s="62" t="s">
        <v>299</v>
      </c>
      <c r="E140" s="430"/>
      <c r="F140" s="75"/>
    </row>
    <row r="141" spans="2:6" s="50" customFormat="1" outlineLevel="2" x14ac:dyDescent="0.3">
      <c r="B141" s="444" t="s">
        <v>3758</v>
      </c>
      <c r="C141" s="438" t="s">
        <v>2956</v>
      </c>
      <c r="D141" s="63" t="s">
        <v>299</v>
      </c>
      <c r="E141" s="430"/>
      <c r="F141" s="75"/>
    </row>
    <row r="142" spans="2:6" s="50" customFormat="1" outlineLevel="2" x14ac:dyDescent="0.3">
      <c r="B142" s="444" t="s">
        <v>3759</v>
      </c>
      <c r="C142" s="438" t="s">
        <v>2957</v>
      </c>
      <c r="D142" s="63" t="s">
        <v>299</v>
      </c>
      <c r="E142" s="430"/>
      <c r="F142" s="75"/>
    </row>
    <row r="143" spans="2:6" s="50" customFormat="1" outlineLevel="2" x14ac:dyDescent="0.3">
      <c r="B143" s="444" t="s">
        <v>3760</v>
      </c>
      <c r="C143" s="438" t="s">
        <v>2958</v>
      </c>
      <c r="D143" s="63" t="s">
        <v>299</v>
      </c>
      <c r="E143" s="430"/>
      <c r="F143" s="75"/>
    </row>
    <row r="144" spans="2:6" s="50" customFormat="1" outlineLevel="2" x14ac:dyDescent="0.3">
      <c r="B144" s="444" t="s">
        <v>3761</v>
      </c>
      <c r="C144" s="438" t="s">
        <v>2959</v>
      </c>
      <c r="D144" s="63" t="s">
        <v>299</v>
      </c>
      <c r="E144" s="430"/>
      <c r="F144" s="75"/>
    </row>
    <row r="145" spans="2:6" s="50" customFormat="1" outlineLevel="2" x14ac:dyDescent="0.3">
      <c r="B145" s="444" t="s">
        <v>3762</v>
      </c>
      <c r="C145" s="438" t="s">
        <v>2960</v>
      </c>
      <c r="D145" s="63" t="s">
        <v>299</v>
      </c>
      <c r="E145" s="430"/>
      <c r="F145" s="75"/>
    </row>
    <row r="146" spans="2:6" s="50" customFormat="1" outlineLevel="2" x14ac:dyDescent="0.3">
      <c r="B146" s="444" t="s">
        <v>3763</v>
      </c>
      <c r="C146" s="438" t="s">
        <v>2961</v>
      </c>
      <c r="D146" s="63" t="s">
        <v>299</v>
      </c>
      <c r="E146" s="430"/>
      <c r="F146" s="75"/>
    </row>
    <row r="147" spans="2:6" s="50" customFormat="1" outlineLevel="2" x14ac:dyDescent="0.3">
      <c r="B147" s="444" t="s">
        <v>3764</v>
      </c>
      <c r="C147" s="438" t="s">
        <v>2962</v>
      </c>
      <c r="D147" s="63" t="s">
        <v>299</v>
      </c>
      <c r="E147" s="430"/>
      <c r="F147" s="75"/>
    </row>
    <row r="148" spans="2:6" s="50" customFormat="1" outlineLevel="2" x14ac:dyDescent="0.3">
      <c r="B148" s="444" t="s">
        <v>3765</v>
      </c>
      <c r="C148" s="438" t="s">
        <v>2963</v>
      </c>
      <c r="D148" s="63" t="s">
        <v>299</v>
      </c>
      <c r="E148" s="430"/>
      <c r="F148" s="75"/>
    </row>
    <row r="149" spans="2:6" s="50" customFormat="1" outlineLevel="2" x14ac:dyDescent="0.3">
      <c r="B149" s="444" t="s">
        <v>3766</v>
      </c>
      <c r="C149" s="438" t="s">
        <v>2964</v>
      </c>
      <c r="D149" s="63" t="s">
        <v>299</v>
      </c>
      <c r="E149" s="430"/>
      <c r="F149" s="75"/>
    </row>
    <row r="150" spans="2:6" s="50" customFormat="1" outlineLevel="2" x14ac:dyDescent="0.3">
      <c r="B150" s="444" t="s">
        <v>3767</v>
      </c>
      <c r="C150" s="438" t="s">
        <v>2965</v>
      </c>
      <c r="D150" s="63" t="s">
        <v>299</v>
      </c>
      <c r="E150" s="430"/>
      <c r="F150" s="75"/>
    </row>
    <row r="151" spans="2:6" s="50" customFormat="1" outlineLevel="2" x14ac:dyDescent="0.3">
      <c r="B151" s="444" t="s">
        <v>3768</v>
      </c>
      <c r="C151" s="438" t="s">
        <v>2966</v>
      </c>
      <c r="D151" s="63" t="s">
        <v>299</v>
      </c>
      <c r="E151" s="430"/>
      <c r="F151" s="75"/>
    </row>
    <row r="152" spans="2:6" s="50" customFormat="1" outlineLevel="2" x14ac:dyDescent="0.3">
      <c r="B152" s="444" t="s">
        <v>3769</v>
      </c>
      <c r="C152" s="438" t="s">
        <v>2967</v>
      </c>
      <c r="D152" s="63" t="s">
        <v>299</v>
      </c>
      <c r="E152" s="430"/>
      <c r="F152" s="75"/>
    </row>
    <row r="153" spans="2:6" s="50" customFormat="1" outlineLevel="2" x14ac:dyDescent="0.3">
      <c r="B153" s="444" t="s">
        <v>3770</v>
      </c>
      <c r="C153" s="438" t="s">
        <v>2968</v>
      </c>
      <c r="D153" s="63" t="s">
        <v>299</v>
      </c>
      <c r="E153" s="430"/>
      <c r="F153" s="75"/>
    </row>
    <row r="154" spans="2:6" s="50" customFormat="1" outlineLevel="2" x14ac:dyDescent="0.3">
      <c r="B154" s="444" t="s">
        <v>3771</v>
      </c>
      <c r="C154" s="438" t="s">
        <v>2969</v>
      </c>
      <c r="D154" s="63" t="s">
        <v>299</v>
      </c>
      <c r="E154" s="430"/>
      <c r="F154" s="75"/>
    </row>
    <row r="155" spans="2:6" s="50" customFormat="1" outlineLevel="2" x14ac:dyDescent="0.3">
      <c r="B155" s="444" t="s">
        <v>3772</v>
      </c>
      <c r="C155" s="438" t="s">
        <v>2970</v>
      </c>
      <c r="D155" s="63" t="s">
        <v>299</v>
      </c>
      <c r="E155" s="430"/>
      <c r="F155" s="75"/>
    </row>
    <row r="156" spans="2:6" s="50" customFormat="1" outlineLevel="2" x14ac:dyDescent="0.3">
      <c r="B156" s="444" t="s">
        <v>3773</v>
      </c>
      <c r="C156" s="438" t="s">
        <v>2971</v>
      </c>
      <c r="D156" s="63" t="s">
        <v>299</v>
      </c>
      <c r="E156" s="430"/>
      <c r="F156" s="75"/>
    </row>
    <row r="157" spans="2:6" s="50" customFormat="1" outlineLevel="2" x14ac:dyDescent="0.3">
      <c r="B157" s="444" t="s">
        <v>3774</v>
      </c>
      <c r="C157" s="438" t="s">
        <v>2972</v>
      </c>
      <c r="D157" s="63" t="s">
        <v>299</v>
      </c>
      <c r="E157" s="430"/>
      <c r="F157" s="75"/>
    </row>
    <row r="158" spans="2:6" s="50" customFormat="1" outlineLevel="2" x14ac:dyDescent="0.3">
      <c r="B158" s="444" t="s">
        <v>3775</v>
      </c>
      <c r="C158" s="438" t="s">
        <v>2973</v>
      </c>
      <c r="D158" s="63" t="s">
        <v>299</v>
      </c>
      <c r="E158" s="430"/>
      <c r="F158" s="75"/>
    </row>
    <row r="159" spans="2:6" s="50" customFormat="1" outlineLevel="2" x14ac:dyDescent="0.3">
      <c r="B159" s="444" t="s">
        <v>3776</v>
      </c>
      <c r="C159" s="438" t="s">
        <v>2974</v>
      </c>
      <c r="D159" s="63" t="s">
        <v>299</v>
      </c>
      <c r="E159" s="430"/>
      <c r="F159" s="75"/>
    </row>
    <row r="160" spans="2:6" outlineLevel="1" x14ac:dyDescent="0.3">
      <c r="B160" s="444" t="s">
        <v>3777</v>
      </c>
      <c r="C160" s="437" t="s">
        <v>1846</v>
      </c>
      <c r="D160" s="59" t="s">
        <v>295</v>
      </c>
      <c r="E160" s="429">
        <f>SUM(E161:E180)</f>
        <v>0</v>
      </c>
      <c r="F160" s="74">
        <f>SUM(F161:F180)</f>
        <v>0</v>
      </c>
    </row>
    <row r="161" spans="2:6" s="50" customFormat="1" outlineLevel="2" x14ac:dyDescent="0.3">
      <c r="B161" s="444" t="s">
        <v>3778</v>
      </c>
      <c r="C161" s="438" t="s">
        <v>2975</v>
      </c>
      <c r="D161" s="62" t="s">
        <v>299</v>
      </c>
      <c r="E161" s="430"/>
      <c r="F161" s="75"/>
    </row>
    <row r="162" spans="2:6" s="50" customFormat="1" outlineLevel="2" x14ac:dyDescent="0.3">
      <c r="B162" s="444" t="s">
        <v>3779</v>
      </c>
      <c r="C162" s="438" t="s">
        <v>2976</v>
      </c>
      <c r="D162" s="63" t="s">
        <v>299</v>
      </c>
      <c r="E162" s="430"/>
      <c r="F162" s="75"/>
    </row>
    <row r="163" spans="2:6" s="50" customFormat="1" outlineLevel="2" x14ac:dyDescent="0.3">
      <c r="B163" s="444" t="s">
        <v>3780</v>
      </c>
      <c r="C163" s="438" t="s">
        <v>2977</v>
      </c>
      <c r="D163" s="63" t="s">
        <v>299</v>
      </c>
      <c r="E163" s="430"/>
      <c r="F163" s="75"/>
    </row>
    <row r="164" spans="2:6" s="50" customFormat="1" outlineLevel="2" x14ac:dyDescent="0.3">
      <c r="B164" s="444" t="s">
        <v>3781</v>
      </c>
      <c r="C164" s="438" t="s">
        <v>2978</v>
      </c>
      <c r="D164" s="63" t="s">
        <v>299</v>
      </c>
      <c r="E164" s="430"/>
      <c r="F164" s="75"/>
    </row>
    <row r="165" spans="2:6" s="50" customFormat="1" outlineLevel="2" x14ac:dyDescent="0.3">
      <c r="B165" s="444" t="s">
        <v>3782</v>
      </c>
      <c r="C165" s="438" t="s">
        <v>2979</v>
      </c>
      <c r="D165" s="63" t="s">
        <v>299</v>
      </c>
      <c r="E165" s="430"/>
      <c r="F165" s="75"/>
    </row>
    <row r="166" spans="2:6" s="50" customFormat="1" outlineLevel="2" x14ac:dyDescent="0.3">
      <c r="B166" s="444" t="s">
        <v>3783</v>
      </c>
      <c r="C166" s="438" t="s">
        <v>2980</v>
      </c>
      <c r="D166" s="63" t="s">
        <v>299</v>
      </c>
      <c r="E166" s="430"/>
      <c r="F166" s="75"/>
    </row>
    <row r="167" spans="2:6" s="50" customFormat="1" outlineLevel="2" x14ac:dyDescent="0.3">
      <c r="B167" s="444" t="s">
        <v>3784</v>
      </c>
      <c r="C167" s="438" t="s">
        <v>2981</v>
      </c>
      <c r="D167" s="63" t="s">
        <v>299</v>
      </c>
      <c r="E167" s="430"/>
      <c r="F167" s="75"/>
    </row>
    <row r="168" spans="2:6" s="50" customFormat="1" outlineLevel="2" x14ac:dyDescent="0.3">
      <c r="B168" s="444" t="s">
        <v>3785</v>
      </c>
      <c r="C168" s="438" t="s">
        <v>2982</v>
      </c>
      <c r="D168" s="63" t="s">
        <v>299</v>
      </c>
      <c r="E168" s="430"/>
      <c r="F168" s="75"/>
    </row>
    <row r="169" spans="2:6" s="50" customFormat="1" outlineLevel="2" x14ac:dyDescent="0.3">
      <c r="B169" s="444" t="s">
        <v>3786</v>
      </c>
      <c r="C169" s="438" t="s">
        <v>2983</v>
      </c>
      <c r="D169" s="63" t="s">
        <v>299</v>
      </c>
      <c r="E169" s="430"/>
      <c r="F169" s="75"/>
    </row>
    <row r="170" spans="2:6" s="50" customFormat="1" outlineLevel="2" x14ac:dyDescent="0.3">
      <c r="B170" s="444" t="s">
        <v>3787</v>
      </c>
      <c r="C170" s="438" t="s">
        <v>2984</v>
      </c>
      <c r="D170" s="63" t="s">
        <v>299</v>
      </c>
      <c r="E170" s="430"/>
      <c r="F170" s="75"/>
    </row>
    <row r="171" spans="2:6" s="50" customFormat="1" outlineLevel="2" x14ac:dyDescent="0.3">
      <c r="B171" s="444" t="s">
        <v>3788</v>
      </c>
      <c r="C171" s="438" t="s">
        <v>2985</v>
      </c>
      <c r="D171" s="63" t="s">
        <v>299</v>
      </c>
      <c r="E171" s="430"/>
      <c r="F171" s="75"/>
    </row>
    <row r="172" spans="2:6" s="50" customFormat="1" outlineLevel="2" x14ac:dyDescent="0.3">
      <c r="B172" s="444" t="s">
        <v>3789</v>
      </c>
      <c r="C172" s="438" t="s">
        <v>2986</v>
      </c>
      <c r="D172" s="63" t="s">
        <v>299</v>
      </c>
      <c r="E172" s="430"/>
      <c r="F172" s="75"/>
    </row>
    <row r="173" spans="2:6" s="50" customFormat="1" outlineLevel="2" x14ac:dyDescent="0.3">
      <c r="B173" s="444" t="s">
        <v>3790</v>
      </c>
      <c r="C173" s="438" t="s">
        <v>2987</v>
      </c>
      <c r="D173" s="63" t="s">
        <v>299</v>
      </c>
      <c r="E173" s="430"/>
      <c r="F173" s="75"/>
    </row>
    <row r="174" spans="2:6" s="50" customFormat="1" outlineLevel="2" x14ac:dyDescent="0.3">
      <c r="B174" s="444" t="s">
        <v>3791</v>
      </c>
      <c r="C174" s="438" t="s">
        <v>2988</v>
      </c>
      <c r="D174" s="63" t="s">
        <v>299</v>
      </c>
      <c r="E174" s="430"/>
      <c r="F174" s="75"/>
    </row>
    <row r="175" spans="2:6" s="50" customFormat="1" outlineLevel="2" x14ac:dyDescent="0.3">
      <c r="B175" s="444" t="s">
        <v>3792</v>
      </c>
      <c r="C175" s="438" t="s">
        <v>2989</v>
      </c>
      <c r="D175" s="63" t="s">
        <v>299</v>
      </c>
      <c r="E175" s="430"/>
      <c r="F175" s="75"/>
    </row>
    <row r="176" spans="2:6" s="50" customFormat="1" outlineLevel="2" x14ac:dyDescent="0.3">
      <c r="B176" s="444" t="s">
        <v>3793</v>
      </c>
      <c r="C176" s="438" t="s">
        <v>2990</v>
      </c>
      <c r="D176" s="63" t="s">
        <v>299</v>
      </c>
      <c r="E176" s="430"/>
      <c r="F176" s="75"/>
    </row>
    <row r="177" spans="2:6" s="50" customFormat="1" outlineLevel="2" x14ac:dyDescent="0.3">
      <c r="B177" s="444" t="s">
        <v>3794</v>
      </c>
      <c r="C177" s="438" t="s">
        <v>2991</v>
      </c>
      <c r="D177" s="63" t="s">
        <v>299</v>
      </c>
      <c r="E177" s="430"/>
      <c r="F177" s="75"/>
    </row>
    <row r="178" spans="2:6" s="50" customFormat="1" outlineLevel="2" x14ac:dyDescent="0.3">
      <c r="B178" s="444" t="s">
        <v>3795</v>
      </c>
      <c r="C178" s="438" t="s">
        <v>2992</v>
      </c>
      <c r="D178" s="63" t="s">
        <v>299</v>
      </c>
      <c r="E178" s="430"/>
      <c r="F178" s="75"/>
    </row>
    <row r="179" spans="2:6" s="50" customFormat="1" outlineLevel="2" x14ac:dyDescent="0.3">
      <c r="B179" s="444" t="s">
        <v>3796</v>
      </c>
      <c r="C179" s="438" t="s">
        <v>2993</v>
      </c>
      <c r="D179" s="63" t="s">
        <v>299</v>
      </c>
      <c r="E179" s="430"/>
      <c r="F179" s="75"/>
    </row>
    <row r="180" spans="2:6" s="50" customFormat="1" outlineLevel="2" x14ac:dyDescent="0.3">
      <c r="B180" s="444" t="s">
        <v>3797</v>
      </c>
      <c r="C180" s="438" t="s">
        <v>2994</v>
      </c>
      <c r="D180" s="63" t="s">
        <v>299</v>
      </c>
      <c r="E180" s="430"/>
      <c r="F180" s="75"/>
    </row>
    <row r="181" spans="2:6" outlineLevel="1" x14ac:dyDescent="0.3">
      <c r="B181" s="444" t="s">
        <v>3798</v>
      </c>
      <c r="C181" s="437" t="s">
        <v>1847</v>
      </c>
      <c r="D181" s="59" t="s">
        <v>4657</v>
      </c>
      <c r="E181" s="429">
        <f>SUM(E182:E201)</f>
        <v>0</v>
      </c>
      <c r="F181" s="74">
        <f>SUM(F182:F201)</f>
        <v>0</v>
      </c>
    </row>
    <row r="182" spans="2:6" s="50" customFormat="1" outlineLevel="2" x14ac:dyDescent="0.3">
      <c r="B182" s="444" t="s">
        <v>3799</v>
      </c>
      <c r="C182" s="438" t="s">
        <v>2995</v>
      </c>
      <c r="D182" s="62" t="s">
        <v>299</v>
      </c>
      <c r="E182" s="430"/>
      <c r="F182" s="75"/>
    </row>
    <row r="183" spans="2:6" s="50" customFormat="1" outlineLevel="2" x14ac:dyDescent="0.3">
      <c r="B183" s="444" t="s">
        <v>3800</v>
      </c>
      <c r="C183" s="438" t="s">
        <v>2996</v>
      </c>
      <c r="D183" s="63" t="s">
        <v>299</v>
      </c>
      <c r="E183" s="430"/>
      <c r="F183" s="75"/>
    </row>
    <row r="184" spans="2:6" s="50" customFormat="1" outlineLevel="2" x14ac:dyDescent="0.3">
      <c r="B184" s="444" t="s">
        <v>3801</v>
      </c>
      <c r="C184" s="438" t="s">
        <v>2997</v>
      </c>
      <c r="D184" s="63" t="s">
        <v>299</v>
      </c>
      <c r="E184" s="430"/>
      <c r="F184" s="75"/>
    </row>
    <row r="185" spans="2:6" s="50" customFormat="1" outlineLevel="2" x14ac:dyDescent="0.3">
      <c r="B185" s="444" t="s">
        <v>3802</v>
      </c>
      <c r="C185" s="438" t="s">
        <v>2998</v>
      </c>
      <c r="D185" s="63" t="s">
        <v>299</v>
      </c>
      <c r="E185" s="430"/>
      <c r="F185" s="75"/>
    </row>
    <row r="186" spans="2:6" s="50" customFormat="1" outlineLevel="2" x14ac:dyDescent="0.3">
      <c r="B186" s="444" t="s">
        <v>3803</v>
      </c>
      <c r="C186" s="438" t="s">
        <v>2999</v>
      </c>
      <c r="D186" s="63" t="s">
        <v>299</v>
      </c>
      <c r="E186" s="430"/>
      <c r="F186" s="75"/>
    </row>
    <row r="187" spans="2:6" s="50" customFormat="1" outlineLevel="2" x14ac:dyDescent="0.3">
      <c r="B187" s="444" t="s">
        <v>3804</v>
      </c>
      <c r="C187" s="438" t="s">
        <v>3000</v>
      </c>
      <c r="D187" s="63" t="s">
        <v>299</v>
      </c>
      <c r="E187" s="430"/>
      <c r="F187" s="75"/>
    </row>
    <row r="188" spans="2:6" s="50" customFormat="1" outlineLevel="2" x14ac:dyDescent="0.3">
      <c r="B188" s="444" t="s">
        <v>3805</v>
      </c>
      <c r="C188" s="438" t="s">
        <v>3001</v>
      </c>
      <c r="D188" s="63" t="s">
        <v>299</v>
      </c>
      <c r="E188" s="430"/>
      <c r="F188" s="75"/>
    </row>
    <row r="189" spans="2:6" s="50" customFormat="1" outlineLevel="2" x14ac:dyDescent="0.3">
      <c r="B189" s="444" t="s">
        <v>3806</v>
      </c>
      <c r="C189" s="438" t="s">
        <v>3002</v>
      </c>
      <c r="D189" s="63" t="s">
        <v>299</v>
      </c>
      <c r="E189" s="430"/>
      <c r="F189" s="75"/>
    </row>
    <row r="190" spans="2:6" s="50" customFormat="1" outlineLevel="2" x14ac:dyDescent="0.3">
      <c r="B190" s="444" t="s">
        <v>3807</v>
      </c>
      <c r="C190" s="438" t="s">
        <v>3003</v>
      </c>
      <c r="D190" s="63" t="s">
        <v>299</v>
      </c>
      <c r="E190" s="430"/>
      <c r="F190" s="75"/>
    </row>
    <row r="191" spans="2:6" s="50" customFormat="1" outlineLevel="2" x14ac:dyDescent="0.3">
      <c r="B191" s="444" t="s">
        <v>3808</v>
      </c>
      <c r="C191" s="438" t="s">
        <v>3004</v>
      </c>
      <c r="D191" s="63" t="s">
        <v>299</v>
      </c>
      <c r="E191" s="430"/>
      <c r="F191" s="75"/>
    </row>
    <row r="192" spans="2:6" s="50" customFormat="1" outlineLevel="2" x14ac:dyDescent="0.3">
      <c r="B192" s="444" t="s">
        <v>3809</v>
      </c>
      <c r="C192" s="438" t="s">
        <v>3005</v>
      </c>
      <c r="D192" s="63" t="s">
        <v>299</v>
      </c>
      <c r="E192" s="430"/>
      <c r="F192" s="75"/>
    </row>
    <row r="193" spans="2:6" s="50" customFormat="1" outlineLevel="2" x14ac:dyDescent="0.3">
      <c r="B193" s="444" t="s">
        <v>3810</v>
      </c>
      <c r="C193" s="438" t="s">
        <v>3006</v>
      </c>
      <c r="D193" s="63" t="s">
        <v>299</v>
      </c>
      <c r="E193" s="430"/>
      <c r="F193" s="75"/>
    </row>
    <row r="194" spans="2:6" s="50" customFormat="1" outlineLevel="2" x14ac:dyDescent="0.3">
      <c r="B194" s="444" t="s">
        <v>3811</v>
      </c>
      <c r="C194" s="438" t="s">
        <v>3007</v>
      </c>
      <c r="D194" s="63" t="s">
        <v>299</v>
      </c>
      <c r="E194" s="430"/>
      <c r="F194" s="75"/>
    </row>
    <row r="195" spans="2:6" s="50" customFormat="1" outlineLevel="2" x14ac:dyDescent="0.3">
      <c r="B195" s="444" t="s">
        <v>3812</v>
      </c>
      <c r="C195" s="438" t="s">
        <v>3008</v>
      </c>
      <c r="D195" s="63" t="s">
        <v>299</v>
      </c>
      <c r="E195" s="430"/>
      <c r="F195" s="75"/>
    </row>
    <row r="196" spans="2:6" s="50" customFormat="1" outlineLevel="2" x14ac:dyDescent="0.3">
      <c r="B196" s="444" t="s">
        <v>3813</v>
      </c>
      <c r="C196" s="438" t="s">
        <v>3009</v>
      </c>
      <c r="D196" s="63" t="s">
        <v>299</v>
      </c>
      <c r="E196" s="430"/>
      <c r="F196" s="75"/>
    </row>
    <row r="197" spans="2:6" s="50" customFormat="1" outlineLevel="2" x14ac:dyDescent="0.3">
      <c r="B197" s="444" t="s">
        <v>3814</v>
      </c>
      <c r="C197" s="438" t="s">
        <v>3010</v>
      </c>
      <c r="D197" s="63" t="s">
        <v>299</v>
      </c>
      <c r="E197" s="430"/>
      <c r="F197" s="75"/>
    </row>
    <row r="198" spans="2:6" s="50" customFormat="1" outlineLevel="2" x14ac:dyDescent="0.3">
      <c r="B198" s="444" t="s">
        <v>3815</v>
      </c>
      <c r="C198" s="438" t="s">
        <v>3011</v>
      </c>
      <c r="D198" s="63" t="s">
        <v>299</v>
      </c>
      <c r="E198" s="430"/>
      <c r="F198" s="75"/>
    </row>
    <row r="199" spans="2:6" s="50" customFormat="1" outlineLevel="2" x14ac:dyDescent="0.3">
      <c r="B199" s="444" t="s">
        <v>3816</v>
      </c>
      <c r="C199" s="438" t="s">
        <v>3012</v>
      </c>
      <c r="D199" s="63" t="s">
        <v>299</v>
      </c>
      <c r="E199" s="430"/>
      <c r="F199" s="75"/>
    </row>
    <row r="200" spans="2:6" s="50" customFormat="1" outlineLevel="2" x14ac:dyDescent="0.3">
      <c r="B200" s="444" t="s">
        <v>3817</v>
      </c>
      <c r="C200" s="438" t="s">
        <v>3013</v>
      </c>
      <c r="D200" s="63" t="s">
        <v>299</v>
      </c>
      <c r="E200" s="430"/>
      <c r="F200" s="75"/>
    </row>
    <row r="201" spans="2:6" s="50" customFormat="1" outlineLevel="2" x14ac:dyDescent="0.3">
      <c r="B201" s="444" t="s">
        <v>3818</v>
      </c>
      <c r="C201" s="438" t="s">
        <v>3014</v>
      </c>
      <c r="D201" s="63" t="s">
        <v>299</v>
      </c>
      <c r="E201" s="430"/>
      <c r="F201" s="75"/>
    </row>
    <row r="202" spans="2:6" s="68" customFormat="1" x14ac:dyDescent="0.3">
      <c r="B202" s="444" t="s">
        <v>3819</v>
      </c>
      <c r="C202" s="436">
        <v>7.4</v>
      </c>
      <c r="D202" s="67" t="s">
        <v>283</v>
      </c>
      <c r="E202" s="428">
        <f>E203+E224+E245+E266</f>
        <v>0</v>
      </c>
      <c r="F202" s="73">
        <f>F203+F224+F245+F266</f>
        <v>0</v>
      </c>
    </row>
    <row r="203" spans="2:6" outlineLevel="1" x14ac:dyDescent="0.3">
      <c r="B203" s="444" t="s">
        <v>3820</v>
      </c>
      <c r="C203" s="437" t="s">
        <v>1844</v>
      </c>
      <c r="D203" s="59" t="s">
        <v>288</v>
      </c>
      <c r="E203" s="429">
        <f>SUM(E204:E223)</f>
        <v>0</v>
      </c>
      <c r="F203" s="74">
        <f>SUM(F204:F223)</f>
        <v>0</v>
      </c>
    </row>
    <row r="204" spans="2:6" s="50" customFormat="1" outlineLevel="2" x14ac:dyDescent="0.3">
      <c r="B204" s="444" t="s">
        <v>3821</v>
      </c>
      <c r="C204" s="438" t="s">
        <v>3015</v>
      </c>
      <c r="D204" s="62" t="s">
        <v>299</v>
      </c>
      <c r="E204" s="430"/>
      <c r="F204" s="75"/>
    </row>
    <row r="205" spans="2:6" s="50" customFormat="1" outlineLevel="2" x14ac:dyDescent="0.3">
      <c r="B205" s="444" t="s">
        <v>3822</v>
      </c>
      <c r="C205" s="438" t="s">
        <v>3016</v>
      </c>
      <c r="D205" s="63" t="s">
        <v>299</v>
      </c>
      <c r="E205" s="430"/>
      <c r="F205" s="75"/>
    </row>
    <row r="206" spans="2:6" s="50" customFormat="1" outlineLevel="2" x14ac:dyDescent="0.3">
      <c r="B206" s="444" t="s">
        <v>3823</v>
      </c>
      <c r="C206" s="438" t="s">
        <v>3017</v>
      </c>
      <c r="D206" s="63" t="s">
        <v>299</v>
      </c>
      <c r="E206" s="430"/>
      <c r="F206" s="75"/>
    </row>
    <row r="207" spans="2:6" s="50" customFormat="1" outlineLevel="2" x14ac:dyDescent="0.3">
      <c r="B207" s="444" t="s">
        <v>3824</v>
      </c>
      <c r="C207" s="438" t="s">
        <v>3018</v>
      </c>
      <c r="D207" s="63" t="s">
        <v>299</v>
      </c>
      <c r="E207" s="430"/>
      <c r="F207" s="75"/>
    </row>
    <row r="208" spans="2:6" s="50" customFormat="1" outlineLevel="2" x14ac:dyDescent="0.3">
      <c r="B208" s="444" t="s">
        <v>3825</v>
      </c>
      <c r="C208" s="438" t="s">
        <v>3019</v>
      </c>
      <c r="D208" s="63" t="s">
        <v>299</v>
      </c>
      <c r="E208" s="430"/>
      <c r="F208" s="75"/>
    </row>
    <row r="209" spans="2:6" s="50" customFormat="1" outlineLevel="2" x14ac:dyDescent="0.3">
      <c r="B209" s="444" t="s">
        <v>3826</v>
      </c>
      <c r="C209" s="438" t="s">
        <v>3020</v>
      </c>
      <c r="D209" s="63" t="s">
        <v>299</v>
      </c>
      <c r="E209" s="430"/>
      <c r="F209" s="75"/>
    </row>
    <row r="210" spans="2:6" s="50" customFormat="1" outlineLevel="2" x14ac:dyDescent="0.3">
      <c r="B210" s="444" t="s">
        <v>3827</v>
      </c>
      <c r="C210" s="438" t="s">
        <v>3021</v>
      </c>
      <c r="D210" s="63" t="s">
        <v>299</v>
      </c>
      <c r="E210" s="430"/>
      <c r="F210" s="75"/>
    </row>
    <row r="211" spans="2:6" s="50" customFormat="1" outlineLevel="2" x14ac:dyDescent="0.3">
      <c r="B211" s="444" t="s">
        <v>3828</v>
      </c>
      <c r="C211" s="438" t="s">
        <v>3022</v>
      </c>
      <c r="D211" s="63" t="s">
        <v>299</v>
      </c>
      <c r="E211" s="430"/>
      <c r="F211" s="75"/>
    </row>
    <row r="212" spans="2:6" s="50" customFormat="1" outlineLevel="2" x14ac:dyDescent="0.3">
      <c r="B212" s="444" t="s">
        <v>3829</v>
      </c>
      <c r="C212" s="438" t="s">
        <v>3023</v>
      </c>
      <c r="D212" s="63" t="s">
        <v>299</v>
      </c>
      <c r="E212" s="430"/>
      <c r="F212" s="75"/>
    </row>
    <row r="213" spans="2:6" s="50" customFormat="1" outlineLevel="2" x14ac:dyDescent="0.3">
      <c r="B213" s="444" t="s">
        <v>3830</v>
      </c>
      <c r="C213" s="438" t="s">
        <v>3024</v>
      </c>
      <c r="D213" s="63" t="s">
        <v>299</v>
      </c>
      <c r="E213" s="430"/>
      <c r="F213" s="75"/>
    </row>
    <row r="214" spans="2:6" s="50" customFormat="1" outlineLevel="2" x14ac:dyDescent="0.3">
      <c r="B214" s="444" t="s">
        <v>3831</v>
      </c>
      <c r="C214" s="438" t="s">
        <v>3025</v>
      </c>
      <c r="D214" s="63" t="s">
        <v>299</v>
      </c>
      <c r="E214" s="430"/>
      <c r="F214" s="75"/>
    </row>
    <row r="215" spans="2:6" s="50" customFormat="1" outlineLevel="2" x14ac:dyDescent="0.3">
      <c r="B215" s="444" t="s">
        <v>3832</v>
      </c>
      <c r="C215" s="438" t="s">
        <v>3026</v>
      </c>
      <c r="D215" s="63" t="s">
        <v>299</v>
      </c>
      <c r="E215" s="430"/>
      <c r="F215" s="75"/>
    </row>
    <row r="216" spans="2:6" s="50" customFormat="1" outlineLevel="2" x14ac:dyDescent="0.3">
      <c r="B216" s="444" t="s">
        <v>3833</v>
      </c>
      <c r="C216" s="438" t="s">
        <v>3027</v>
      </c>
      <c r="D216" s="63" t="s">
        <v>299</v>
      </c>
      <c r="E216" s="430"/>
      <c r="F216" s="75"/>
    </row>
    <row r="217" spans="2:6" s="50" customFormat="1" outlineLevel="2" x14ac:dyDescent="0.3">
      <c r="B217" s="444" t="s">
        <v>3834</v>
      </c>
      <c r="C217" s="438" t="s">
        <v>3028</v>
      </c>
      <c r="D217" s="63" t="s">
        <v>299</v>
      </c>
      <c r="E217" s="430"/>
      <c r="F217" s="75"/>
    </row>
    <row r="218" spans="2:6" s="50" customFormat="1" outlineLevel="2" x14ac:dyDescent="0.3">
      <c r="B218" s="444" t="s">
        <v>3835</v>
      </c>
      <c r="C218" s="438" t="s">
        <v>3029</v>
      </c>
      <c r="D218" s="63" t="s">
        <v>299</v>
      </c>
      <c r="E218" s="430"/>
      <c r="F218" s="75"/>
    </row>
    <row r="219" spans="2:6" s="50" customFormat="1" outlineLevel="2" x14ac:dyDescent="0.3">
      <c r="B219" s="444" t="s">
        <v>3836</v>
      </c>
      <c r="C219" s="438" t="s">
        <v>3030</v>
      </c>
      <c r="D219" s="63" t="s">
        <v>299</v>
      </c>
      <c r="E219" s="430"/>
      <c r="F219" s="75"/>
    </row>
    <row r="220" spans="2:6" s="50" customFormat="1" outlineLevel="2" x14ac:dyDescent="0.3">
      <c r="B220" s="444" t="s">
        <v>3837</v>
      </c>
      <c r="C220" s="438" t="s">
        <v>3031</v>
      </c>
      <c r="D220" s="63" t="s">
        <v>299</v>
      </c>
      <c r="E220" s="430"/>
      <c r="F220" s="75"/>
    </row>
    <row r="221" spans="2:6" s="50" customFormat="1" outlineLevel="2" x14ac:dyDescent="0.3">
      <c r="B221" s="444" t="s">
        <v>3838</v>
      </c>
      <c r="C221" s="438" t="s">
        <v>3032</v>
      </c>
      <c r="D221" s="63" t="s">
        <v>299</v>
      </c>
      <c r="E221" s="430"/>
      <c r="F221" s="75"/>
    </row>
    <row r="222" spans="2:6" s="50" customFormat="1" outlineLevel="2" x14ac:dyDescent="0.3">
      <c r="B222" s="444" t="s">
        <v>3839</v>
      </c>
      <c r="C222" s="438" t="s">
        <v>3033</v>
      </c>
      <c r="D222" s="63" t="s">
        <v>299</v>
      </c>
      <c r="E222" s="430"/>
      <c r="F222" s="75"/>
    </row>
    <row r="223" spans="2:6" s="50" customFormat="1" outlineLevel="2" x14ac:dyDescent="0.3">
      <c r="B223" s="444" t="s">
        <v>3840</v>
      </c>
      <c r="C223" s="438" t="s">
        <v>3034</v>
      </c>
      <c r="D223" s="63" t="s">
        <v>299</v>
      </c>
      <c r="E223" s="430"/>
      <c r="F223" s="75"/>
    </row>
    <row r="224" spans="2:6" outlineLevel="1" x14ac:dyDescent="0.3">
      <c r="B224" s="444" t="s">
        <v>3841</v>
      </c>
      <c r="C224" s="437" t="s">
        <v>1864</v>
      </c>
      <c r="D224" s="59" t="s">
        <v>4658</v>
      </c>
      <c r="E224" s="429">
        <f>SUM(E225:E244)</f>
        <v>0</v>
      </c>
      <c r="F224" s="74">
        <f>SUM(F225:F244)</f>
        <v>0</v>
      </c>
    </row>
    <row r="225" spans="2:6" s="50" customFormat="1" outlineLevel="2" x14ac:dyDescent="0.3">
      <c r="B225" s="444" t="s">
        <v>3842</v>
      </c>
      <c r="C225" s="438" t="s">
        <v>3035</v>
      </c>
      <c r="D225" s="62" t="s">
        <v>299</v>
      </c>
      <c r="E225" s="430"/>
      <c r="F225" s="75"/>
    </row>
    <row r="226" spans="2:6" s="50" customFormat="1" outlineLevel="2" x14ac:dyDescent="0.3">
      <c r="B226" s="444" t="s">
        <v>3843</v>
      </c>
      <c r="C226" s="438" t="s">
        <v>3036</v>
      </c>
      <c r="D226" s="63" t="s">
        <v>299</v>
      </c>
      <c r="E226" s="430"/>
      <c r="F226" s="75"/>
    </row>
    <row r="227" spans="2:6" s="50" customFormat="1" outlineLevel="2" x14ac:dyDescent="0.3">
      <c r="B227" s="444" t="s">
        <v>3844</v>
      </c>
      <c r="C227" s="438" t="s">
        <v>3037</v>
      </c>
      <c r="D227" s="63" t="s">
        <v>299</v>
      </c>
      <c r="E227" s="430"/>
      <c r="F227" s="75"/>
    </row>
    <row r="228" spans="2:6" s="50" customFormat="1" outlineLevel="2" x14ac:dyDescent="0.3">
      <c r="B228" s="444" t="s">
        <v>3845</v>
      </c>
      <c r="C228" s="438" t="s">
        <v>3038</v>
      </c>
      <c r="D228" s="63" t="s">
        <v>299</v>
      </c>
      <c r="E228" s="430"/>
      <c r="F228" s="75"/>
    </row>
    <row r="229" spans="2:6" s="50" customFormat="1" outlineLevel="2" x14ac:dyDescent="0.3">
      <c r="B229" s="444" t="s">
        <v>3846</v>
      </c>
      <c r="C229" s="438" t="s">
        <v>3039</v>
      </c>
      <c r="D229" s="63" t="s">
        <v>299</v>
      </c>
      <c r="E229" s="430"/>
      <c r="F229" s="75"/>
    </row>
    <row r="230" spans="2:6" s="50" customFormat="1" outlineLevel="2" x14ac:dyDescent="0.3">
      <c r="B230" s="444" t="s">
        <v>3847</v>
      </c>
      <c r="C230" s="438" t="s">
        <v>3040</v>
      </c>
      <c r="D230" s="63" t="s">
        <v>299</v>
      </c>
      <c r="E230" s="430"/>
      <c r="F230" s="75"/>
    </row>
    <row r="231" spans="2:6" s="50" customFormat="1" outlineLevel="2" x14ac:dyDescent="0.3">
      <c r="B231" s="444" t="s">
        <v>3848</v>
      </c>
      <c r="C231" s="438" t="s">
        <v>3041</v>
      </c>
      <c r="D231" s="63" t="s">
        <v>299</v>
      </c>
      <c r="E231" s="430"/>
      <c r="F231" s="75"/>
    </row>
    <row r="232" spans="2:6" s="50" customFormat="1" outlineLevel="2" x14ac:dyDescent="0.3">
      <c r="B232" s="444" t="s">
        <v>3849</v>
      </c>
      <c r="C232" s="438" t="s">
        <v>3042</v>
      </c>
      <c r="D232" s="63" t="s">
        <v>299</v>
      </c>
      <c r="E232" s="430"/>
      <c r="F232" s="75"/>
    </row>
    <row r="233" spans="2:6" s="50" customFormat="1" outlineLevel="2" x14ac:dyDescent="0.3">
      <c r="B233" s="444" t="s">
        <v>3850</v>
      </c>
      <c r="C233" s="438" t="s">
        <v>3043</v>
      </c>
      <c r="D233" s="63" t="s">
        <v>299</v>
      </c>
      <c r="E233" s="430"/>
      <c r="F233" s="75"/>
    </row>
    <row r="234" spans="2:6" s="50" customFormat="1" outlineLevel="2" x14ac:dyDescent="0.3">
      <c r="B234" s="444" t="s">
        <v>3851</v>
      </c>
      <c r="C234" s="438" t="s">
        <v>3044</v>
      </c>
      <c r="D234" s="63" t="s">
        <v>299</v>
      </c>
      <c r="E234" s="430"/>
      <c r="F234" s="75"/>
    </row>
    <row r="235" spans="2:6" s="50" customFormat="1" outlineLevel="2" x14ac:dyDescent="0.3">
      <c r="B235" s="444" t="s">
        <v>3852</v>
      </c>
      <c r="C235" s="438" t="s">
        <v>3045</v>
      </c>
      <c r="D235" s="63" t="s">
        <v>299</v>
      </c>
      <c r="E235" s="430"/>
      <c r="F235" s="75"/>
    </row>
    <row r="236" spans="2:6" s="50" customFormat="1" outlineLevel="2" x14ac:dyDescent="0.3">
      <c r="B236" s="444" t="s">
        <v>3853</v>
      </c>
      <c r="C236" s="438" t="s">
        <v>3046</v>
      </c>
      <c r="D236" s="63" t="s">
        <v>299</v>
      </c>
      <c r="E236" s="430"/>
      <c r="F236" s="75"/>
    </row>
    <row r="237" spans="2:6" s="50" customFormat="1" outlineLevel="2" x14ac:dyDescent="0.3">
      <c r="B237" s="444" t="s">
        <v>3854</v>
      </c>
      <c r="C237" s="438" t="s">
        <v>3047</v>
      </c>
      <c r="D237" s="63" t="s">
        <v>299</v>
      </c>
      <c r="E237" s="430"/>
      <c r="F237" s="75"/>
    </row>
    <row r="238" spans="2:6" s="50" customFormat="1" outlineLevel="2" x14ac:dyDescent="0.3">
      <c r="B238" s="444" t="s">
        <v>3855</v>
      </c>
      <c r="C238" s="438" t="s">
        <v>3048</v>
      </c>
      <c r="D238" s="63" t="s">
        <v>299</v>
      </c>
      <c r="E238" s="430"/>
      <c r="F238" s="75"/>
    </row>
    <row r="239" spans="2:6" s="50" customFormat="1" outlineLevel="2" x14ac:dyDescent="0.3">
      <c r="B239" s="444" t="s">
        <v>3856</v>
      </c>
      <c r="C239" s="438" t="s">
        <v>3049</v>
      </c>
      <c r="D239" s="63" t="s">
        <v>299</v>
      </c>
      <c r="E239" s="430"/>
      <c r="F239" s="75"/>
    </row>
    <row r="240" spans="2:6" s="50" customFormat="1" outlineLevel="2" x14ac:dyDescent="0.3">
      <c r="B240" s="444" t="s">
        <v>3857</v>
      </c>
      <c r="C240" s="438" t="s">
        <v>3050</v>
      </c>
      <c r="D240" s="63" t="s">
        <v>299</v>
      </c>
      <c r="E240" s="430"/>
      <c r="F240" s="75"/>
    </row>
    <row r="241" spans="2:6" s="50" customFormat="1" outlineLevel="2" x14ac:dyDescent="0.3">
      <c r="B241" s="444" t="s">
        <v>3858</v>
      </c>
      <c r="C241" s="438" t="s">
        <v>3051</v>
      </c>
      <c r="D241" s="63" t="s">
        <v>299</v>
      </c>
      <c r="E241" s="430"/>
      <c r="F241" s="75"/>
    </row>
    <row r="242" spans="2:6" s="50" customFormat="1" outlineLevel="2" x14ac:dyDescent="0.3">
      <c r="B242" s="444" t="s">
        <v>3859</v>
      </c>
      <c r="C242" s="438" t="s">
        <v>3052</v>
      </c>
      <c r="D242" s="63" t="s">
        <v>299</v>
      </c>
      <c r="E242" s="430"/>
      <c r="F242" s="75"/>
    </row>
    <row r="243" spans="2:6" s="50" customFormat="1" outlineLevel="2" x14ac:dyDescent="0.3">
      <c r="B243" s="444" t="s">
        <v>3860</v>
      </c>
      <c r="C243" s="438" t="s">
        <v>3053</v>
      </c>
      <c r="D243" s="63" t="s">
        <v>299</v>
      </c>
      <c r="E243" s="430"/>
      <c r="F243" s="75"/>
    </row>
    <row r="244" spans="2:6" s="50" customFormat="1" outlineLevel="2" x14ac:dyDescent="0.3">
      <c r="B244" s="444" t="s">
        <v>3861</v>
      </c>
      <c r="C244" s="438" t="s">
        <v>3054</v>
      </c>
      <c r="D244" s="63" t="s">
        <v>299</v>
      </c>
      <c r="E244" s="430"/>
      <c r="F244" s="75"/>
    </row>
    <row r="245" spans="2:6" outlineLevel="1" x14ac:dyDescent="0.3">
      <c r="B245" s="444" t="s">
        <v>3862</v>
      </c>
      <c r="C245" s="437" t="s">
        <v>1865</v>
      </c>
      <c r="D245" s="59" t="s">
        <v>289</v>
      </c>
      <c r="E245" s="429">
        <f>SUM(E246:E265)</f>
        <v>0</v>
      </c>
      <c r="F245" s="74">
        <f>SUM(F246:F265)</f>
        <v>0</v>
      </c>
    </row>
    <row r="246" spans="2:6" s="50" customFormat="1" outlineLevel="2" x14ac:dyDescent="0.3">
      <c r="B246" s="444" t="s">
        <v>3863</v>
      </c>
      <c r="C246" s="438" t="s">
        <v>3055</v>
      </c>
      <c r="D246" s="62" t="s">
        <v>299</v>
      </c>
      <c r="E246" s="430"/>
      <c r="F246" s="75"/>
    </row>
    <row r="247" spans="2:6" s="50" customFormat="1" outlineLevel="2" x14ac:dyDescent="0.3">
      <c r="B247" s="444" t="s">
        <v>3864</v>
      </c>
      <c r="C247" s="438" t="s">
        <v>3056</v>
      </c>
      <c r="D247" s="63" t="s">
        <v>299</v>
      </c>
      <c r="E247" s="430"/>
      <c r="F247" s="75"/>
    </row>
    <row r="248" spans="2:6" s="50" customFormat="1" outlineLevel="2" x14ac:dyDescent="0.3">
      <c r="B248" s="444" t="s">
        <v>3865</v>
      </c>
      <c r="C248" s="438" t="s">
        <v>3057</v>
      </c>
      <c r="D248" s="63" t="s">
        <v>299</v>
      </c>
      <c r="E248" s="430"/>
      <c r="F248" s="75"/>
    </row>
    <row r="249" spans="2:6" s="50" customFormat="1" outlineLevel="2" x14ac:dyDescent="0.3">
      <c r="B249" s="444" t="s">
        <v>3866</v>
      </c>
      <c r="C249" s="438" t="s">
        <v>3058</v>
      </c>
      <c r="D249" s="63" t="s">
        <v>299</v>
      </c>
      <c r="E249" s="430"/>
      <c r="F249" s="75"/>
    </row>
    <row r="250" spans="2:6" s="50" customFormat="1" outlineLevel="2" x14ac:dyDescent="0.3">
      <c r="B250" s="444" t="s">
        <v>3867</v>
      </c>
      <c r="C250" s="438" t="s">
        <v>3059</v>
      </c>
      <c r="D250" s="63" t="s">
        <v>299</v>
      </c>
      <c r="E250" s="430"/>
      <c r="F250" s="75"/>
    </row>
    <row r="251" spans="2:6" s="50" customFormat="1" outlineLevel="2" x14ac:dyDescent="0.3">
      <c r="B251" s="444" t="s">
        <v>3868</v>
      </c>
      <c r="C251" s="438" t="s">
        <v>3060</v>
      </c>
      <c r="D251" s="63" t="s">
        <v>299</v>
      </c>
      <c r="E251" s="430"/>
      <c r="F251" s="75"/>
    </row>
    <row r="252" spans="2:6" s="50" customFormat="1" outlineLevel="2" x14ac:dyDescent="0.3">
      <c r="B252" s="444" t="s">
        <v>3869</v>
      </c>
      <c r="C252" s="438" t="s">
        <v>3061</v>
      </c>
      <c r="D252" s="63" t="s">
        <v>299</v>
      </c>
      <c r="E252" s="430"/>
      <c r="F252" s="75"/>
    </row>
    <row r="253" spans="2:6" s="50" customFormat="1" outlineLevel="2" x14ac:dyDescent="0.3">
      <c r="B253" s="444" t="s">
        <v>3870</v>
      </c>
      <c r="C253" s="438" t="s">
        <v>3062</v>
      </c>
      <c r="D253" s="63" t="s">
        <v>299</v>
      </c>
      <c r="E253" s="430"/>
      <c r="F253" s="75"/>
    </row>
    <row r="254" spans="2:6" s="50" customFormat="1" outlineLevel="2" x14ac:dyDescent="0.3">
      <c r="B254" s="444" t="s">
        <v>3871</v>
      </c>
      <c r="C254" s="438" t="s">
        <v>3063</v>
      </c>
      <c r="D254" s="63" t="s">
        <v>299</v>
      </c>
      <c r="E254" s="430"/>
      <c r="F254" s="75"/>
    </row>
    <row r="255" spans="2:6" s="50" customFormat="1" outlineLevel="2" x14ac:dyDescent="0.3">
      <c r="B255" s="444" t="s">
        <v>3872</v>
      </c>
      <c r="C255" s="438" t="s">
        <v>3064</v>
      </c>
      <c r="D255" s="63" t="s">
        <v>299</v>
      </c>
      <c r="E255" s="430"/>
      <c r="F255" s="75"/>
    </row>
    <row r="256" spans="2:6" s="50" customFormat="1" outlineLevel="2" x14ac:dyDescent="0.3">
      <c r="B256" s="444" t="s">
        <v>3873</v>
      </c>
      <c r="C256" s="438" t="s">
        <v>3065</v>
      </c>
      <c r="D256" s="63" t="s">
        <v>299</v>
      </c>
      <c r="E256" s="430"/>
      <c r="F256" s="75"/>
    </row>
    <row r="257" spans="2:6" s="50" customFormat="1" outlineLevel="2" x14ac:dyDescent="0.3">
      <c r="B257" s="444" t="s">
        <v>3874</v>
      </c>
      <c r="C257" s="438" t="s">
        <v>3066</v>
      </c>
      <c r="D257" s="63" t="s">
        <v>299</v>
      </c>
      <c r="E257" s="430"/>
      <c r="F257" s="75"/>
    </row>
    <row r="258" spans="2:6" s="50" customFormat="1" outlineLevel="2" x14ac:dyDescent="0.3">
      <c r="B258" s="444" t="s">
        <v>3875</v>
      </c>
      <c r="C258" s="438" t="s">
        <v>3067</v>
      </c>
      <c r="D258" s="63" t="s">
        <v>299</v>
      </c>
      <c r="E258" s="430"/>
      <c r="F258" s="75"/>
    </row>
    <row r="259" spans="2:6" s="50" customFormat="1" outlineLevel="2" x14ac:dyDescent="0.3">
      <c r="B259" s="444" t="s">
        <v>3876</v>
      </c>
      <c r="C259" s="438" t="s">
        <v>3068</v>
      </c>
      <c r="D259" s="63" t="s">
        <v>299</v>
      </c>
      <c r="E259" s="430"/>
      <c r="F259" s="75"/>
    </row>
    <row r="260" spans="2:6" s="50" customFormat="1" outlineLevel="2" x14ac:dyDescent="0.3">
      <c r="B260" s="444" t="s">
        <v>3877</v>
      </c>
      <c r="C260" s="438" t="s">
        <v>3069</v>
      </c>
      <c r="D260" s="63" t="s">
        <v>299</v>
      </c>
      <c r="E260" s="430"/>
      <c r="F260" s="75"/>
    </row>
    <row r="261" spans="2:6" s="50" customFormat="1" outlineLevel="2" x14ac:dyDescent="0.3">
      <c r="B261" s="444" t="s">
        <v>3878</v>
      </c>
      <c r="C261" s="438" t="s">
        <v>3070</v>
      </c>
      <c r="D261" s="63" t="s">
        <v>299</v>
      </c>
      <c r="E261" s="430"/>
      <c r="F261" s="75"/>
    </row>
    <row r="262" spans="2:6" s="50" customFormat="1" outlineLevel="2" x14ac:dyDescent="0.3">
      <c r="B262" s="444" t="s">
        <v>3879</v>
      </c>
      <c r="C262" s="438" t="s">
        <v>3071</v>
      </c>
      <c r="D262" s="63" t="s">
        <v>299</v>
      </c>
      <c r="E262" s="430"/>
      <c r="F262" s="75"/>
    </row>
    <row r="263" spans="2:6" s="50" customFormat="1" outlineLevel="2" x14ac:dyDescent="0.3">
      <c r="B263" s="444" t="s">
        <v>3880</v>
      </c>
      <c r="C263" s="438" t="s">
        <v>3072</v>
      </c>
      <c r="D263" s="63" t="s">
        <v>299</v>
      </c>
      <c r="E263" s="430"/>
      <c r="F263" s="75"/>
    </row>
    <row r="264" spans="2:6" s="50" customFormat="1" outlineLevel="2" x14ac:dyDescent="0.3">
      <c r="B264" s="444" t="s">
        <v>3881</v>
      </c>
      <c r="C264" s="438" t="s">
        <v>3073</v>
      </c>
      <c r="D264" s="63" t="s">
        <v>299</v>
      </c>
      <c r="E264" s="430"/>
      <c r="F264" s="75"/>
    </row>
    <row r="265" spans="2:6" s="50" customFormat="1" outlineLevel="2" x14ac:dyDescent="0.3">
      <c r="B265" s="444" t="s">
        <v>3882</v>
      </c>
      <c r="C265" s="438" t="s">
        <v>3074</v>
      </c>
      <c r="D265" s="63" t="s">
        <v>299</v>
      </c>
      <c r="E265" s="430"/>
      <c r="F265" s="75"/>
    </row>
    <row r="266" spans="2:6" outlineLevel="1" x14ac:dyDescent="0.3">
      <c r="B266" s="444" t="s">
        <v>3883</v>
      </c>
      <c r="C266" s="437" t="s">
        <v>1866</v>
      </c>
      <c r="D266" s="59" t="s">
        <v>4659</v>
      </c>
      <c r="E266" s="429">
        <f>SUM(E267:E286)</f>
        <v>0</v>
      </c>
      <c r="F266" s="74">
        <f>SUM(F267:F286)</f>
        <v>0</v>
      </c>
    </row>
    <row r="267" spans="2:6" s="50" customFormat="1" ht="15" customHeight="1" outlineLevel="2" x14ac:dyDescent="0.3">
      <c r="B267" s="444" t="s">
        <v>3884</v>
      </c>
      <c r="C267" s="438" t="s">
        <v>3075</v>
      </c>
      <c r="D267" s="62" t="s">
        <v>299</v>
      </c>
      <c r="E267" s="430"/>
      <c r="F267" s="75"/>
    </row>
    <row r="268" spans="2:6" s="50" customFormat="1" ht="15" customHeight="1" outlineLevel="2" x14ac:dyDescent="0.3">
      <c r="B268" s="444" t="s">
        <v>3885</v>
      </c>
      <c r="C268" s="438" t="s">
        <v>3076</v>
      </c>
      <c r="D268" s="63" t="s">
        <v>299</v>
      </c>
      <c r="E268" s="430"/>
      <c r="F268" s="75"/>
    </row>
    <row r="269" spans="2:6" s="50" customFormat="1" ht="15" customHeight="1" outlineLevel="2" x14ac:dyDescent="0.3">
      <c r="B269" s="444" t="s">
        <v>3886</v>
      </c>
      <c r="C269" s="438" t="s">
        <v>3077</v>
      </c>
      <c r="D269" s="63" t="s">
        <v>299</v>
      </c>
      <c r="E269" s="430"/>
      <c r="F269" s="75"/>
    </row>
    <row r="270" spans="2:6" s="50" customFormat="1" ht="15" customHeight="1" outlineLevel="2" x14ac:dyDescent="0.3">
      <c r="B270" s="444" t="s">
        <v>3887</v>
      </c>
      <c r="C270" s="438" t="s">
        <v>3078</v>
      </c>
      <c r="D270" s="63" t="s">
        <v>299</v>
      </c>
      <c r="E270" s="430"/>
      <c r="F270" s="75"/>
    </row>
    <row r="271" spans="2:6" s="50" customFormat="1" ht="15" customHeight="1" outlineLevel="2" x14ac:dyDescent="0.3">
      <c r="B271" s="444" t="s">
        <v>3888</v>
      </c>
      <c r="C271" s="438" t="s">
        <v>3079</v>
      </c>
      <c r="D271" s="63" t="s">
        <v>299</v>
      </c>
      <c r="E271" s="430"/>
      <c r="F271" s="75"/>
    </row>
    <row r="272" spans="2:6" s="50" customFormat="1" ht="15" customHeight="1" outlineLevel="2" x14ac:dyDescent="0.3">
      <c r="B272" s="444" t="s">
        <v>3889</v>
      </c>
      <c r="C272" s="438" t="s">
        <v>3080</v>
      </c>
      <c r="D272" s="63" t="s">
        <v>299</v>
      </c>
      <c r="E272" s="430"/>
      <c r="F272" s="75"/>
    </row>
    <row r="273" spans="2:6" s="50" customFormat="1" ht="15" customHeight="1" outlineLevel="2" x14ac:dyDescent="0.3">
      <c r="B273" s="444" t="s">
        <v>3890</v>
      </c>
      <c r="C273" s="438" t="s">
        <v>3081</v>
      </c>
      <c r="D273" s="63" t="s">
        <v>299</v>
      </c>
      <c r="E273" s="430"/>
      <c r="F273" s="75"/>
    </row>
    <row r="274" spans="2:6" s="50" customFormat="1" ht="15" customHeight="1" outlineLevel="2" x14ac:dyDescent="0.3">
      <c r="B274" s="444" t="s">
        <v>3891</v>
      </c>
      <c r="C274" s="438" t="s">
        <v>3082</v>
      </c>
      <c r="D274" s="63" t="s">
        <v>299</v>
      </c>
      <c r="E274" s="430"/>
      <c r="F274" s="75"/>
    </row>
    <row r="275" spans="2:6" s="50" customFormat="1" ht="15" customHeight="1" outlineLevel="2" x14ac:dyDescent="0.3">
      <c r="B275" s="444" t="s">
        <v>3892</v>
      </c>
      <c r="C275" s="438" t="s">
        <v>3083</v>
      </c>
      <c r="D275" s="63" t="s">
        <v>299</v>
      </c>
      <c r="E275" s="430"/>
      <c r="F275" s="75"/>
    </row>
    <row r="276" spans="2:6" s="50" customFormat="1" ht="15" customHeight="1" outlineLevel="2" x14ac:dyDescent="0.3">
      <c r="B276" s="444" t="s">
        <v>3893</v>
      </c>
      <c r="C276" s="438" t="s">
        <v>3084</v>
      </c>
      <c r="D276" s="63" t="s">
        <v>299</v>
      </c>
      <c r="E276" s="430"/>
      <c r="F276" s="75"/>
    </row>
    <row r="277" spans="2:6" s="50" customFormat="1" ht="15" customHeight="1" outlineLevel="2" x14ac:dyDescent="0.3">
      <c r="B277" s="444" t="s">
        <v>3894</v>
      </c>
      <c r="C277" s="438" t="s">
        <v>3085</v>
      </c>
      <c r="D277" s="63" t="s">
        <v>299</v>
      </c>
      <c r="E277" s="430"/>
      <c r="F277" s="75"/>
    </row>
    <row r="278" spans="2:6" s="50" customFormat="1" ht="15" customHeight="1" outlineLevel="2" x14ac:dyDescent="0.3">
      <c r="B278" s="444" t="s">
        <v>3895</v>
      </c>
      <c r="C278" s="438" t="s">
        <v>3086</v>
      </c>
      <c r="D278" s="63" t="s">
        <v>299</v>
      </c>
      <c r="E278" s="430"/>
      <c r="F278" s="75"/>
    </row>
    <row r="279" spans="2:6" s="50" customFormat="1" ht="15" customHeight="1" outlineLevel="2" x14ac:dyDescent="0.3">
      <c r="B279" s="444" t="s">
        <v>3896</v>
      </c>
      <c r="C279" s="438" t="s">
        <v>3087</v>
      </c>
      <c r="D279" s="63" t="s">
        <v>299</v>
      </c>
      <c r="E279" s="430"/>
      <c r="F279" s="75"/>
    </row>
    <row r="280" spans="2:6" s="50" customFormat="1" ht="15" customHeight="1" outlineLevel="2" x14ac:dyDescent="0.3">
      <c r="B280" s="444" t="s">
        <v>3897</v>
      </c>
      <c r="C280" s="438" t="s">
        <v>3088</v>
      </c>
      <c r="D280" s="63" t="s">
        <v>299</v>
      </c>
      <c r="E280" s="430"/>
      <c r="F280" s="75"/>
    </row>
    <row r="281" spans="2:6" s="50" customFormat="1" ht="15" customHeight="1" outlineLevel="2" x14ac:dyDescent="0.3">
      <c r="B281" s="444" t="s">
        <v>3898</v>
      </c>
      <c r="C281" s="438" t="s">
        <v>3089</v>
      </c>
      <c r="D281" s="63" t="s">
        <v>299</v>
      </c>
      <c r="E281" s="430"/>
      <c r="F281" s="75"/>
    </row>
    <row r="282" spans="2:6" s="50" customFormat="1" ht="15" customHeight="1" outlineLevel="2" x14ac:dyDescent="0.3">
      <c r="B282" s="444" t="s">
        <v>3899</v>
      </c>
      <c r="C282" s="438" t="s">
        <v>3090</v>
      </c>
      <c r="D282" s="63" t="s">
        <v>299</v>
      </c>
      <c r="E282" s="430"/>
      <c r="F282" s="75"/>
    </row>
    <row r="283" spans="2:6" s="50" customFormat="1" ht="15" customHeight="1" outlineLevel="2" x14ac:dyDescent="0.3">
      <c r="B283" s="444" t="s">
        <v>3900</v>
      </c>
      <c r="C283" s="438" t="s">
        <v>3091</v>
      </c>
      <c r="D283" s="63" t="s">
        <v>299</v>
      </c>
      <c r="E283" s="430"/>
      <c r="F283" s="75"/>
    </row>
    <row r="284" spans="2:6" s="50" customFormat="1" ht="15" customHeight="1" outlineLevel="2" x14ac:dyDescent="0.3">
      <c r="B284" s="444" t="s">
        <v>3901</v>
      </c>
      <c r="C284" s="438" t="s">
        <v>3092</v>
      </c>
      <c r="D284" s="63" t="s">
        <v>299</v>
      </c>
      <c r="E284" s="430"/>
      <c r="F284" s="75"/>
    </row>
    <row r="285" spans="2:6" s="50" customFormat="1" ht="15" customHeight="1" outlineLevel="2" x14ac:dyDescent="0.3">
      <c r="B285" s="444" t="s">
        <v>3902</v>
      </c>
      <c r="C285" s="438" t="s">
        <v>3093</v>
      </c>
      <c r="D285" s="63" t="s">
        <v>299</v>
      </c>
      <c r="E285" s="430"/>
      <c r="F285" s="75"/>
    </row>
    <row r="286" spans="2:6" s="50" customFormat="1" ht="15" customHeight="1" outlineLevel="2" x14ac:dyDescent="0.3">
      <c r="B286" s="444" t="s">
        <v>3903</v>
      </c>
      <c r="C286" s="438" t="s">
        <v>3094</v>
      </c>
      <c r="D286" s="63" t="s">
        <v>299</v>
      </c>
      <c r="E286" s="430"/>
      <c r="F286" s="75"/>
    </row>
    <row r="287" spans="2:6" s="68" customFormat="1" x14ac:dyDescent="0.3">
      <c r="B287" s="444" t="s">
        <v>3904</v>
      </c>
      <c r="C287" s="436">
        <v>7.5</v>
      </c>
      <c r="D287" s="67" t="s">
        <v>291</v>
      </c>
      <c r="E287" s="428">
        <f>SUM(E288:E307)</f>
        <v>0</v>
      </c>
      <c r="F287" s="73">
        <f>SUM(F288:F307)</f>
        <v>0</v>
      </c>
    </row>
    <row r="288" spans="2:6" s="50" customFormat="1" outlineLevel="2" x14ac:dyDescent="0.3">
      <c r="B288" s="444" t="s">
        <v>3905</v>
      </c>
      <c r="C288" s="438" t="s">
        <v>2478</v>
      </c>
      <c r="D288" s="62" t="s">
        <v>300</v>
      </c>
      <c r="E288" s="430"/>
      <c r="F288" s="75"/>
    </row>
    <row r="289" spans="2:6" s="50" customFormat="1" outlineLevel="2" x14ac:dyDescent="0.3">
      <c r="B289" s="444" t="s">
        <v>3906</v>
      </c>
      <c r="C289" s="438" t="s">
        <v>2479</v>
      </c>
      <c r="D289" s="63" t="s">
        <v>300</v>
      </c>
      <c r="E289" s="430"/>
      <c r="F289" s="75"/>
    </row>
    <row r="290" spans="2:6" s="50" customFormat="1" outlineLevel="2" x14ac:dyDescent="0.3">
      <c r="B290" s="444" t="s">
        <v>3907</v>
      </c>
      <c r="C290" s="438" t="s">
        <v>3095</v>
      </c>
      <c r="D290" s="63" t="s">
        <v>300</v>
      </c>
      <c r="E290" s="430"/>
      <c r="F290" s="75"/>
    </row>
    <row r="291" spans="2:6" s="50" customFormat="1" outlineLevel="2" x14ac:dyDescent="0.3">
      <c r="B291" s="444" t="s">
        <v>3908</v>
      </c>
      <c r="C291" s="438" t="s">
        <v>3096</v>
      </c>
      <c r="D291" s="63" t="s">
        <v>300</v>
      </c>
      <c r="E291" s="430"/>
      <c r="F291" s="75"/>
    </row>
    <row r="292" spans="2:6" s="50" customFormat="1" outlineLevel="2" x14ac:dyDescent="0.3">
      <c r="B292" s="444" t="s">
        <v>3909</v>
      </c>
      <c r="C292" s="438" t="s">
        <v>3097</v>
      </c>
      <c r="D292" s="63" t="s">
        <v>300</v>
      </c>
      <c r="E292" s="430"/>
      <c r="F292" s="75"/>
    </row>
    <row r="293" spans="2:6" s="50" customFormat="1" outlineLevel="2" x14ac:dyDescent="0.3">
      <c r="B293" s="444" t="s">
        <v>3910</v>
      </c>
      <c r="C293" s="438" t="s">
        <v>3098</v>
      </c>
      <c r="D293" s="63" t="s">
        <v>300</v>
      </c>
      <c r="E293" s="430"/>
      <c r="F293" s="75"/>
    </row>
    <row r="294" spans="2:6" s="50" customFormat="1" outlineLevel="2" x14ac:dyDescent="0.3">
      <c r="B294" s="444" t="s">
        <v>3911</v>
      </c>
      <c r="C294" s="438" t="s">
        <v>3099</v>
      </c>
      <c r="D294" s="63" t="s">
        <v>300</v>
      </c>
      <c r="E294" s="430"/>
      <c r="F294" s="75"/>
    </row>
    <row r="295" spans="2:6" s="50" customFormat="1" outlineLevel="2" x14ac:dyDescent="0.3">
      <c r="B295" s="444" t="s">
        <v>3912</v>
      </c>
      <c r="C295" s="438" t="s">
        <v>3100</v>
      </c>
      <c r="D295" s="63" t="s">
        <v>300</v>
      </c>
      <c r="E295" s="430"/>
      <c r="F295" s="75"/>
    </row>
    <row r="296" spans="2:6" s="50" customFormat="1" outlineLevel="2" x14ac:dyDescent="0.3">
      <c r="B296" s="444" t="s">
        <v>3913</v>
      </c>
      <c r="C296" s="438" t="s">
        <v>3101</v>
      </c>
      <c r="D296" s="63" t="s">
        <v>300</v>
      </c>
      <c r="E296" s="430"/>
      <c r="F296" s="75"/>
    </row>
    <row r="297" spans="2:6" s="50" customFormat="1" outlineLevel="2" x14ac:dyDescent="0.3">
      <c r="B297" s="444" t="s">
        <v>3914</v>
      </c>
      <c r="C297" s="438" t="s">
        <v>3102</v>
      </c>
      <c r="D297" s="63" t="s">
        <v>300</v>
      </c>
      <c r="E297" s="430"/>
      <c r="F297" s="75"/>
    </row>
    <row r="298" spans="2:6" s="50" customFormat="1" outlineLevel="2" x14ac:dyDescent="0.3">
      <c r="B298" s="444" t="s">
        <v>3915</v>
      </c>
      <c r="C298" s="438" t="s">
        <v>3103</v>
      </c>
      <c r="D298" s="63" t="s">
        <v>300</v>
      </c>
      <c r="E298" s="430"/>
      <c r="F298" s="75"/>
    </row>
    <row r="299" spans="2:6" s="50" customFormat="1" outlineLevel="2" x14ac:dyDescent="0.3">
      <c r="B299" s="444" t="s">
        <v>3916</v>
      </c>
      <c r="C299" s="438" t="s">
        <v>3104</v>
      </c>
      <c r="D299" s="63" t="s">
        <v>300</v>
      </c>
      <c r="E299" s="430"/>
      <c r="F299" s="75"/>
    </row>
    <row r="300" spans="2:6" s="50" customFormat="1" outlineLevel="2" x14ac:dyDescent="0.3">
      <c r="B300" s="444" t="s">
        <v>3917</v>
      </c>
      <c r="C300" s="438" t="s">
        <v>3105</v>
      </c>
      <c r="D300" s="63" t="s">
        <v>300</v>
      </c>
      <c r="E300" s="430"/>
      <c r="F300" s="75"/>
    </row>
    <row r="301" spans="2:6" s="50" customFormat="1" outlineLevel="2" x14ac:dyDescent="0.3">
      <c r="B301" s="444" t="s">
        <v>3918</v>
      </c>
      <c r="C301" s="438" t="s">
        <v>3106</v>
      </c>
      <c r="D301" s="63" t="s">
        <v>300</v>
      </c>
      <c r="E301" s="430"/>
      <c r="F301" s="75"/>
    </row>
    <row r="302" spans="2:6" s="50" customFormat="1" outlineLevel="2" x14ac:dyDescent="0.3">
      <c r="B302" s="444" t="s">
        <v>3919</v>
      </c>
      <c r="C302" s="438" t="s">
        <v>3107</v>
      </c>
      <c r="D302" s="63" t="s">
        <v>300</v>
      </c>
      <c r="E302" s="430"/>
      <c r="F302" s="75"/>
    </row>
    <row r="303" spans="2:6" s="50" customFormat="1" outlineLevel="2" x14ac:dyDescent="0.3">
      <c r="B303" s="444" t="s">
        <v>3920</v>
      </c>
      <c r="C303" s="438" t="s">
        <v>3108</v>
      </c>
      <c r="D303" s="63" t="s">
        <v>300</v>
      </c>
      <c r="E303" s="430"/>
      <c r="F303" s="75"/>
    </row>
    <row r="304" spans="2:6" s="50" customFormat="1" outlineLevel="2" x14ac:dyDescent="0.3">
      <c r="B304" s="444" t="s">
        <v>3921</v>
      </c>
      <c r="C304" s="438" t="s">
        <v>3109</v>
      </c>
      <c r="D304" s="63" t="s">
        <v>300</v>
      </c>
      <c r="E304" s="430"/>
      <c r="F304" s="75"/>
    </row>
    <row r="305" spans="2:6" s="50" customFormat="1" outlineLevel="2" x14ac:dyDescent="0.3">
      <c r="B305" s="444" t="s">
        <v>3922</v>
      </c>
      <c r="C305" s="438" t="s">
        <v>3110</v>
      </c>
      <c r="D305" s="63" t="s">
        <v>300</v>
      </c>
      <c r="E305" s="430"/>
      <c r="F305" s="75"/>
    </row>
    <row r="306" spans="2:6" s="50" customFormat="1" outlineLevel="2" x14ac:dyDescent="0.3">
      <c r="B306" s="444" t="s">
        <v>3923</v>
      </c>
      <c r="C306" s="438" t="s">
        <v>3111</v>
      </c>
      <c r="D306" s="63" t="s">
        <v>300</v>
      </c>
      <c r="E306" s="430"/>
      <c r="F306" s="75"/>
    </row>
    <row r="307" spans="2:6" s="50" customFormat="1" outlineLevel="2" x14ac:dyDescent="0.3">
      <c r="B307" s="444" t="s">
        <v>3924</v>
      </c>
      <c r="C307" s="438" t="s">
        <v>3112</v>
      </c>
      <c r="D307" s="63" t="s">
        <v>300</v>
      </c>
      <c r="E307" s="430"/>
      <c r="F307" s="75"/>
    </row>
    <row r="308" spans="2:6" s="68" customFormat="1" x14ac:dyDescent="0.3">
      <c r="B308" s="444" t="s">
        <v>3925</v>
      </c>
      <c r="C308" s="436">
        <v>7.6</v>
      </c>
      <c r="D308" s="67" t="s">
        <v>296</v>
      </c>
      <c r="E308" s="428">
        <f>SUM(E309:E328)</f>
        <v>0</v>
      </c>
      <c r="F308" s="73">
        <f>SUM(F309:F328)</f>
        <v>0</v>
      </c>
    </row>
    <row r="309" spans="2:6" s="50" customFormat="1" outlineLevel="2" x14ac:dyDescent="0.3">
      <c r="B309" s="444" t="s">
        <v>3926</v>
      </c>
      <c r="C309" s="438" t="s">
        <v>3113</v>
      </c>
      <c r="D309" s="62" t="s">
        <v>301</v>
      </c>
      <c r="E309" s="430"/>
      <c r="F309" s="75"/>
    </row>
    <row r="310" spans="2:6" s="50" customFormat="1" outlineLevel="2" x14ac:dyDescent="0.3">
      <c r="B310" s="444" t="s">
        <v>3927</v>
      </c>
      <c r="C310" s="438" t="s">
        <v>3114</v>
      </c>
      <c r="D310" s="63" t="s">
        <v>301</v>
      </c>
      <c r="E310" s="430"/>
      <c r="F310" s="75"/>
    </row>
    <row r="311" spans="2:6" s="50" customFormat="1" outlineLevel="2" x14ac:dyDescent="0.3">
      <c r="B311" s="444" t="s">
        <v>3928</v>
      </c>
      <c r="C311" s="438" t="s">
        <v>3115</v>
      </c>
      <c r="D311" s="63" t="s">
        <v>301</v>
      </c>
      <c r="E311" s="430"/>
      <c r="F311" s="75"/>
    </row>
    <row r="312" spans="2:6" s="50" customFormat="1" outlineLevel="2" x14ac:dyDescent="0.3">
      <c r="B312" s="444" t="s">
        <v>3929</v>
      </c>
      <c r="C312" s="438" t="s">
        <v>3116</v>
      </c>
      <c r="D312" s="63" t="s">
        <v>301</v>
      </c>
      <c r="E312" s="430"/>
      <c r="F312" s="75"/>
    </row>
    <row r="313" spans="2:6" s="50" customFormat="1" outlineLevel="2" x14ac:dyDescent="0.3">
      <c r="B313" s="444" t="s">
        <v>3930</v>
      </c>
      <c r="C313" s="438" t="s">
        <v>3117</v>
      </c>
      <c r="D313" s="63" t="s">
        <v>301</v>
      </c>
      <c r="E313" s="430"/>
      <c r="F313" s="75"/>
    </row>
    <row r="314" spans="2:6" s="50" customFormat="1" outlineLevel="2" x14ac:dyDescent="0.3">
      <c r="B314" s="444" t="s">
        <v>3931</v>
      </c>
      <c r="C314" s="438" t="s">
        <v>3118</v>
      </c>
      <c r="D314" s="63" t="s">
        <v>301</v>
      </c>
      <c r="E314" s="430"/>
      <c r="F314" s="75"/>
    </row>
    <row r="315" spans="2:6" s="50" customFormat="1" outlineLevel="2" x14ac:dyDescent="0.3">
      <c r="B315" s="444" t="s">
        <v>3932</v>
      </c>
      <c r="C315" s="438" t="s">
        <v>3119</v>
      </c>
      <c r="D315" s="63" t="s">
        <v>301</v>
      </c>
      <c r="E315" s="430"/>
      <c r="F315" s="75"/>
    </row>
    <row r="316" spans="2:6" s="50" customFormat="1" outlineLevel="2" x14ac:dyDescent="0.3">
      <c r="B316" s="444" t="s">
        <v>3933</v>
      </c>
      <c r="C316" s="438" t="s">
        <v>3120</v>
      </c>
      <c r="D316" s="63" t="s">
        <v>301</v>
      </c>
      <c r="E316" s="430"/>
      <c r="F316" s="75"/>
    </row>
    <row r="317" spans="2:6" s="50" customFormat="1" outlineLevel="2" x14ac:dyDescent="0.3">
      <c r="B317" s="444" t="s">
        <v>3934</v>
      </c>
      <c r="C317" s="438" t="s">
        <v>3121</v>
      </c>
      <c r="D317" s="63" t="s">
        <v>301</v>
      </c>
      <c r="E317" s="430"/>
      <c r="F317" s="75"/>
    </row>
    <row r="318" spans="2:6" s="50" customFormat="1" outlineLevel="2" x14ac:dyDescent="0.3">
      <c r="B318" s="444" t="s">
        <v>3935</v>
      </c>
      <c r="C318" s="438" t="s">
        <v>3122</v>
      </c>
      <c r="D318" s="63" t="s">
        <v>301</v>
      </c>
      <c r="E318" s="430"/>
      <c r="F318" s="75"/>
    </row>
    <row r="319" spans="2:6" s="50" customFormat="1" outlineLevel="2" x14ac:dyDescent="0.3">
      <c r="B319" s="444" t="s">
        <v>3936</v>
      </c>
      <c r="C319" s="438" t="s">
        <v>3123</v>
      </c>
      <c r="D319" s="63" t="s">
        <v>301</v>
      </c>
      <c r="E319" s="430"/>
      <c r="F319" s="75"/>
    </row>
    <row r="320" spans="2:6" s="50" customFormat="1" outlineLevel="2" x14ac:dyDescent="0.3">
      <c r="B320" s="444" t="s">
        <v>3937</v>
      </c>
      <c r="C320" s="438" t="s">
        <v>3124</v>
      </c>
      <c r="D320" s="63" t="s">
        <v>301</v>
      </c>
      <c r="E320" s="430"/>
      <c r="F320" s="75"/>
    </row>
    <row r="321" spans="2:6" s="50" customFormat="1" outlineLevel="2" x14ac:dyDescent="0.3">
      <c r="B321" s="444" t="s">
        <v>3938</v>
      </c>
      <c r="C321" s="438" t="s">
        <v>3125</v>
      </c>
      <c r="D321" s="63" t="s">
        <v>301</v>
      </c>
      <c r="E321" s="430"/>
      <c r="F321" s="75"/>
    </row>
    <row r="322" spans="2:6" s="50" customFormat="1" outlineLevel="2" x14ac:dyDescent="0.3">
      <c r="B322" s="444" t="s">
        <v>3939</v>
      </c>
      <c r="C322" s="438" t="s">
        <v>3126</v>
      </c>
      <c r="D322" s="63" t="s">
        <v>301</v>
      </c>
      <c r="E322" s="430"/>
      <c r="F322" s="75"/>
    </row>
    <row r="323" spans="2:6" s="50" customFormat="1" outlineLevel="2" x14ac:dyDescent="0.3">
      <c r="B323" s="444" t="s">
        <v>3940</v>
      </c>
      <c r="C323" s="438" t="s">
        <v>3127</v>
      </c>
      <c r="D323" s="63" t="s">
        <v>301</v>
      </c>
      <c r="E323" s="430"/>
      <c r="F323" s="75"/>
    </row>
    <row r="324" spans="2:6" s="50" customFormat="1" outlineLevel="2" x14ac:dyDescent="0.3">
      <c r="B324" s="444" t="s">
        <v>3941</v>
      </c>
      <c r="C324" s="438" t="s">
        <v>3128</v>
      </c>
      <c r="D324" s="63" t="s">
        <v>301</v>
      </c>
      <c r="E324" s="430"/>
      <c r="F324" s="75"/>
    </row>
    <row r="325" spans="2:6" s="50" customFormat="1" outlineLevel="2" x14ac:dyDescent="0.3">
      <c r="B325" s="444" t="s">
        <v>3942</v>
      </c>
      <c r="C325" s="438" t="s">
        <v>3129</v>
      </c>
      <c r="D325" s="63" t="s">
        <v>301</v>
      </c>
      <c r="E325" s="430"/>
      <c r="F325" s="75"/>
    </row>
    <row r="326" spans="2:6" s="50" customFormat="1" outlineLevel="2" x14ac:dyDescent="0.3">
      <c r="B326" s="444" t="s">
        <v>3943</v>
      </c>
      <c r="C326" s="438" t="s">
        <v>3130</v>
      </c>
      <c r="D326" s="63" t="s">
        <v>301</v>
      </c>
      <c r="E326" s="430"/>
      <c r="F326" s="75"/>
    </row>
    <row r="327" spans="2:6" s="50" customFormat="1" outlineLevel="2" x14ac:dyDescent="0.3">
      <c r="B327" s="444" t="s">
        <v>3944</v>
      </c>
      <c r="C327" s="438" t="s">
        <v>3131</v>
      </c>
      <c r="D327" s="63" t="s">
        <v>301</v>
      </c>
      <c r="E327" s="430"/>
      <c r="F327" s="75"/>
    </row>
    <row r="328" spans="2:6" s="50" customFormat="1" outlineLevel="2" x14ac:dyDescent="0.3">
      <c r="B328" s="444" t="s">
        <v>3945</v>
      </c>
      <c r="C328" s="438" t="s">
        <v>3132</v>
      </c>
      <c r="D328" s="63" t="s">
        <v>301</v>
      </c>
      <c r="E328" s="430"/>
      <c r="F328" s="75"/>
    </row>
    <row r="329" spans="2:6" x14ac:dyDescent="0.3">
      <c r="B329" s="444" t="s">
        <v>3946</v>
      </c>
      <c r="C329" s="434">
        <v>8</v>
      </c>
      <c r="D329" s="245" t="s">
        <v>290</v>
      </c>
      <c r="E329" s="427">
        <f>E330+E331+E416+E501+E586+E607</f>
        <v>0</v>
      </c>
      <c r="F329" s="246">
        <f>F330+F331+F416+F501+F586+F607</f>
        <v>0</v>
      </c>
    </row>
    <row r="330" spans="2:6" s="64" customFormat="1" x14ac:dyDescent="0.3">
      <c r="B330" s="444" t="s">
        <v>3947</v>
      </c>
      <c r="C330" s="435">
        <v>8.1</v>
      </c>
      <c r="D330" s="65" t="s">
        <v>284</v>
      </c>
      <c r="E330" s="428"/>
      <c r="F330" s="73"/>
    </row>
    <row r="331" spans="2:6" s="50" customFormat="1" x14ac:dyDescent="0.3">
      <c r="B331" s="444" t="s">
        <v>3948</v>
      </c>
      <c r="C331" s="436">
        <v>8.1999999999999993</v>
      </c>
      <c r="D331" s="65" t="s">
        <v>285</v>
      </c>
      <c r="E331" s="428">
        <f>E332+E353+E374+E395</f>
        <v>0</v>
      </c>
      <c r="F331" s="73">
        <f>F332+F353+F374+F395</f>
        <v>0</v>
      </c>
    </row>
    <row r="332" spans="2:6" outlineLevel="1" x14ac:dyDescent="0.3">
      <c r="B332" s="444" t="s">
        <v>3949</v>
      </c>
      <c r="C332" s="437" t="s">
        <v>711</v>
      </c>
      <c r="D332" s="59" t="s">
        <v>286</v>
      </c>
      <c r="E332" s="429">
        <f>SUM(E333:E352)</f>
        <v>0</v>
      </c>
      <c r="F332" s="74">
        <f>SUM(F333:F352)</f>
        <v>0</v>
      </c>
    </row>
    <row r="333" spans="2:6" s="50" customFormat="1" outlineLevel="2" x14ac:dyDescent="0.3">
      <c r="B333" s="444" t="s">
        <v>3950</v>
      </c>
      <c r="C333" s="438" t="s">
        <v>712</v>
      </c>
      <c r="D333" s="62" t="s">
        <v>299</v>
      </c>
      <c r="E333" s="430"/>
      <c r="F333" s="75"/>
    </row>
    <row r="334" spans="2:6" s="50" customFormat="1" outlineLevel="2" x14ac:dyDescent="0.3">
      <c r="B334" s="444" t="s">
        <v>3951</v>
      </c>
      <c r="C334" s="438" t="s">
        <v>713</v>
      </c>
      <c r="D334" s="63" t="s">
        <v>299</v>
      </c>
      <c r="E334" s="430"/>
      <c r="F334" s="75"/>
    </row>
    <row r="335" spans="2:6" s="50" customFormat="1" outlineLevel="2" x14ac:dyDescent="0.3">
      <c r="B335" s="444" t="s">
        <v>3952</v>
      </c>
      <c r="C335" s="438" t="s">
        <v>714</v>
      </c>
      <c r="D335" s="63" t="s">
        <v>299</v>
      </c>
      <c r="E335" s="430"/>
      <c r="F335" s="75"/>
    </row>
    <row r="336" spans="2:6" s="50" customFormat="1" outlineLevel="2" x14ac:dyDescent="0.3">
      <c r="B336" s="444" t="s">
        <v>3953</v>
      </c>
      <c r="C336" s="438" t="s">
        <v>715</v>
      </c>
      <c r="D336" s="63" t="s">
        <v>299</v>
      </c>
      <c r="E336" s="430"/>
      <c r="F336" s="75"/>
    </row>
    <row r="337" spans="2:6" s="50" customFormat="1" outlineLevel="2" x14ac:dyDescent="0.3">
      <c r="B337" s="444" t="s">
        <v>3954</v>
      </c>
      <c r="C337" s="438" t="s">
        <v>716</v>
      </c>
      <c r="D337" s="63" t="s">
        <v>299</v>
      </c>
      <c r="E337" s="430"/>
      <c r="F337" s="75"/>
    </row>
    <row r="338" spans="2:6" s="50" customFormat="1" outlineLevel="2" x14ac:dyDescent="0.3">
      <c r="B338" s="444" t="s">
        <v>3955</v>
      </c>
      <c r="C338" s="438" t="s">
        <v>717</v>
      </c>
      <c r="D338" s="63" t="s">
        <v>299</v>
      </c>
      <c r="E338" s="430"/>
      <c r="F338" s="75"/>
    </row>
    <row r="339" spans="2:6" s="50" customFormat="1" outlineLevel="2" x14ac:dyDescent="0.3">
      <c r="B339" s="444" t="s">
        <v>3956</v>
      </c>
      <c r="C339" s="438" t="s">
        <v>718</v>
      </c>
      <c r="D339" s="63" t="s">
        <v>299</v>
      </c>
      <c r="E339" s="430"/>
      <c r="F339" s="75"/>
    </row>
    <row r="340" spans="2:6" s="50" customFormat="1" outlineLevel="2" x14ac:dyDescent="0.3">
      <c r="B340" s="444" t="s">
        <v>3957</v>
      </c>
      <c r="C340" s="438" t="s">
        <v>719</v>
      </c>
      <c r="D340" s="63" t="s">
        <v>299</v>
      </c>
      <c r="E340" s="430"/>
      <c r="F340" s="75"/>
    </row>
    <row r="341" spans="2:6" s="50" customFormat="1" outlineLevel="2" x14ac:dyDescent="0.3">
      <c r="B341" s="444" t="s">
        <v>3958</v>
      </c>
      <c r="C341" s="438" t="s">
        <v>720</v>
      </c>
      <c r="D341" s="63" t="s">
        <v>299</v>
      </c>
      <c r="E341" s="430"/>
      <c r="F341" s="75"/>
    </row>
    <row r="342" spans="2:6" s="50" customFormat="1" outlineLevel="2" x14ac:dyDescent="0.3">
      <c r="B342" s="444" t="s">
        <v>3959</v>
      </c>
      <c r="C342" s="438" t="s">
        <v>721</v>
      </c>
      <c r="D342" s="63" t="s">
        <v>299</v>
      </c>
      <c r="E342" s="430"/>
      <c r="F342" s="75"/>
    </row>
    <row r="343" spans="2:6" s="50" customFormat="1" outlineLevel="2" x14ac:dyDescent="0.3">
      <c r="B343" s="444" t="s">
        <v>3960</v>
      </c>
      <c r="C343" s="438" t="s">
        <v>722</v>
      </c>
      <c r="D343" s="63" t="s">
        <v>299</v>
      </c>
      <c r="E343" s="430"/>
      <c r="F343" s="75"/>
    </row>
    <row r="344" spans="2:6" s="50" customFormat="1" outlineLevel="2" x14ac:dyDescent="0.3">
      <c r="B344" s="444" t="s">
        <v>3961</v>
      </c>
      <c r="C344" s="438" t="s">
        <v>723</v>
      </c>
      <c r="D344" s="63" t="s">
        <v>299</v>
      </c>
      <c r="E344" s="430"/>
      <c r="F344" s="75"/>
    </row>
    <row r="345" spans="2:6" s="50" customFormat="1" outlineLevel="2" x14ac:dyDescent="0.3">
      <c r="B345" s="444" t="s">
        <v>3962</v>
      </c>
      <c r="C345" s="438" t="s">
        <v>724</v>
      </c>
      <c r="D345" s="63" t="s">
        <v>299</v>
      </c>
      <c r="E345" s="430"/>
      <c r="F345" s="75"/>
    </row>
    <row r="346" spans="2:6" s="50" customFormat="1" outlineLevel="2" x14ac:dyDescent="0.3">
      <c r="B346" s="444" t="s">
        <v>3963</v>
      </c>
      <c r="C346" s="438" t="s">
        <v>725</v>
      </c>
      <c r="D346" s="63" t="s">
        <v>299</v>
      </c>
      <c r="E346" s="430"/>
      <c r="F346" s="75"/>
    </row>
    <row r="347" spans="2:6" s="50" customFormat="1" outlineLevel="2" x14ac:dyDescent="0.3">
      <c r="B347" s="444" t="s">
        <v>3964</v>
      </c>
      <c r="C347" s="438" t="s">
        <v>726</v>
      </c>
      <c r="D347" s="63" t="s">
        <v>299</v>
      </c>
      <c r="E347" s="430"/>
      <c r="F347" s="75"/>
    </row>
    <row r="348" spans="2:6" s="50" customFormat="1" outlineLevel="2" x14ac:dyDescent="0.3">
      <c r="B348" s="444" t="s">
        <v>3965</v>
      </c>
      <c r="C348" s="438" t="s">
        <v>727</v>
      </c>
      <c r="D348" s="63" t="s">
        <v>299</v>
      </c>
      <c r="E348" s="430"/>
      <c r="F348" s="75"/>
    </row>
    <row r="349" spans="2:6" s="50" customFormat="1" outlineLevel="2" x14ac:dyDescent="0.3">
      <c r="B349" s="444" t="s">
        <v>3966</v>
      </c>
      <c r="C349" s="438" t="s">
        <v>728</v>
      </c>
      <c r="D349" s="63" t="s">
        <v>299</v>
      </c>
      <c r="E349" s="430"/>
      <c r="F349" s="75"/>
    </row>
    <row r="350" spans="2:6" s="50" customFormat="1" outlineLevel="2" x14ac:dyDescent="0.3">
      <c r="B350" s="444" t="s">
        <v>3967</v>
      </c>
      <c r="C350" s="438" t="s">
        <v>729</v>
      </c>
      <c r="D350" s="63" t="s">
        <v>299</v>
      </c>
      <c r="E350" s="430"/>
      <c r="F350" s="75"/>
    </row>
    <row r="351" spans="2:6" s="50" customFormat="1" outlineLevel="2" x14ac:dyDescent="0.3">
      <c r="B351" s="444" t="s">
        <v>3968</v>
      </c>
      <c r="C351" s="438" t="s">
        <v>730</v>
      </c>
      <c r="D351" s="63" t="s">
        <v>299</v>
      </c>
      <c r="E351" s="430"/>
      <c r="F351" s="75"/>
    </row>
    <row r="352" spans="2:6" s="50" customFormat="1" outlineLevel="2" x14ac:dyDescent="0.3">
      <c r="B352" s="444" t="s">
        <v>3969</v>
      </c>
      <c r="C352" s="438" t="s">
        <v>731</v>
      </c>
      <c r="D352" s="63" t="s">
        <v>299</v>
      </c>
      <c r="E352" s="430"/>
      <c r="F352" s="75"/>
    </row>
    <row r="353" spans="2:6" outlineLevel="1" x14ac:dyDescent="0.3">
      <c r="B353" s="444" t="s">
        <v>3970</v>
      </c>
      <c r="C353" s="437" t="s">
        <v>732</v>
      </c>
      <c r="D353" s="59" t="s">
        <v>4654</v>
      </c>
      <c r="E353" s="429">
        <f>SUM(E354:E373)</f>
        <v>0</v>
      </c>
      <c r="F353" s="74">
        <f>SUM(F354:F373)</f>
        <v>0</v>
      </c>
    </row>
    <row r="354" spans="2:6" s="50" customFormat="1" outlineLevel="2" x14ac:dyDescent="0.3">
      <c r="B354" s="444" t="s">
        <v>3971</v>
      </c>
      <c r="C354" s="438" t="s">
        <v>733</v>
      </c>
      <c r="D354" s="62" t="s">
        <v>299</v>
      </c>
      <c r="E354" s="430"/>
      <c r="F354" s="75"/>
    </row>
    <row r="355" spans="2:6" s="50" customFormat="1" outlineLevel="2" x14ac:dyDescent="0.3">
      <c r="B355" s="444" t="s">
        <v>3972</v>
      </c>
      <c r="C355" s="438" t="s">
        <v>734</v>
      </c>
      <c r="D355" s="63" t="s">
        <v>299</v>
      </c>
      <c r="E355" s="430"/>
      <c r="F355" s="75"/>
    </row>
    <row r="356" spans="2:6" s="50" customFormat="1" outlineLevel="2" x14ac:dyDescent="0.3">
      <c r="B356" s="444" t="s">
        <v>3973</v>
      </c>
      <c r="C356" s="438" t="s">
        <v>735</v>
      </c>
      <c r="D356" s="63" t="s">
        <v>299</v>
      </c>
      <c r="E356" s="430"/>
      <c r="F356" s="75"/>
    </row>
    <row r="357" spans="2:6" s="50" customFormat="1" outlineLevel="2" x14ac:dyDescent="0.3">
      <c r="B357" s="444" t="s">
        <v>3974</v>
      </c>
      <c r="C357" s="438" t="s">
        <v>736</v>
      </c>
      <c r="D357" s="63" t="s">
        <v>299</v>
      </c>
      <c r="E357" s="430"/>
      <c r="F357" s="75"/>
    </row>
    <row r="358" spans="2:6" s="50" customFormat="1" outlineLevel="2" x14ac:dyDescent="0.3">
      <c r="B358" s="444" t="s">
        <v>3975</v>
      </c>
      <c r="C358" s="438" t="s">
        <v>737</v>
      </c>
      <c r="D358" s="63" t="s">
        <v>299</v>
      </c>
      <c r="E358" s="430"/>
      <c r="F358" s="75"/>
    </row>
    <row r="359" spans="2:6" s="50" customFormat="1" outlineLevel="2" x14ac:dyDescent="0.3">
      <c r="B359" s="444" t="s">
        <v>3976</v>
      </c>
      <c r="C359" s="438" t="s">
        <v>738</v>
      </c>
      <c r="D359" s="63" t="s">
        <v>299</v>
      </c>
      <c r="E359" s="430"/>
      <c r="F359" s="75"/>
    </row>
    <row r="360" spans="2:6" s="50" customFormat="1" outlineLevel="2" x14ac:dyDescent="0.3">
      <c r="B360" s="444" t="s">
        <v>3977</v>
      </c>
      <c r="C360" s="438" t="s">
        <v>739</v>
      </c>
      <c r="D360" s="63" t="s">
        <v>299</v>
      </c>
      <c r="E360" s="430"/>
      <c r="F360" s="75"/>
    </row>
    <row r="361" spans="2:6" s="50" customFormat="1" outlineLevel="2" x14ac:dyDescent="0.3">
      <c r="B361" s="444" t="s">
        <v>3978</v>
      </c>
      <c r="C361" s="438" t="s">
        <v>740</v>
      </c>
      <c r="D361" s="63" t="s">
        <v>299</v>
      </c>
      <c r="E361" s="430"/>
      <c r="F361" s="75"/>
    </row>
    <row r="362" spans="2:6" s="50" customFormat="1" outlineLevel="2" x14ac:dyDescent="0.3">
      <c r="B362" s="444" t="s">
        <v>3979</v>
      </c>
      <c r="C362" s="438" t="s">
        <v>741</v>
      </c>
      <c r="D362" s="63" t="s">
        <v>299</v>
      </c>
      <c r="E362" s="430"/>
      <c r="F362" s="75"/>
    </row>
    <row r="363" spans="2:6" s="50" customFormat="1" outlineLevel="2" x14ac:dyDescent="0.3">
      <c r="B363" s="444" t="s">
        <v>3980</v>
      </c>
      <c r="C363" s="438" t="s">
        <v>742</v>
      </c>
      <c r="D363" s="63" t="s">
        <v>299</v>
      </c>
      <c r="E363" s="430"/>
      <c r="F363" s="75"/>
    </row>
    <row r="364" spans="2:6" s="50" customFormat="1" outlineLevel="2" x14ac:dyDescent="0.3">
      <c r="B364" s="444" t="s">
        <v>3981</v>
      </c>
      <c r="C364" s="438" t="s">
        <v>743</v>
      </c>
      <c r="D364" s="63" t="s">
        <v>299</v>
      </c>
      <c r="E364" s="430"/>
      <c r="F364" s="75"/>
    </row>
    <row r="365" spans="2:6" s="50" customFormat="1" outlineLevel="2" x14ac:dyDescent="0.3">
      <c r="B365" s="444" t="s">
        <v>3982</v>
      </c>
      <c r="C365" s="438" t="s">
        <v>744</v>
      </c>
      <c r="D365" s="63" t="s">
        <v>299</v>
      </c>
      <c r="E365" s="430"/>
      <c r="F365" s="75"/>
    </row>
    <row r="366" spans="2:6" s="50" customFormat="1" outlineLevel="2" x14ac:dyDescent="0.3">
      <c r="B366" s="444" t="s">
        <v>3983</v>
      </c>
      <c r="C366" s="438" t="s">
        <v>745</v>
      </c>
      <c r="D366" s="63" t="s">
        <v>299</v>
      </c>
      <c r="E366" s="430"/>
      <c r="F366" s="75"/>
    </row>
    <row r="367" spans="2:6" s="50" customFormat="1" outlineLevel="2" x14ac:dyDescent="0.3">
      <c r="B367" s="444" t="s">
        <v>3984</v>
      </c>
      <c r="C367" s="438" t="s">
        <v>746</v>
      </c>
      <c r="D367" s="63" t="s">
        <v>299</v>
      </c>
      <c r="E367" s="430"/>
      <c r="F367" s="75"/>
    </row>
    <row r="368" spans="2:6" s="50" customFormat="1" outlineLevel="2" x14ac:dyDescent="0.3">
      <c r="B368" s="444" t="s">
        <v>3985</v>
      </c>
      <c r="C368" s="438" t="s">
        <v>747</v>
      </c>
      <c r="D368" s="63" t="s">
        <v>299</v>
      </c>
      <c r="E368" s="430"/>
      <c r="F368" s="75"/>
    </row>
    <row r="369" spans="2:6" s="50" customFormat="1" outlineLevel="2" x14ac:dyDescent="0.3">
      <c r="B369" s="444" t="s">
        <v>3986</v>
      </c>
      <c r="C369" s="438" t="s">
        <v>748</v>
      </c>
      <c r="D369" s="63" t="s">
        <v>299</v>
      </c>
      <c r="E369" s="430"/>
      <c r="F369" s="75"/>
    </row>
    <row r="370" spans="2:6" s="50" customFormat="1" outlineLevel="2" x14ac:dyDescent="0.3">
      <c r="B370" s="444" t="s">
        <v>3987</v>
      </c>
      <c r="C370" s="438" t="s">
        <v>749</v>
      </c>
      <c r="D370" s="63" t="s">
        <v>299</v>
      </c>
      <c r="E370" s="430"/>
      <c r="F370" s="75"/>
    </row>
    <row r="371" spans="2:6" s="50" customFormat="1" outlineLevel="2" x14ac:dyDescent="0.3">
      <c r="B371" s="444" t="s">
        <v>3988</v>
      </c>
      <c r="C371" s="438" t="s">
        <v>750</v>
      </c>
      <c r="D371" s="63" t="s">
        <v>299</v>
      </c>
      <c r="E371" s="430"/>
      <c r="F371" s="75"/>
    </row>
    <row r="372" spans="2:6" s="50" customFormat="1" outlineLevel="2" x14ac:dyDescent="0.3">
      <c r="B372" s="444" t="s">
        <v>3989</v>
      </c>
      <c r="C372" s="438" t="s">
        <v>751</v>
      </c>
      <c r="D372" s="63" t="s">
        <v>299</v>
      </c>
      <c r="E372" s="430"/>
      <c r="F372" s="75"/>
    </row>
    <row r="373" spans="2:6" s="50" customFormat="1" outlineLevel="2" x14ac:dyDescent="0.3">
      <c r="B373" s="444" t="s">
        <v>3990</v>
      </c>
      <c r="C373" s="438" t="s">
        <v>752</v>
      </c>
      <c r="D373" s="63" t="s">
        <v>299</v>
      </c>
      <c r="E373" s="430"/>
      <c r="F373" s="75"/>
    </row>
    <row r="374" spans="2:6" outlineLevel="1" x14ac:dyDescent="0.3">
      <c r="B374" s="444" t="s">
        <v>3991</v>
      </c>
      <c r="C374" s="437" t="s">
        <v>753</v>
      </c>
      <c r="D374" s="59" t="s">
        <v>287</v>
      </c>
      <c r="E374" s="429">
        <f>SUM(E375:E394)</f>
        <v>0</v>
      </c>
      <c r="F374" s="74">
        <f>SUM(F375:F394)</f>
        <v>0</v>
      </c>
    </row>
    <row r="375" spans="2:6" s="50" customFormat="1" outlineLevel="2" x14ac:dyDescent="0.3">
      <c r="B375" s="444" t="s">
        <v>3992</v>
      </c>
      <c r="C375" s="438" t="s">
        <v>754</v>
      </c>
      <c r="D375" s="62" t="s">
        <v>299</v>
      </c>
      <c r="E375" s="430"/>
      <c r="F375" s="75"/>
    </row>
    <row r="376" spans="2:6" s="50" customFormat="1" outlineLevel="2" x14ac:dyDescent="0.3">
      <c r="B376" s="444" t="s">
        <v>3993</v>
      </c>
      <c r="C376" s="438" t="s">
        <v>755</v>
      </c>
      <c r="D376" s="63" t="s">
        <v>299</v>
      </c>
      <c r="E376" s="430"/>
      <c r="F376" s="75"/>
    </row>
    <row r="377" spans="2:6" s="50" customFormat="1" outlineLevel="2" x14ac:dyDescent="0.3">
      <c r="B377" s="444" t="s">
        <v>3994</v>
      </c>
      <c r="C377" s="438" t="s">
        <v>756</v>
      </c>
      <c r="D377" s="63" t="s">
        <v>299</v>
      </c>
      <c r="E377" s="430"/>
      <c r="F377" s="75"/>
    </row>
    <row r="378" spans="2:6" s="50" customFormat="1" outlineLevel="2" x14ac:dyDescent="0.3">
      <c r="B378" s="444" t="s">
        <v>3995</v>
      </c>
      <c r="C378" s="438" t="s">
        <v>757</v>
      </c>
      <c r="D378" s="63" t="s">
        <v>299</v>
      </c>
      <c r="E378" s="430"/>
      <c r="F378" s="75"/>
    </row>
    <row r="379" spans="2:6" s="50" customFormat="1" outlineLevel="2" x14ac:dyDescent="0.3">
      <c r="B379" s="444" t="s">
        <v>3996</v>
      </c>
      <c r="C379" s="438" t="s">
        <v>758</v>
      </c>
      <c r="D379" s="63" t="s">
        <v>299</v>
      </c>
      <c r="E379" s="430"/>
      <c r="F379" s="75"/>
    </row>
    <row r="380" spans="2:6" s="50" customFormat="1" outlineLevel="2" x14ac:dyDescent="0.3">
      <c r="B380" s="444" t="s">
        <v>3997</v>
      </c>
      <c r="C380" s="438" t="s">
        <v>759</v>
      </c>
      <c r="D380" s="63" t="s">
        <v>299</v>
      </c>
      <c r="E380" s="430"/>
      <c r="F380" s="75"/>
    </row>
    <row r="381" spans="2:6" s="50" customFormat="1" outlineLevel="2" x14ac:dyDescent="0.3">
      <c r="B381" s="444" t="s">
        <v>3998</v>
      </c>
      <c r="C381" s="438" t="s">
        <v>760</v>
      </c>
      <c r="D381" s="63" t="s">
        <v>299</v>
      </c>
      <c r="E381" s="430"/>
      <c r="F381" s="75"/>
    </row>
    <row r="382" spans="2:6" s="50" customFormat="1" outlineLevel="2" x14ac:dyDescent="0.3">
      <c r="B382" s="444" t="s">
        <v>3999</v>
      </c>
      <c r="C382" s="438" t="s">
        <v>761</v>
      </c>
      <c r="D382" s="63" t="s">
        <v>299</v>
      </c>
      <c r="E382" s="430"/>
      <c r="F382" s="75"/>
    </row>
    <row r="383" spans="2:6" s="50" customFormat="1" outlineLevel="2" x14ac:dyDescent="0.3">
      <c r="B383" s="444" t="s">
        <v>4000</v>
      </c>
      <c r="C383" s="438" t="s">
        <v>762</v>
      </c>
      <c r="D383" s="63" t="s">
        <v>299</v>
      </c>
      <c r="E383" s="430"/>
      <c r="F383" s="75"/>
    </row>
    <row r="384" spans="2:6" s="50" customFormat="1" outlineLevel="2" x14ac:dyDescent="0.3">
      <c r="B384" s="444" t="s">
        <v>4001</v>
      </c>
      <c r="C384" s="438" t="s">
        <v>763</v>
      </c>
      <c r="D384" s="63" t="s">
        <v>299</v>
      </c>
      <c r="E384" s="430"/>
      <c r="F384" s="75"/>
    </row>
    <row r="385" spans="2:6" s="50" customFormat="1" outlineLevel="2" x14ac:dyDescent="0.3">
      <c r="B385" s="444" t="s">
        <v>4002</v>
      </c>
      <c r="C385" s="438" t="s">
        <v>764</v>
      </c>
      <c r="D385" s="63" t="s">
        <v>299</v>
      </c>
      <c r="E385" s="430"/>
      <c r="F385" s="75"/>
    </row>
    <row r="386" spans="2:6" s="50" customFormat="1" outlineLevel="2" x14ac:dyDescent="0.3">
      <c r="B386" s="444" t="s">
        <v>4003</v>
      </c>
      <c r="C386" s="438" t="s">
        <v>765</v>
      </c>
      <c r="D386" s="63" t="s">
        <v>299</v>
      </c>
      <c r="E386" s="430"/>
      <c r="F386" s="75"/>
    </row>
    <row r="387" spans="2:6" s="50" customFormat="1" outlineLevel="2" x14ac:dyDescent="0.3">
      <c r="B387" s="444" t="s">
        <v>4004</v>
      </c>
      <c r="C387" s="438" t="s">
        <v>766</v>
      </c>
      <c r="D387" s="63" t="s">
        <v>299</v>
      </c>
      <c r="E387" s="430"/>
      <c r="F387" s="75"/>
    </row>
    <row r="388" spans="2:6" s="50" customFormat="1" outlineLevel="2" x14ac:dyDescent="0.3">
      <c r="B388" s="444" t="s">
        <v>4005</v>
      </c>
      <c r="C388" s="438" t="s">
        <v>767</v>
      </c>
      <c r="D388" s="63" t="s">
        <v>299</v>
      </c>
      <c r="E388" s="430"/>
      <c r="F388" s="75"/>
    </row>
    <row r="389" spans="2:6" s="50" customFormat="1" outlineLevel="2" x14ac:dyDescent="0.3">
      <c r="B389" s="444" t="s">
        <v>4006</v>
      </c>
      <c r="C389" s="438" t="s">
        <v>768</v>
      </c>
      <c r="D389" s="63" t="s">
        <v>299</v>
      </c>
      <c r="E389" s="430"/>
      <c r="F389" s="75"/>
    </row>
    <row r="390" spans="2:6" s="50" customFormat="1" outlineLevel="2" x14ac:dyDescent="0.3">
      <c r="B390" s="444" t="s">
        <v>4007</v>
      </c>
      <c r="C390" s="438" t="s">
        <v>769</v>
      </c>
      <c r="D390" s="63" t="s">
        <v>299</v>
      </c>
      <c r="E390" s="430"/>
      <c r="F390" s="75"/>
    </row>
    <row r="391" spans="2:6" s="50" customFormat="1" outlineLevel="2" x14ac:dyDescent="0.3">
      <c r="B391" s="444" t="s">
        <v>4008</v>
      </c>
      <c r="C391" s="438" t="s">
        <v>770</v>
      </c>
      <c r="D391" s="63" t="s">
        <v>299</v>
      </c>
      <c r="E391" s="430"/>
      <c r="F391" s="75"/>
    </row>
    <row r="392" spans="2:6" s="50" customFormat="1" outlineLevel="2" x14ac:dyDescent="0.3">
      <c r="B392" s="444" t="s">
        <v>4009</v>
      </c>
      <c r="C392" s="438" t="s">
        <v>771</v>
      </c>
      <c r="D392" s="63" t="s">
        <v>299</v>
      </c>
      <c r="E392" s="430"/>
      <c r="F392" s="75"/>
    </row>
    <row r="393" spans="2:6" s="50" customFormat="1" outlineLevel="2" x14ac:dyDescent="0.3">
      <c r="B393" s="444" t="s">
        <v>4010</v>
      </c>
      <c r="C393" s="438" t="s">
        <v>772</v>
      </c>
      <c r="D393" s="63" t="s">
        <v>299</v>
      </c>
      <c r="E393" s="430"/>
      <c r="F393" s="75"/>
    </row>
    <row r="394" spans="2:6" s="50" customFormat="1" outlineLevel="2" x14ac:dyDescent="0.3">
      <c r="B394" s="444" t="s">
        <v>4011</v>
      </c>
      <c r="C394" s="438" t="s">
        <v>773</v>
      </c>
      <c r="D394" s="63" t="s">
        <v>299</v>
      </c>
      <c r="E394" s="430"/>
      <c r="F394" s="75"/>
    </row>
    <row r="395" spans="2:6" outlineLevel="1" x14ac:dyDescent="0.3">
      <c r="B395" s="444" t="s">
        <v>4012</v>
      </c>
      <c r="C395" s="437" t="s">
        <v>774</v>
      </c>
      <c r="D395" s="59" t="s">
        <v>4655</v>
      </c>
      <c r="E395" s="429">
        <f>SUM(E396:E415)</f>
        <v>0</v>
      </c>
      <c r="F395" s="74">
        <f>SUM(F396:F415)</f>
        <v>0</v>
      </c>
    </row>
    <row r="396" spans="2:6" s="50" customFormat="1" outlineLevel="2" x14ac:dyDescent="0.3">
      <c r="B396" s="444" t="s">
        <v>4013</v>
      </c>
      <c r="C396" s="438" t="s">
        <v>775</v>
      </c>
      <c r="D396" s="62" t="s">
        <v>299</v>
      </c>
      <c r="E396" s="430"/>
      <c r="F396" s="75"/>
    </row>
    <row r="397" spans="2:6" s="50" customFormat="1" outlineLevel="2" x14ac:dyDescent="0.3">
      <c r="B397" s="444" t="s">
        <v>4014</v>
      </c>
      <c r="C397" s="438" t="s">
        <v>776</v>
      </c>
      <c r="D397" s="63" t="s">
        <v>299</v>
      </c>
      <c r="E397" s="430"/>
      <c r="F397" s="75"/>
    </row>
    <row r="398" spans="2:6" s="50" customFormat="1" outlineLevel="2" x14ac:dyDescent="0.3">
      <c r="B398" s="444" t="s">
        <v>4015</v>
      </c>
      <c r="C398" s="438" t="s">
        <v>777</v>
      </c>
      <c r="D398" s="63" t="s">
        <v>299</v>
      </c>
      <c r="E398" s="430"/>
      <c r="F398" s="75"/>
    </row>
    <row r="399" spans="2:6" s="50" customFormat="1" outlineLevel="2" x14ac:dyDescent="0.3">
      <c r="B399" s="444" t="s">
        <v>4016</v>
      </c>
      <c r="C399" s="438" t="s">
        <v>778</v>
      </c>
      <c r="D399" s="63" t="s">
        <v>299</v>
      </c>
      <c r="E399" s="430"/>
      <c r="F399" s="75"/>
    </row>
    <row r="400" spans="2:6" s="50" customFormat="1" outlineLevel="2" x14ac:dyDescent="0.3">
      <c r="B400" s="444" t="s">
        <v>4017</v>
      </c>
      <c r="C400" s="438" t="s">
        <v>779</v>
      </c>
      <c r="D400" s="63" t="s">
        <v>299</v>
      </c>
      <c r="E400" s="430"/>
      <c r="F400" s="75"/>
    </row>
    <row r="401" spans="2:6" s="50" customFormat="1" outlineLevel="2" x14ac:dyDescent="0.3">
      <c r="B401" s="444" t="s">
        <v>4018</v>
      </c>
      <c r="C401" s="438" t="s">
        <v>780</v>
      </c>
      <c r="D401" s="63" t="s">
        <v>299</v>
      </c>
      <c r="E401" s="430"/>
      <c r="F401" s="75"/>
    </row>
    <row r="402" spans="2:6" s="50" customFormat="1" outlineLevel="2" x14ac:dyDescent="0.3">
      <c r="B402" s="444" t="s">
        <v>4019</v>
      </c>
      <c r="C402" s="438" t="s">
        <v>781</v>
      </c>
      <c r="D402" s="63" t="s">
        <v>299</v>
      </c>
      <c r="E402" s="430"/>
      <c r="F402" s="75"/>
    </row>
    <row r="403" spans="2:6" s="50" customFormat="1" outlineLevel="2" x14ac:dyDescent="0.3">
      <c r="B403" s="444" t="s">
        <v>4020</v>
      </c>
      <c r="C403" s="438" t="s">
        <v>782</v>
      </c>
      <c r="D403" s="63" t="s">
        <v>299</v>
      </c>
      <c r="E403" s="430"/>
      <c r="F403" s="75"/>
    </row>
    <row r="404" spans="2:6" s="50" customFormat="1" outlineLevel="2" x14ac:dyDescent="0.3">
      <c r="B404" s="444" t="s">
        <v>4021</v>
      </c>
      <c r="C404" s="438" t="s">
        <v>783</v>
      </c>
      <c r="D404" s="63" t="s">
        <v>299</v>
      </c>
      <c r="E404" s="430"/>
      <c r="F404" s="75"/>
    </row>
    <row r="405" spans="2:6" s="50" customFormat="1" outlineLevel="2" x14ac:dyDescent="0.3">
      <c r="B405" s="444" t="s">
        <v>4022</v>
      </c>
      <c r="C405" s="438" t="s">
        <v>784</v>
      </c>
      <c r="D405" s="63" t="s">
        <v>299</v>
      </c>
      <c r="E405" s="430"/>
      <c r="F405" s="75"/>
    </row>
    <row r="406" spans="2:6" s="50" customFormat="1" outlineLevel="2" x14ac:dyDescent="0.3">
      <c r="B406" s="444" t="s">
        <v>4023</v>
      </c>
      <c r="C406" s="438" t="s">
        <v>785</v>
      </c>
      <c r="D406" s="63" t="s">
        <v>299</v>
      </c>
      <c r="E406" s="430"/>
      <c r="F406" s="75"/>
    </row>
    <row r="407" spans="2:6" s="50" customFormat="1" outlineLevel="2" x14ac:dyDescent="0.3">
      <c r="B407" s="444" t="s">
        <v>4024</v>
      </c>
      <c r="C407" s="438" t="s">
        <v>786</v>
      </c>
      <c r="D407" s="63" t="s">
        <v>299</v>
      </c>
      <c r="E407" s="430"/>
      <c r="F407" s="75"/>
    </row>
    <row r="408" spans="2:6" s="50" customFormat="1" outlineLevel="2" x14ac:dyDescent="0.3">
      <c r="B408" s="444" t="s">
        <v>4025</v>
      </c>
      <c r="C408" s="438" t="s">
        <v>787</v>
      </c>
      <c r="D408" s="63" t="s">
        <v>299</v>
      </c>
      <c r="E408" s="430"/>
      <c r="F408" s="75"/>
    </row>
    <row r="409" spans="2:6" s="50" customFormat="1" outlineLevel="2" x14ac:dyDescent="0.3">
      <c r="B409" s="444" t="s">
        <v>4026</v>
      </c>
      <c r="C409" s="438" t="s">
        <v>788</v>
      </c>
      <c r="D409" s="63" t="s">
        <v>299</v>
      </c>
      <c r="E409" s="430"/>
      <c r="F409" s="75"/>
    </row>
    <row r="410" spans="2:6" s="50" customFormat="1" outlineLevel="2" x14ac:dyDescent="0.3">
      <c r="B410" s="444" t="s">
        <v>4027</v>
      </c>
      <c r="C410" s="438" t="s">
        <v>789</v>
      </c>
      <c r="D410" s="63" t="s">
        <v>299</v>
      </c>
      <c r="E410" s="430"/>
      <c r="F410" s="75"/>
    </row>
    <row r="411" spans="2:6" s="50" customFormat="1" outlineLevel="2" x14ac:dyDescent="0.3">
      <c r="B411" s="444" t="s">
        <v>4028</v>
      </c>
      <c r="C411" s="438" t="s">
        <v>790</v>
      </c>
      <c r="D411" s="63" t="s">
        <v>299</v>
      </c>
      <c r="E411" s="430"/>
      <c r="F411" s="75"/>
    </row>
    <row r="412" spans="2:6" s="50" customFormat="1" outlineLevel="2" x14ac:dyDescent="0.3">
      <c r="B412" s="444" t="s">
        <v>4029</v>
      </c>
      <c r="C412" s="438" t="s">
        <v>791</v>
      </c>
      <c r="D412" s="63" t="s">
        <v>299</v>
      </c>
      <c r="E412" s="430"/>
      <c r="F412" s="75"/>
    </row>
    <row r="413" spans="2:6" s="50" customFormat="1" outlineLevel="2" x14ac:dyDescent="0.3">
      <c r="B413" s="444" t="s">
        <v>4030</v>
      </c>
      <c r="C413" s="438" t="s">
        <v>792</v>
      </c>
      <c r="D413" s="63" t="s">
        <v>299</v>
      </c>
      <c r="E413" s="430"/>
      <c r="F413" s="75"/>
    </row>
    <row r="414" spans="2:6" s="50" customFormat="1" outlineLevel="2" x14ac:dyDescent="0.3">
      <c r="B414" s="444" t="s">
        <v>4031</v>
      </c>
      <c r="C414" s="438" t="s">
        <v>793</v>
      </c>
      <c r="D414" s="63" t="s">
        <v>299</v>
      </c>
      <c r="E414" s="430"/>
      <c r="F414" s="75"/>
    </row>
    <row r="415" spans="2:6" s="50" customFormat="1" outlineLevel="2" x14ac:dyDescent="0.3">
      <c r="B415" s="444" t="s">
        <v>4032</v>
      </c>
      <c r="C415" s="438" t="s">
        <v>794</v>
      </c>
      <c r="D415" s="63" t="s">
        <v>299</v>
      </c>
      <c r="E415" s="430"/>
      <c r="F415" s="75"/>
    </row>
    <row r="416" spans="2:6" s="64" customFormat="1" x14ac:dyDescent="0.3">
      <c r="B416" s="444" t="s">
        <v>4033</v>
      </c>
      <c r="C416" s="436">
        <v>8.3000000000000007</v>
      </c>
      <c r="D416" s="65" t="s">
        <v>293</v>
      </c>
      <c r="E416" s="428">
        <f>E417+E438+E459+E480</f>
        <v>0</v>
      </c>
      <c r="F416" s="73">
        <f>F417+F438+F459+F480</f>
        <v>0</v>
      </c>
    </row>
    <row r="417" spans="2:6" outlineLevel="1" x14ac:dyDescent="0.3">
      <c r="B417" s="444" t="s">
        <v>4034</v>
      </c>
      <c r="C417" s="437" t="s">
        <v>795</v>
      </c>
      <c r="D417" s="59" t="s">
        <v>294</v>
      </c>
      <c r="E417" s="429">
        <f>SUM(E418:E437)</f>
        <v>0</v>
      </c>
      <c r="F417" s="74">
        <f>SUM(F418:F437)</f>
        <v>0</v>
      </c>
    </row>
    <row r="418" spans="2:6" s="50" customFormat="1" outlineLevel="2" x14ac:dyDescent="0.3">
      <c r="B418" s="444" t="s">
        <v>4035</v>
      </c>
      <c r="C418" s="438" t="s">
        <v>796</v>
      </c>
      <c r="D418" s="62" t="s">
        <v>299</v>
      </c>
      <c r="E418" s="430"/>
      <c r="F418" s="75"/>
    </row>
    <row r="419" spans="2:6" s="50" customFormat="1" outlineLevel="2" x14ac:dyDescent="0.3">
      <c r="B419" s="444" t="s">
        <v>4036</v>
      </c>
      <c r="C419" s="438" t="s">
        <v>797</v>
      </c>
      <c r="D419" s="63" t="s">
        <v>299</v>
      </c>
      <c r="E419" s="430"/>
      <c r="F419" s="75"/>
    </row>
    <row r="420" spans="2:6" s="50" customFormat="1" outlineLevel="2" x14ac:dyDescent="0.3">
      <c r="B420" s="444" t="s">
        <v>4037</v>
      </c>
      <c r="C420" s="438" t="s">
        <v>798</v>
      </c>
      <c r="D420" s="63" t="s">
        <v>299</v>
      </c>
      <c r="E420" s="430"/>
      <c r="F420" s="75"/>
    </row>
    <row r="421" spans="2:6" s="50" customFormat="1" outlineLevel="2" x14ac:dyDescent="0.3">
      <c r="B421" s="444" t="s">
        <v>4038</v>
      </c>
      <c r="C421" s="438" t="s">
        <v>799</v>
      </c>
      <c r="D421" s="63" t="s">
        <v>299</v>
      </c>
      <c r="E421" s="430"/>
      <c r="F421" s="75"/>
    </row>
    <row r="422" spans="2:6" s="50" customFormat="1" outlineLevel="2" x14ac:dyDescent="0.3">
      <c r="B422" s="444" t="s">
        <v>4039</v>
      </c>
      <c r="C422" s="438" t="s">
        <v>800</v>
      </c>
      <c r="D422" s="63" t="s">
        <v>299</v>
      </c>
      <c r="E422" s="430"/>
      <c r="F422" s="75"/>
    </row>
    <row r="423" spans="2:6" s="50" customFormat="1" outlineLevel="2" x14ac:dyDescent="0.3">
      <c r="B423" s="444" t="s">
        <v>4040</v>
      </c>
      <c r="C423" s="438" t="s">
        <v>801</v>
      </c>
      <c r="D423" s="63" t="s">
        <v>299</v>
      </c>
      <c r="E423" s="430"/>
      <c r="F423" s="75"/>
    </row>
    <row r="424" spans="2:6" s="50" customFormat="1" outlineLevel="2" x14ac:dyDescent="0.3">
      <c r="B424" s="444" t="s">
        <v>4041</v>
      </c>
      <c r="C424" s="438" t="s">
        <v>802</v>
      </c>
      <c r="D424" s="63" t="s">
        <v>299</v>
      </c>
      <c r="E424" s="430"/>
      <c r="F424" s="75"/>
    </row>
    <row r="425" spans="2:6" s="50" customFormat="1" outlineLevel="2" x14ac:dyDescent="0.3">
      <c r="B425" s="444" t="s">
        <v>4042</v>
      </c>
      <c r="C425" s="438" t="s">
        <v>803</v>
      </c>
      <c r="D425" s="63" t="s">
        <v>299</v>
      </c>
      <c r="E425" s="430"/>
      <c r="F425" s="75"/>
    </row>
    <row r="426" spans="2:6" s="50" customFormat="1" outlineLevel="2" x14ac:dyDescent="0.3">
      <c r="B426" s="444" t="s">
        <v>4043</v>
      </c>
      <c r="C426" s="438" t="s">
        <v>804</v>
      </c>
      <c r="D426" s="63" t="s">
        <v>299</v>
      </c>
      <c r="E426" s="430"/>
      <c r="F426" s="75"/>
    </row>
    <row r="427" spans="2:6" s="50" customFormat="1" outlineLevel="2" x14ac:dyDescent="0.3">
      <c r="B427" s="444" t="s">
        <v>4044</v>
      </c>
      <c r="C427" s="438" t="s">
        <v>805</v>
      </c>
      <c r="D427" s="63" t="s">
        <v>299</v>
      </c>
      <c r="E427" s="430"/>
      <c r="F427" s="75"/>
    </row>
    <row r="428" spans="2:6" s="50" customFormat="1" outlineLevel="2" x14ac:dyDescent="0.3">
      <c r="B428" s="444" t="s">
        <v>4045</v>
      </c>
      <c r="C428" s="438" t="s">
        <v>806</v>
      </c>
      <c r="D428" s="63" t="s">
        <v>299</v>
      </c>
      <c r="E428" s="430"/>
      <c r="F428" s="75"/>
    </row>
    <row r="429" spans="2:6" s="50" customFormat="1" outlineLevel="2" x14ac:dyDescent="0.3">
      <c r="B429" s="444" t="s">
        <v>4046</v>
      </c>
      <c r="C429" s="438" t="s">
        <v>807</v>
      </c>
      <c r="D429" s="63" t="s">
        <v>299</v>
      </c>
      <c r="E429" s="430"/>
      <c r="F429" s="75"/>
    </row>
    <row r="430" spans="2:6" s="50" customFormat="1" outlineLevel="2" x14ac:dyDescent="0.3">
      <c r="B430" s="444" t="s">
        <v>4047</v>
      </c>
      <c r="C430" s="438" t="s">
        <v>808</v>
      </c>
      <c r="D430" s="63" t="s">
        <v>299</v>
      </c>
      <c r="E430" s="430"/>
      <c r="F430" s="75"/>
    </row>
    <row r="431" spans="2:6" s="50" customFormat="1" outlineLevel="2" x14ac:dyDescent="0.3">
      <c r="B431" s="444" t="s">
        <v>4048</v>
      </c>
      <c r="C431" s="438" t="s">
        <v>809</v>
      </c>
      <c r="D431" s="63" t="s">
        <v>299</v>
      </c>
      <c r="E431" s="430"/>
      <c r="F431" s="75"/>
    </row>
    <row r="432" spans="2:6" s="50" customFormat="1" outlineLevel="2" x14ac:dyDescent="0.3">
      <c r="B432" s="444" t="s">
        <v>4049</v>
      </c>
      <c r="C432" s="438" t="s">
        <v>810</v>
      </c>
      <c r="D432" s="63" t="s">
        <v>299</v>
      </c>
      <c r="E432" s="430"/>
      <c r="F432" s="75"/>
    </row>
    <row r="433" spans="2:6" s="50" customFormat="1" outlineLevel="2" x14ac:dyDescent="0.3">
      <c r="B433" s="444" t="s">
        <v>4050</v>
      </c>
      <c r="C433" s="438" t="s">
        <v>811</v>
      </c>
      <c r="D433" s="63" t="s">
        <v>299</v>
      </c>
      <c r="E433" s="430"/>
      <c r="F433" s="75"/>
    </row>
    <row r="434" spans="2:6" s="50" customFormat="1" outlineLevel="2" x14ac:dyDescent="0.3">
      <c r="B434" s="444" t="s">
        <v>4051</v>
      </c>
      <c r="C434" s="438" t="s">
        <v>812</v>
      </c>
      <c r="D434" s="63" t="s">
        <v>299</v>
      </c>
      <c r="E434" s="430"/>
      <c r="F434" s="75"/>
    </row>
    <row r="435" spans="2:6" s="50" customFormat="1" outlineLevel="2" x14ac:dyDescent="0.3">
      <c r="B435" s="444" t="s">
        <v>4052</v>
      </c>
      <c r="C435" s="438" t="s">
        <v>813</v>
      </c>
      <c r="D435" s="63" t="s">
        <v>299</v>
      </c>
      <c r="E435" s="430"/>
      <c r="F435" s="75"/>
    </row>
    <row r="436" spans="2:6" s="50" customFormat="1" outlineLevel="2" x14ac:dyDescent="0.3">
      <c r="B436" s="444" t="s">
        <v>4053</v>
      </c>
      <c r="C436" s="438" t="s">
        <v>814</v>
      </c>
      <c r="D436" s="63" t="s">
        <v>299</v>
      </c>
      <c r="E436" s="430"/>
      <c r="F436" s="75"/>
    </row>
    <row r="437" spans="2:6" s="50" customFormat="1" outlineLevel="2" x14ac:dyDescent="0.3">
      <c r="B437" s="444" t="s">
        <v>4054</v>
      </c>
      <c r="C437" s="438" t="s">
        <v>815</v>
      </c>
      <c r="D437" s="63" t="s">
        <v>299</v>
      </c>
      <c r="E437" s="430"/>
      <c r="F437" s="75"/>
    </row>
    <row r="438" spans="2:6" outlineLevel="1" x14ac:dyDescent="0.3">
      <c r="B438" s="444" t="s">
        <v>4055</v>
      </c>
      <c r="C438" s="437" t="s">
        <v>816</v>
      </c>
      <c r="D438" s="59" t="s">
        <v>4656</v>
      </c>
      <c r="E438" s="429">
        <f>SUM(E439:E458)</f>
        <v>0</v>
      </c>
      <c r="F438" s="74">
        <f>SUM(F439:F458)</f>
        <v>0</v>
      </c>
    </row>
    <row r="439" spans="2:6" s="50" customFormat="1" outlineLevel="2" x14ac:dyDescent="0.3">
      <c r="B439" s="444" t="s">
        <v>4056</v>
      </c>
      <c r="C439" s="438" t="s">
        <v>817</v>
      </c>
      <c r="D439" s="62" t="s">
        <v>299</v>
      </c>
      <c r="E439" s="430"/>
      <c r="F439" s="75"/>
    </row>
    <row r="440" spans="2:6" s="50" customFormat="1" outlineLevel="2" x14ac:dyDescent="0.3">
      <c r="B440" s="444" t="s">
        <v>4057</v>
      </c>
      <c r="C440" s="438" t="s">
        <v>818</v>
      </c>
      <c r="D440" s="63" t="s">
        <v>299</v>
      </c>
      <c r="E440" s="430"/>
      <c r="F440" s="75"/>
    </row>
    <row r="441" spans="2:6" s="50" customFormat="1" outlineLevel="2" x14ac:dyDescent="0.3">
      <c r="B441" s="444" t="s">
        <v>4058</v>
      </c>
      <c r="C441" s="438" t="s">
        <v>819</v>
      </c>
      <c r="D441" s="63" t="s">
        <v>299</v>
      </c>
      <c r="E441" s="430"/>
      <c r="F441" s="75"/>
    </row>
    <row r="442" spans="2:6" s="50" customFormat="1" outlineLevel="2" x14ac:dyDescent="0.3">
      <c r="B442" s="444" t="s">
        <v>4059</v>
      </c>
      <c r="C442" s="438" t="s">
        <v>820</v>
      </c>
      <c r="D442" s="63" t="s">
        <v>299</v>
      </c>
      <c r="E442" s="430"/>
      <c r="F442" s="75"/>
    </row>
    <row r="443" spans="2:6" s="50" customFormat="1" outlineLevel="2" x14ac:dyDescent="0.3">
      <c r="B443" s="444" t="s">
        <v>4060</v>
      </c>
      <c r="C443" s="438" t="s">
        <v>821</v>
      </c>
      <c r="D443" s="63" t="s">
        <v>299</v>
      </c>
      <c r="E443" s="430"/>
      <c r="F443" s="75"/>
    </row>
    <row r="444" spans="2:6" s="50" customFormat="1" outlineLevel="2" x14ac:dyDescent="0.3">
      <c r="B444" s="444" t="s">
        <v>4061</v>
      </c>
      <c r="C444" s="438" t="s">
        <v>822</v>
      </c>
      <c r="D444" s="63" t="s">
        <v>299</v>
      </c>
      <c r="E444" s="430"/>
      <c r="F444" s="75"/>
    </row>
    <row r="445" spans="2:6" s="50" customFormat="1" outlineLevel="2" x14ac:dyDescent="0.3">
      <c r="B445" s="444" t="s">
        <v>4062</v>
      </c>
      <c r="C445" s="438" t="s">
        <v>823</v>
      </c>
      <c r="D445" s="63" t="s">
        <v>299</v>
      </c>
      <c r="E445" s="430"/>
      <c r="F445" s="75"/>
    </row>
    <row r="446" spans="2:6" s="50" customFormat="1" outlineLevel="2" x14ac:dyDescent="0.3">
      <c r="B446" s="444" t="s">
        <v>4063</v>
      </c>
      <c r="C446" s="438" t="s">
        <v>824</v>
      </c>
      <c r="D446" s="63" t="s">
        <v>299</v>
      </c>
      <c r="E446" s="430"/>
      <c r="F446" s="75"/>
    </row>
    <row r="447" spans="2:6" s="50" customFormat="1" outlineLevel="2" x14ac:dyDescent="0.3">
      <c r="B447" s="444" t="s">
        <v>4064</v>
      </c>
      <c r="C447" s="438" t="s">
        <v>825</v>
      </c>
      <c r="D447" s="63" t="s">
        <v>299</v>
      </c>
      <c r="E447" s="430"/>
      <c r="F447" s="75"/>
    </row>
    <row r="448" spans="2:6" s="50" customFormat="1" outlineLevel="2" x14ac:dyDescent="0.3">
      <c r="B448" s="444" t="s">
        <v>4065</v>
      </c>
      <c r="C448" s="438" t="s">
        <v>826</v>
      </c>
      <c r="D448" s="63" t="s">
        <v>299</v>
      </c>
      <c r="E448" s="430"/>
      <c r="F448" s="75"/>
    </row>
    <row r="449" spans="2:6" s="50" customFormat="1" outlineLevel="2" x14ac:dyDescent="0.3">
      <c r="B449" s="444" t="s">
        <v>4066</v>
      </c>
      <c r="C449" s="438" t="s">
        <v>827</v>
      </c>
      <c r="D449" s="63" t="s">
        <v>299</v>
      </c>
      <c r="E449" s="430"/>
      <c r="F449" s="75"/>
    </row>
    <row r="450" spans="2:6" s="50" customFormat="1" outlineLevel="2" x14ac:dyDescent="0.3">
      <c r="B450" s="444" t="s">
        <v>4067</v>
      </c>
      <c r="C450" s="438" t="s">
        <v>828</v>
      </c>
      <c r="D450" s="63" t="s">
        <v>299</v>
      </c>
      <c r="E450" s="430"/>
      <c r="F450" s="75"/>
    </row>
    <row r="451" spans="2:6" s="50" customFormat="1" outlineLevel="2" x14ac:dyDescent="0.3">
      <c r="B451" s="444" t="s">
        <v>4068</v>
      </c>
      <c r="C451" s="438" t="s">
        <v>829</v>
      </c>
      <c r="D451" s="63" t="s">
        <v>299</v>
      </c>
      <c r="E451" s="430"/>
      <c r="F451" s="75"/>
    </row>
    <row r="452" spans="2:6" s="50" customFormat="1" outlineLevel="2" x14ac:dyDescent="0.3">
      <c r="B452" s="444" t="s">
        <v>4069</v>
      </c>
      <c r="C452" s="438" t="s">
        <v>830</v>
      </c>
      <c r="D452" s="63" t="s">
        <v>299</v>
      </c>
      <c r="E452" s="430"/>
      <c r="F452" s="75"/>
    </row>
    <row r="453" spans="2:6" s="50" customFormat="1" outlineLevel="2" x14ac:dyDescent="0.3">
      <c r="B453" s="444" t="s">
        <v>4070</v>
      </c>
      <c r="C453" s="438" t="s">
        <v>831</v>
      </c>
      <c r="D453" s="63" t="s">
        <v>299</v>
      </c>
      <c r="E453" s="430"/>
      <c r="F453" s="75"/>
    </row>
    <row r="454" spans="2:6" s="50" customFormat="1" outlineLevel="2" x14ac:dyDescent="0.3">
      <c r="B454" s="444" t="s">
        <v>4071</v>
      </c>
      <c r="C454" s="438" t="s">
        <v>832</v>
      </c>
      <c r="D454" s="63" t="s">
        <v>299</v>
      </c>
      <c r="E454" s="430"/>
      <c r="F454" s="75"/>
    </row>
    <row r="455" spans="2:6" s="50" customFormat="1" outlineLevel="2" x14ac:dyDescent="0.3">
      <c r="B455" s="444" t="s">
        <v>4072</v>
      </c>
      <c r="C455" s="438" t="s">
        <v>833</v>
      </c>
      <c r="D455" s="63" t="s">
        <v>299</v>
      </c>
      <c r="E455" s="430"/>
      <c r="F455" s="75"/>
    </row>
    <row r="456" spans="2:6" s="50" customFormat="1" outlineLevel="2" x14ac:dyDescent="0.3">
      <c r="B456" s="444" t="s">
        <v>4073</v>
      </c>
      <c r="C456" s="438" t="s">
        <v>834</v>
      </c>
      <c r="D456" s="63" t="s">
        <v>299</v>
      </c>
      <c r="E456" s="430"/>
      <c r="F456" s="75"/>
    </row>
    <row r="457" spans="2:6" s="50" customFormat="1" outlineLevel="2" x14ac:dyDescent="0.3">
      <c r="B457" s="444" t="s">
        <v>4074</v>
      </c>
      <c r="C457" s="438" t="s">
        <v>835</v>
      </c>
      <c r="D457" s="63" t="s">
        <v>299</v>
      </c>
      <c r="E457" s="430"/>
      <c r="F457" s="75"/>
    </row>
    <row r="458" spans="2:6" s="50" customFormat="1" outlineLevel="2" x14ac:dyDescent="0.3">
      <c r="B458" s="444" t="s">
        <v>4075</v>
      </c>
      <c r="C458" s="438" t="s">
        <v>836</v>
      </c>
      <c r="D458" s="63" t="s">
        <v>299</v>
      </c>
      <c r="E458" s="430"/>
      <c r="F458" s="75"/>
    </row>
    <row r="459" spans="2:6" outlineLevel="1" x14ac:dyDescent="0.3">
      <c r="B459" s="444" t="s">
        <v>4076</v>
      </c>
      <c r="C459" s="437" t="s">
        <v>837</v>
      </c>
      <c r="D459" s="59" t="s">
        <v>295</v>
      </c>
      <c r="E459" s="429">
        <f>SUM(E460:E479)</f>
        <v>0</v>
      </c>
      <c r="F459" s="74">
        <f>SUM(F460:F479)</f>
        <v>0</v>
      </c>
    </row>
    <row r="460" spans="2:6" s="50" customFormat="1" outlineLevel="2" x14ac:dyDescent="0.3">
      <c r="B460" s="444" t="s">
        <v>4077</v>
      </c>
      <c r="C460" s="438" t="s">
        <v>360</v>
      </c>
      <c r="D460" s="62" t="s">
        <v>299</v>
      </c>
      <c r="E460" s="430"/>
      <c r="F460" s="75"/>
    </row>
    <row r="461" spans="2:6" s="50" customFormat="1" outlineLevel="2" x14ac:dyDescent="0.3">
      <c r="B461" s="444" t="s">
        <v>4078</v>
      </c>
      <c r="C461" s="438" t="s">
        <v>361</v>
      </c>
      <c r="D461" s="63" t="s">
        <v>299</v>
      </c>
      <c r="E461" s="430"/>
      <c r="F461" s="75"/>
    </row>
    <row r="462" spans="2:6" s="50" customFormat="1" outlineLevel="2" x14ac:dyDescent="0.3">
      <c r="B462" s="444" t="s">
        <v>4079</v>
      </c>
      <c r="C462" s="438" t="s">
        <v>362</v>
      </c>
      <c r="D462" s="63" t="s">
        <v>299</v>
      </c>
      <c r="E462" s="430"/>
      <c r="F462" s="75"/>
    </row>
    <row r="463" spans="2:6" s="50" customFormat="1" outlineLevel="2" x14ac:dyDescent="0.3">
      <c r="B463" s="444" t="s">
        <v>4080</v>
      </c>
      <c r="C463" s="438" t="s">
        <v>363</v>
      </c>
      <c r="D463" s="63" t="s">
        <v>299</v>
      </c>
      <c r="E463" s="430"/>
      <c r="F463" s="75"/>
    </row>
    <row r="464" spans="2:6" s="50" customFormat="1" outlineLevel="2" x14ac:dyDescent="0.3">
      <c r="B464" s="444" t="s">
        <v>4081</v>
      </c>
      <c r="C464" s="438" t="s">
        <v>364</v>
      </c>
      <c r="D464" s="63" t="s">
        <v>299</v>
      </c>
      <c r="E464" s="430"/>
      <c r="F464" s="75"/>
    </row>
    <row r="465" spans="2:6" s="50" customFormat="1" outlineLevel="2" x14ac:dyDescent="0.3">
      <c r="B465" s="444" t="s">
        <v>4082</v>
      </c>
      <c r="C465" s="438" t="s">
        <v>365</v>
      </c>
      <c r="D465" s="63" t="s">
        <v>299</v>
      </c>
      <c r="E465" s="430"/>
      <c r="F465" s="75"/>
    </row>
    <row r="466" spans="2:6" s="50" customFormat="1" outlineLevel="2" x14ac:dyDescent="0.3">
      <c r="B466" s="444" t="s">
        <v>4083</v>
      </c>
      <c r="C466" s="438" t="s">
        <v>366</v>
      </c>
      <c r="D466" s="63" t="s">
        <v>299</v>
      </c>
      <c r="E466" s="430"/>
      <c r="F466" s="75"/>
    </row>
    <row r="467" spans="2:6" s="50" customFormat="1" outlineLevel="2" x14ac:dyDescent="0.3">
      <c r="B467" s="444" t="s">
        <v>4084</v>
      </c>
      <c r="C467" s="438" t="s">
        <v>367</v>
      </c>
      <c r="D467" s="63" t="s">
        <v>299</v>
      </c>
      <c r="E467" s="430"/>
      <c r="F467" s="75"/>
    </row>
    <row r="468" spans="2:6" s="50" customFormat="1" outlineLevel="2" x14ac:dyDescent="0.3">
      <c r="B468" s="444" t="s">
        <v>4085</v>
      </c>
      <c r="C468" s="438" t="s">
        <v>368</v>
      </c>
      <c r="D468" s="63" t="s">
        <v>299</v>
      </c>
      <c r="E468" s="430"/>
      <c r="F468" s="75"/>
    </row>
    <row r="469" spans="2:6" s="50" customFormat="1" outlineLevel="2" x14ac:dyDescent="0.3">
      <c r="B469" s="444" t="s">
        <v>4086</v>
      </c>
      <c r="C469" s="438" t="s">
        <v>369</v>
      </c>
      <c r="D469" s="63" t="s">
        <v>299</v>
      </c>
      <c r="E469" s="430"/>
      <c r="F469" s="75"/>
    </row>
    <row r="470" spans="2:6" s="50" customFormat="1" outlineLevel="2" x14ac:dyDescent="0.3">
      <c r="B470" s="444" t="s">
        <v>4087</v>
      </c>
      <c r="C470" s="438" t="s">
        <v>370</v>
      </c>
      <c r="D470" s="63" t="s">
        <v>299</v>
      </c>
      <c r="E470" s="430"/>
      <c r="F470" s="75"/>
    </row>
    <row r="471" spans="2:6" s="50" customFormat="1" outlineLevel="2" x14ac:dyDescent="0.3">
      <c r="B471" s="444" t="s">
        <v>4088</v>
      </c>
      <c r="C471" s="438" t="s">
        <v>371</v>
      </c>
      <c r="D471" s="63" t="s">
        <v>299</v>
      </c>
      <c r="E471" s="430"/>
      <c r="F471" s="75"/>
    </row>
    <row r="472" spans="2:6" s="50" customFormat="1" outlineLevel="2" x14ac:dyDescent="0.3">
      <c r="B472" s="444" t="s">
        <v>4089</v>
      </c>
      <c r="C472" s="438" t="s">
        <v>372</v>
      </c>
      <c r="D472" s="63" t="s">
        <v>299</v>
      </c>
      <c r="E472" s="430"/>
      <c r="F472" s="75"/>
    </row>
    <row r="473" spans="2:6" s="50" customFormat="1" outlineLevel="2" x14ac:dyDescent="0.3">
      <c r="B473" s="444" t="s">
        <v>4090</v>
      </c>
      <c r="C473" s="438" t="s">
        <v>373</v>
      </c>
      <c r="D473" s="63" t="s">
        <v>299</v>
      </c>
      <c r="E473" s="430"/>
      <c r="F473" s="75"/>
    </row>
    <row r="474" spans="2:6" s="50" customFormat="1" outlineLevel="2" x14ac:dyDescent="0.3">
      <c r="B474" s="444" t="s">
        <v>4091</v>
      </c>
      <c r="C474" s="438" t="s">
        <v>374</v>
      </c>
      <c r="D474" s="63" t="s">
        <v>299</v>
      </c>
      <c r="E474" s="430"/>
      <c r="F474" s="75"/>
    </row>
    <row r="475" spans="2:6" s="50" customFormat="1" outlineLevel="2" x14ac:dyDescent="0.3">
      <c r="B475" s="444" t="s">
        <v>4092</v>
      </c>
      <c r="C475" s="438" t="s">
        <v>375</v>
      </c>
      <c r="D475" s="63" t="s">
        <v>299</v>
      </c>
      <c r="E475" s="430"/>
      <c r="F475" s="75"/>
    </row>
    <row r="476" spans="2:6" s="50" customFormat="1" outlineLevel="2" x14ac:dyDescent="0.3">
      <c r="B476" s="444" t="s">
        <v>4093</v>
      </c>
      <c r="C476" s="438" t="s">
        <v>376</v>
      </c>
      <c r="D476" s="63" t="s">
        <v>299</v>
      </c>
      <c r="E476" s="430"/>
      <c r="F476" s="75"/>
    </row>
    <row r="477" spans="2:6" s="50" customFormat="1" outlineLevel="2" x14ac:dyDescent="0.3">
      <c r="B477" s="444" t="s">
        <v>4094</v>
      </c>
      <c r="C477" s="438" t="s">
        <v>377</v>
      </c>
      <c r="D477" s="63" t="s">
        <v>299</v>
      </c>
      <c r="E477" s="430"/>
      <c r="F477" s="75"/>
    </row>
    <row r="478" spans="2:6" s="50" customFormat="1" outlineLevel="2" x14ac:dyDescent="0.3">
      <c r="B478" s="444" t="s">
        <v>4095</v>
      </c>
      <c r="C478" s="438" t="s">
        <v>378</v>
      </c>
      <c r="D478" s="63" t="s">
        <v>299</v>
      </c>
      <c r="E478" s="430"/>
      <c r="F478" s="75"/>
    </row>
    <row r="479" spans="2:6" s="50" customFormat="1" outlineLevel="2" x14ac:dyDescent="0.3">
      <c r="B479" s="444" t="s">
        <v>4096</v>
      </c>
      <c r="C479" s="438" t="s">
        <v>379</v>
      </c>
      <c r="D479" s="63" t="s">
        <v>299</v>
      </c>
      <c r="E479" s="430"/>
      <c r="F479" s="75"/>
    </row>
    <row r="480" spans="2:6" outlineLevel="1" x14ac:dyDescent="0.3">
      <c r="B480" s="444" t="s">
        <v>4097</v>
      </c>
      <c r="C480" s="437" t="s">
        <v>838</v>
      </c>
      <c r="D480" s="59" t="s">
        <v>4657</v>
      </c>
      <c r="E480" s="429">
        <f>SUM(E481:E500)</f>
        <v>0</v>
      </c>
      <c r="F480" s="74">
        <f>SUM(F481:F500)</f>
        <v>0</v>
      </c>
    </row>
    <row r="481" spans="2:6" s="50" customFormat="1" outlineLevel="2" x14ac:dyDescent="0.3">
      <c r="B481" s="444" t="s">
        <v>4098</v>
      </c>
      <c r="C481" s="438" t="s">
        <v>839</v>
      </c>
      <c r="D481" s="62" t="s">
        <v>299</v>
      </c>
      <c r="E481" s="430"/>
      <c r="F481" s="75"/>
    </row>
    <row r="482" spans="2:6" s="50" customFormat="1" outlineLevel="2" x14ac:dyDescent="0.3">
      <c r="B482" s="444" t="s">
        <v>4099</v>
      </c>
      <c r="C482" s="438" t="s">
        <v>840</v>
      </c>
      <c r="D482" s="63" t="s">
        <v>299</v>
      </c>
      <c r="E482" s="430"/>
      <c r="F482" s="75"/>
    </row>
    <row r="483" spans="2:6" s="50" customFormat="1" outlineLevel="2" x14ac:dyDescent="0.3">
      <c r="B483" s="444" t="s">
        <v>4100</v>
      </c>
      <c r="C483" s="438" t="s">
        <v>841</v>
      </c>
      <c r="D483" s="63" t="s">
        <v>299</v>
      </c>
      <c r="E483" s="430"/>
      <c r="F483" s="75"/>
    </row>
    <row r="484" spans="2:6" s="50" customFormat="1" outlineLevel="2" x14ac:dyDescent="0.3">
      <c r="B484" s="444" t="s">
        <v>4101</v>
      </c>
      <c r="C484" s="438" t="s">
        <v>842</v>
      </c>
      <c r="D484" s="63" t="s">
        <v>299</v>
      </c>
      <c r="E484" s="430"/>
      <c r="F484" s="75"/>
    </row>
    <row r="485" spans="2:6" s="50" customFormat="1" outlineLevel="2" x14ac:dyDescent="0.3">
      <c r="B485" s="444" t="s">
        <v>4102</v>
      </c>
      <c r="C485" s="438" t="s">
        <v>843</v>
      </c>
      <c r="D485" s="63" t="s">
        <v>299</v>
      </c>
      <c r="E485" s="430"/>
      <c r="F485" s="75"/>
    </row>
    <row r="486" spans="2:6" s="50" customFormat="1" outlineLevel="2" x14ac:dyDescent="0.3">
      <c r="B486" s="444" t="s">
        <v>4103</v>
      </c>
      <c r="C486" s="438" t="s">
        <v>844</v>
      </c>
      <c r="D486" s="63" t="s">
        <v>299</v>
      </c>
      <c r="E486" s="430"/>
      <c r="F486" s="75"/>
    </row>
    <row r="487" spans="2:6" s="50" customFormat="1" outlineLevel="2" x14ac:dyDescent="0.3">
      <c r="B487" s="444" t="s">
        <v>4104</v>
      </c>
      <c r="C487" s="438" t="s">
        <v>845</v>
      </c>
      <c r="D487" s="63" t="s">
        <v>299</v>
      </c>
      <c r="E487" s="430"/>
      <c r="F487" s="75"/>
    </row>
    <row r="488" spans="2:6" s="50" customFormat="1" outlineLevel="2" x14ac:dyDescent="0.3">
      <c r="B488" s="444" t="s">
        <v>4105</v>
      </c>
      <c r="C488" s="438" t="s">
        <v>846</v>
      </c>
      <c r="D488" s="63" t="s">
        <v>299</v>
      </c>
      <c r="E488" s="430"/>
      <c r="F488" s="75"/>
    </row>
    <row r="489" spans="2:6" s="50" customFormat="1" outlineLevel="2" x14ac:dyDescent="0.3">
      <c r="B489" s="444" t="s">
        <v>4106</v>
      </c>
      <c r="C489" s="438" t="s">
        <v>847</v>
      </c>
      <c r="D489" s="63" t="s">
        <v>299</v>
      </c>
      <c r="E489" s="430"/>
      <c r="F489" s="75"/>
    </row>
    <row r="490" spans="2:6" s="50" customFormat="1" outlineLevel="2" x14ac:dyDescent="0.3">
      <c r="B490" s="444" t="s">
        <v>4107</v>
      </c>
      <c r="C490" s="438" t="s">
        <v>848</v>
      </c>
      <c r="D490" s="63" t="s">
        <v>299</v>
      </c>
      <c r="E490" s="430"/>
      <c r="F490" s="75"/>
    </row>
    <row r="491" spans="2:6" s="50" customFormat="1" outlineLevel="2" x14ac:dyDescent="0.3">
      <c r="B491" s="444" t="s">
        <v>4108</v>
      </c>
      <c r="C491" s="438" t="s">
        <v>849</v>
      </c>
      <c r="D491" s="63" t="s">
        <v>299</v>
      </c>
      <c r="E491" s="430"/>
      <c r="F491" s="75"/>
    </row>
    <row r="492" spans="2:6" s="50" customFormat="1" outlineLevel="2" x14ac:dyDescent="0.3">
      <c r="B492" s="444" t="s">
        <v>4109</v>
      </c>
      <c r="C492" s="438" t="s">
        <v>850</v>
      </c>
      <c r="D492" s="63" t="s">
        <v>299</v>
      </c>
      <c r="E492" s="430"/>
      <c r="F492" s="75"/>
    </row>
    <row r="493" spans="2:6" s="50" customFormat="1" outlineLevel="2" x14ac:dyDescent="0.3">
      <c r="B493" s="444" t="s">
        <v>4110</v>
      </c>
      <c r="C493" s="438" t="s">
        <v>851</v>
      </c>
      <c r="D493" s="63" t="s">
        <v>299</v>
      </c>
      <c r="E493" s="430"/>
      <c r="F493" s="75"/>
    </row>
    <row r="494" spans="2:6" s="50" customFormat="1" outlineLevel="2" x14ac:dyDescent="0.3">
      <c r="B494" s="444" t="s">
        <v>4111</v>
      </c>
      <c r="C494" s="438" t="s">
        <v>852</v>
      </c>
      <c r="D494" s="63" t="s">
        <v>299</v>
      </c>
      <c r="E494" s="430"/>
      <c r="F494" s="75"/>
    </row>
    <row r="495" spans="2:6" s="50" customFormat="1" outlineLevel="2" x14ac:dyDescent="0.3">
      <c r="B495" s="444" t="s">
        <v>4112</v>
      </c>
      <c r="C495" s="438" t="s">
        <v>853</v>
      </c>
      <c r="D495" s="63" t="s">
        <v>299</v>
      </c>
      <c r="E495" s="430"/>
      <c r="F495" s="75"/>
    </row>
    <row r="496" spans="2:6" s="50" customFormat="1" outlineLevel="2" x14ac:dyDescent="0.3">
      <c r="B496" s="444" t="s">
        <v>4113</v>
      </c>
      <c r="C496" s="438" t="s">
        <v>854</v>
      </c>
      <c r="D496" s="63" t="s">
        <v>299</v>
      </c>
      <c r="E496" s="430"/>
      <c r="F496" s="75"/>
    </row>
    <row r="497" spans="2:6" s="50" customFormat="1" outlineLevel="2" x14ac:dyDescent="0.3">
      <c r="B497" s="444" t="s">
        <v>4114</v>
      </c>
      <c r="C497" s="438" t="s">
        <v>855</v>
      </c>
      <c r="D497" s="63" t="s">
        <v>299</v>
      </c>
      <c r="E497" s="430"/>
      <c r="F497" s="75"/>
    </row>
    <row r="498" spans="2:6" s="50" customFormat="1" outlineLevel="2" x14ac:dyDescent="0.3">
      <c r="B498" s="444" t="s">
        <v>4115</v>
      </c>
      <c r="C498" s="438" t="s">
        <v>856</v>
      </c>
      <c r="D498" s="63" t="s">
        <v>299</v>
      </c>
      <c r="E498" s="430"/>
      <c r="F498" s="75"/>
    </row>
    <row r="499" spans="2:6" s="50" customFormat="1" outlineLevel="2" x14ac:dyDescent="0.3">
      <c r="B499" s="444" t="s">
        <v>4116</v>
      </c>
      <c r="C499" s="438" t="s">
        <v>857</v>
      </c>
      <c r="D499" s="63" t="s">
        <v>299</v>
      </c>
      <c r="E499" s="430"/>
      <c r="F499" s="75"/>
    </row>
    <row r="500" spans="2:6" s="50" customFormat="1" outlineLevel="2" x14ac:dyDescent="0.3">
      <c r="B500" s="444" t="s">
        <v>4117</v>
      </c>
      <c r="C500" s="438" t="s">
        <v>858</v>
      </c>
      <c r="D500" s="63" t="s">
        <v>299</v>
      </c>
      <c r="E500" s="430"/>
      <c r="F500" s="75"/>
    </row>
    <row r="501" spans="2:6" s="50" customFormat="1" x14ac:dyDescent="0.3">
      <c r="B501" s="444" t="s">
        <v>4118</v>
      </c>
      <c r="C501" s="436">
        <v>8.4</v>
      </c>
      <c r="D501" s="65" t="s">
        <v>283</v>
      </c>
      <c r="E501" s="428">
        <f>E502+E523+E544+E565</f>
        <v>0</v>
      </c>
      <c r="F501" s="73">
        <f>F502+F523+F544+F565</f>
        <v>0</v>
      </c>
    </row>
    <row r="502" spans="2:6" outlineLevel="1" x14ac:dyDescent="0.3">
      <c r="B502" s="444" t="s">
        <v>4119</v>
      </c>
      <c r="C502" s="437" t="s">
        <v>380</v>
      </c>
      <c r="D502" s="59" t="s">
        <v>288</v>
      </c>
      <c r="E502" s="429">
        <f>SUM(E503:E522)</f>
        <v>0</v>
      </c>
      <c r="F502" s="74">
        <f>SUM(F503:F522)</f>
        <v>0</v>
      </c>
    </row>
    <row r="503" spans="2:6" s="50" customFormat="1" outlineLevel="2" x14ac:dyDescent="0.3">
      <c r="B503" s="444" t="s">
        <v>4120</v>
      </c>
      <c r="C503" s="438" t="s">
        <v>670</v>
      </c>
      <c r="D503" s="62" t="s">
        <v>299</v>
      </c>
      <c r="E503" s="430"/>
      <c r="F503" s="75"/>
    </row>
    <row r="504" spans="2:6" s="50" customFormat="1" outlineLevel="2" x14ac:dyDescent="0.3">
      <c r="B504" s="444" t="s">
        <v>4121</v>
      </c>
      <c r="C504" s="438" t="s">
        <v>671</v>
      </c>
      <c r="D504" s="63" t="s">
        <v>299</v>
      </c>
      <c r="E504" s="430"/>
      <c r="F504" s="75"/>
    </row>
    <row r="505" spans="2:6" s="50" customFormat="1" outlineLevel="2" x14ac:dyDescent="0.3">
      <c r="B505" s="444" t="s">
        <v>4122</v>
      </c>
      <c r="C505" s="438" t="s">
        <v>672</v>
      </c>
      <c r="D505" s="63" t="s">
        <v>299</v>
      </c>
      <c r="E505" s="430"/>
      <c r="F505" s="75"/>
    </row>
    <row r="506" spans="2:6" s="50" customFormat="1" outlineLevel="2" x14ac:dyDescent="0.3">
      <c r="B506" s="444" t="s">
        <v>4123</v>
      </c>
      <c r="C506" s="438" t="s">
        <v>673</v>
      </c>
      <c r="D506" s="63" t="s">
        <v>299</v>
      </c>
      <c r="E506" s="430"/>
      <c r="F506" s="75"/>
    </row>
    <row r="507" spans="2:6" s="50" customFormat="1" outlineLevel="2" x14ac:dyDescent="0.3">
      <c r="B507" s="444" t="s">
        <v>4124</v>
      </c>
      <c r="C507" s="438" t="s">
        <v>674</v>
      </c>
      <c r="D507" s="63" t="s">
        <v>299</v>
      </c>
      <c r="E507" s="430"/>
      <c r="F507" s="75"/>
    </row>
    <row r="508" spans="2:6" s="50" customFormat="1" outlineLevel="2" x14ac:dyDescent="0.3">
      <c r="B508" s="444" t="s">
        <v>4125</v>
      </c>
      <c r="C508" s="438" t="s">
        <v>675</v>
      </c>
      <c r="D508" s="63" t="s">
        <v>299</v>
      </c>
      <c r="E508" s="430"/>
      <c r="F508" s="75"/>
    </row>
    <row r="509" spans="2:6" s="50" customFormat="1" outlineLevel="2" x14ac:dyDescent="0.3">
      <c r="B509" s="444" t="s">
        <v>4126</v>
      </c>
      <c r="C509" s="438" t="s">
        <v>676</v>
      </c>
      <c r="D509" s="63" t="s">
        <v>299</v>
      </c>
      <c r="E509" s="430"/>
      <c r="F509" s="75"/>
    </row>
    <row r="510" spans="2:6" s="50" customFormat="1" outlineLevel="2" x14ac:dyDescent="0.3">
      <c r="B510" s="444" t="s">
        <v>4127</v>
      </c>
      <c r="C510" s="438" t="s">
        <v>677</v>
      </c>
      <c r="D510" s="63" t="s">
        <v>299</v>
      </c>
      <c r="E510" s="430"/>
      <c r="F510" s="75"/>
    </row>
    <row r="511" spans="2:6" s="50" customFormat="1" outlineLevel="2" x14ac:dyDescent="0.3">
      <c r="B511" s="444" t="s">
        <v>4128</v>
      </c>
      <c r="C511" s="438" t="s">
        <v>678</v>
      </c>
      <c r="D511" s="63" t="s">
        <v>299</v>
      </c>
      <c r="E511" s="430"/>
      <c r="F511" s="75"/>
    </row>
    <row r="512" spans="2:6" s="50" customFormat="1" outlineLevel="2" x14ac:dyDescent="0.3">
      <c r="B512" s="444" t="s">
        <v>4129</v>
      </c>
      <c r="C512" s="438" t="s">
        <v>679</v>
      </c>
      <c r="D512" s="63" t="s">
        <v>299</v>
      </c>
      <c r="E512" s="430"/>
      <c r="F512" s="75"/>
    </row>
    <row r="513" spans="2:6" s="50" customFormat="1" outlineLevel="2" x14ac:dyDescent="0.3">
      <c r="B513" s="444" t="s">
        <v>4130</v>
      </c>
      <c r="C513" s="438" t="s">
        <v>680</v>
      </c>
      <c r="D513" s="63" t="s">
        <v>299</v>
      </c>
      <c r="E513" s="430"/>
      <c r="F513" s="75"/>
    </row>
    <row r="514" spans="2:6" s="50" customFormat="1" outlineLevel="2" x14ac:dyDescent="0.3">
      <c r="B514" s="444" t="s">
        <v>4131</v>
      </c>
      <c r="C514" s="438" t="s">
        <v>681</v>
      </c>
      <c r="D514" s="63" t="s">
        <v>299</v>
      </c>
      <c r="E514" s="430"/>
      <c r="F514" s="75"/>
    </row>
    <row r="515" spans="2:6" s="50" customFormat="1" outlineLevel="2" x14ac:dyDescent="0.3">
      <c r="B515" s="444" t="s">
        <v>4132</v>
      </c>
      <c r="C515" s="438" t="s">
        <v>682</v>
      </c>
      <c r="D515" s="63" t="s">
        <v>299</v>
      </c>
      <c r="E515" s="430"/>
      <c r="F515" s="75"/>
    </row>
    <row r="516" spans="2:6" s="50" customFormat="1" outlineLevel="2" x14ac:dyDescent="0.3">
      <c r="B516" s="444" t="s">
        <v>4133</v>
      </c>
      <c r="C516" s="438" t="s">
        <v>683</v>
      </c>
      <c r="D516" s="63" t="s">
        <v>299</v>
      </c>
      <c r="E516" s="430"/>
      <c r="F516" s="75"/>
    </row>
    <row r="517" spans="2:6" s="50" customFormat="1" outlineLevel="2" x14ac:dyDescent="0.3">
      <c r="B517" s="444" t="s">
        <v>4134</v>
      </c>
      <c r="C517" s="438" t="s">
        <v>684</v>
      </c>
      <c r="D517" s="63" t="s">
        <v>299</v>
      </c>
      <c r="E517" s="430"/>
      <c r="F517" s="75"/>
    </row>
    <row r="518" spans="2:6" s="50" customFormat="1" outlineLevel="2" x14ac:dyDescent="0.3">
      <c r="B518" s="444" t="s">
        <v>4135</v>
      </c>
      <c r="C518" s="438" t="s">
        <v>685</v>
      </c>
      <c r="D518" s="63" t="s">
        <v>299</v>
      </c>
      <c r="E518" s="430"/>
      <c r="F518" s="75"/>
    </row>
    <row r="519" spans="2:6" s="50" customFormat="1" outlineLevel="2" x14ac:dyDescent="0.3">
      <c r="B519" s="444" t="s">
        <v>4136</v>
      </c>
      <c r="C519" s="438" t="s">
        <v>686</v>
      </c>
      <c r="D519" s="63" t="s">
        <v>299</v>
      </c>
      <c r="E519" s="430"/>
      <c r="F519" s="75"/>
    </row>
    <row r="520" spans="2:6" s="50" customFormat="1" outlineLevel="2" x14ac:dyDescent="0.3">
      <c r="B520" s="444" t="s">
        <v>4137</v>
      </c>
      <c r="C520" s="438" t="s">
        <v>687</v>
      </c>
      <c r="D520" s="63" t="s">
        <v>299</v>
      </c>
      <c r="E520" s="430"/>
      <c r="F520" s="75"/>
    </row>
    <row r="521" spans="2:6" s="50" customFormat="1" outlineLevel="2" x14ac:dyDescent="0.3">
      <c r="B521" s="444" t="s">
        <v>4138</v>
      </c>
      <c r="C521" s="438" t="s">
        <v>688</v>
      </c>
      <c r="D521" s="63" t="s">
        <v>299</v>
      </c>
      <c r="E521" s="430"/>
      <c r="F521" s="75"/>
    </row>
    <row r="522" spans="2:6" s="50" customFormat="1" outlineLevel="2" x14ac:dyDescent="0.3">
      <c r="B522" s="444" t="s">
        <v>4139</v>
      </c>
      <c r="C522" s="438" t="s">
        <v>689</v>
      </c>
      <c r="D522" s="63" t="s">
        <v>299</v>
      </c>
      <c r="E522" s="430"/>
      <c r="F522" s="75"/>
    </row>
    <row r="523" spans="2:6" outlineLevel="1" x14ac:dyDescent="0.3">
      <c r="B523" s="444" t="s">
        <v>4140</v>
      </c>
      <c r="C523" s="437" t="s">
        <v>859</v>
      </c>
      <c r="D523" s="59" t="s">
        <v>4658</v>
      </c>
      <c r="E523" s="429">
        <f>SUM(E524:E543)</f>
        <v>0</v>
      </c>
      <c r="F523" s="74">
        <f>SUM(F524:F543)</f>
        <v>0</v>
      </c>
    </row>
    <row r="524" spans="2:6" s="50" customFormat="1" outlineLevel="2" x14ac:dyDescent="0.3">
      <c r="B524" s="444" t="s">
        <v>4141</v>
      </c>
      <c r="C524" s="438" t="s">
        <v>690</v>
      </c>
      <c r="D524" s="62" t="s">
        <v>299</v>
      </c>
      <c r="E524" s="430"/>
      <c r="F524" s="75"/>
    </row>
    <row r="525" spans="2:6" s="50" customFormat="1" outlineLevel="2" x14ac:dyDescent="0.3">
      <c r="B525" s="444" t="s">
        <v>4142</v>
      </c>
      <c r="C525" s="438" t="s">
        <v>691</v>
      </c>
      <c r="D525" s="63" t="s">
        <v>299</v>
      </c>
      <c r="E525" s="430"/>
      <c r="F525" s="75"/>
    </row>
    <row r="526" spans="2:6" s="50" customFormat="1" outlineLevel="2" x14ac:dyDescent="0.3">
      <c r="B526" s="444" t="s">
        <v>4143</v>
      </c>
      <c r="C526" s="438" t="s">
        <v>692</v>
      </c>
      <c r="D526" s="63" t="s">
        <v>299</v>
      </c>
      <c r="E526" s="430"/>
      <c r="F526" s="75"/>
    </row>
    <row r="527" spans="2:6" s="50" customFormat="1" outlineLevel="2" x14ac:dyDescent="0.3">
      <c r="B527" s="444" t="s">
        <v>4144</v>
      </c>
      <c r="C527" s="438" t="s">
        <v>693</v>
      </c>
      <c r="D527" s="63" t="s">
        <v>299</v>
      </c>
      <c r="E527" s="430"/>
      <c r="F527" s="75"/>
    </row>
    <row r="528" spans="2:6" s="50" customFormat="1" outlineLevel="2" x14ac:dyDescent="0.3">
      <c r="B528" s="444" t="s">
        <v>4145</v>
      </c>
      <c r="C528" s="438" t="s">
        <v>694</v>
      </c>
      <c r="D528" s="63" t="s">
        <v>299</v>
      </c>
      <c r="E528" s="430"/>
      <c r="F528" s="75"/>
    </row>
    <row r="529" spans="2:6" s="50" customFormat="1" outlineLevel="2" x14ac:dyDescent="0.3">
      <c r="B529" s="444" t="s">
        <v>4146</v>
      </c>
      <c r="C529" s="438" t="s">
        <v>695</v>
      </c>
      <c r="D529" s="63" t="s">
        <v>299</v>
      </c>
      <c r="E529" s="430"/>
      <c r="F529" s="75"/>
    </row>
    <row r="530" spans="2:6" s="50" customFormat="1" outlineLevel="2" x14ac:dyDescent="0.3">
      <c r="B530" s="444" t="s">
        <v>4147</v>
      </c>
      <c r="C530" s="438" t="s">
        <v>696</v>
      </c>
      <c r="D530" s="63" t="s">
        <v>299</v>
      </c>
      <c r="E530" s="430"/>
      <c r="F530" s="75"/>
    </row>
    <row r="531" spans="2:6" s="50" customFormat="1" outlineLevel="2" x14ac:dyDescent="0.3">
      <c r="B531" s="444" t="s">
        <v>4148</v>
      </c>
      <c r="C531" s="438" t="s">
        <v>697</v>
      </c>
      <c r="D531" s="63" t="s">
        <v>299</v>
      </c>
      <c r="E531" s="430"/>
      <c r="F531" s="75"/>
    </row>
    <row r="532" spans="2:6" s="50" customFormat="1" outlineLevel="2" x14ac:dyDescent="0.3">
      <c r="B532" s="444" t="s">
        <v>4149</v>
      </c>
      <c r="C532" s="438" t="s">
        <v>698</v>
      </c>
      <c r="D532" s="63" t="s">
        <v>299</v>
      </c>
      <c r="E532" s="430"/>
      <c r="F532" s="75"/>
    </row>
    <row r="533" spans="2:6" s="50" customFormat="1" outlineLevel="2" x14ac:dyDescent="0.3">
      <c r="B533" s="444" t="s">
        <v>4150</v>
      </c>
      <c r="C533" s="438" t="s">
        <v>699</v>
      </c>
      <c r="D533" s="63" t="s">
        <v>299</v>
      </c>
      <c r="E533" s="430"/>
      <c r="F533" s="75"/>
    </row>
    <row r="534" spans="2:6" s="50" customFormat="1" outlineLevel="2" x14ac:dyDescent="0.3">
      <c r="B534" s="444" t="s">
        <v>4151</v>
      </c>
      <c r="C534" s="438" t="s">
        <v>700</v>
      </c>
      <c r="D534" s="63" t="s">
        <v>299</v>
      </c>
      <c r="E534" s="430"/>
      <c r="F534" s="75"/>
    </row>
    <row r="535" spans="2:6" s="50" customFormat="1" outlineLevel="2" x14ac:dyDescent="0.3">
      <c r="B535" s="444" t="s">
        <v>4152</v>
      </c>
      <c r="C535" s="438" t="s">
        <v>701</v>
      </c>
      <c r="D535" s="63" t="s">
        <v>299</v>
      </c>
      <c r="E535" s="430"/>
      <c r="F535" s="75"/>
    </row>
    <row r="536" spans="2:6" s="50" customFormat="1" outlineLevel="2" x14ac:dyDescent="0.3">
      <c r="B536" s="444" t="s">
        <v>4153</v>
      </c>
      <c r="C536" s="438" t="s">
        <v>702</v>
      </c>
      <c r="D536" s="63" t="s">
        <v>299</v>
      </c>
      <c r="E536" s="430"/>
      <c r="F536" s="75"/>
    </row>
    <row r="537" spans="2:6" s="50" customFormat="1" outlineLevel="2" x14ac:dyDescent="0.3">
      <c r="B537" s="444" t="s">
        <v>4154</v>
      </c>
      <c r="C537" s="438" t="s">
        <v>703</v>
      </c>
      <c r="D537" s="63" t="s">
        <v>299</v>
      </c>
      <c r="E537" s="430"/>
      <c r="F537" s="75"/>
    </row>
    <row r="538" spans="2:6" s="50" customFormat="1" outlineLevel="2" x14ac:dyDescent="0.3">
      <c r="B538" s="444" t="s">
        <v>4155</v>
      </c>
      <c r="C538" s="438" t="s">
        <v>704</v>
      </c>
      <c r="D538" s="63" t="s">
        <v>299</v>
      </c>
      <c r="E538" s="430"/>
      <c r="F538" s="75"/>
    </row>
    <row r="539" spans="2:6" s="50" customFormat="1" outlineLevel="2" x14ac:dyDescent="0.3">
      <c r="B539" s="444" t="s">
        <v>4156</v>
      </c>
      <c r="C539" s="438" t="s">
        <v>705</v>
      </c>
      <c r="D539" s="63" t="s">
        <v>299</v>
      </c>
      <c r="E539" s="430"/>
      <c r="F539" s="75"/>
    </row>
    <row r="540" spans="2:6" s="50" customFormat="1" outlineLevel="2" x14ac:dyDescent="0.3">
      <c r="B540" s="444" t="s">
        <v>4157</v>
      </c>
      <c r="C540" s="438" t="s">
        <v>706</v>
      </c>
      <c r="D540" s="63" t="s">
        <v>299</v>
      </c>
      <c r="E540" s="430"/>
      <c r="F540" s="75"/>
    </row>
    <row r="541" spans="2:6" s="50" customFormat="1" outlineLevel="2" x14ac:dyDescent="0.3">
      <c r="B541" s="444" t="s">
        <v>4158</v>
      </c>
      <c r="C541" s="438" t="s">
        <v>707</v>
      </c>
      <c r="D541" s="63" t="s">
        <v>299</v>
      </c>
      <c r="E541" s="430"/>
      <c r="F541" s="75"/>
    </row>
    <row r="542" spans="2:6" s="50" customFormat="1" outlineLevel="2" x14ac:dyDescent="0.3">
      <c r="B542" s="444" t="s">
        <v>4159</v>
      </c>
      <c r="C542" s="438" t="s">
        <v>708</v>
      </c>
      <c r="D542" s="63" t="s">
        <v>299</v>
      </c>
      <c r="E542" s="430"/>
      <c r="F542" s="75"/>
    </row>
    <row r="543" spans="2:6" s="50" customFormat="1" outlineLevel="2" x14ac:dyDescent="0.3">
      <c r="B543" s="444" t="s">
        <v>4160</v>
      </c>
      <c r="C543" s="438" t="s">
        <v>709</v>
      </c>
      <c r="D543" s="63" t="s">
        <v>299</v>
      </c>
      <c r="E543" s="430"/>
      <c r="F543" s="75"/>
    </row>
    <row r="544" spans="2:6" outlineLevel="1" x14ac:dyDescent="0.3">
      <c r="B544" s="444" t="s">
        <v>4161</v>
      </c>
      <c r="C544" s="437" t="s">
        <v>860</v>
      </c>
      <c r="D544" s="59" t="s">
        <v>289</v>
      </c>
      <c r="E544" s="429">
        <f>SUM(E545:E564)</f>
        <v>0</v>
      </c>
      <c r="F544" s="74">
        <f>SUM(F545:F564)</f>
        <v>0</v>
      </c>
    </row>
    <row r="545" spans="2:6" s="50" customFormat="1" outlineLevel="2" x14ac:dyDescent="0.3">
      <c r="B545" s="444" t="s">
        <v>4162</v>
      </c>
      <c r="C545" s="438" t="s">
        <v>3133</v>
      </c>
      <c r="D545" s="62" t="s">
        <v>299</v>
      </c>
      <c r="E545" s="430"/>
      <c r="F545" s="75"/>
    </row>
    <row r="546" spans="2:6" s="50" customFormat="1" outlineLevel="2" x14ac:dyDescent="0.3">
      <c r="B546" s="444" t="s">
        <v>4163</v>
      </c>
      <c r="C546" s="438" t="s">
        <v>3134</v>
      </c>
      <c r="D546" s="63" t="s">
        <v>299</v>
      </c>
      <c r="E546" s="430"/>
      <c r="F546" s="75"/>
    </row>
    <row r="547" spans="2:6" s="50" customFormat="1" outlineLevel="2" x14ac:dyDescent="0.3">
      <c r="B547" s="444" t="s">
        <v>4164</v>
      </c>
      <c r="C547" s="438" t="s">
        <v>3135</v>
      </c>
      <c r="D547" s="63" t="s">
        <v>299</v>
      </c>
      <c r="E547" s="430"/>
      <c r="F547" s="75"/>
    </row>
    <row r="548" spans="2:6" s="50" customFormat="1" outlineLevel="2" x14ac:dyDescent="0.3">
      <c r="B548" s="444" t="s">
        <v>4165</v>
      </c>
      <c r="C548" s="438" t="s">
        <v>3136</v>
      </c>
      <c r="D548" s="63" t="s">
        <v>299</v>
      </c>
      <c r="E548" s="430"/>
      <c r="F548" s="75"/>
    </row>
    <row r="549" spans="2:6" s="50" customFormat="1" outlineLevel="2" x14ac:dyDescent="0.3">
      <c r="B549" s="444" t="s">
        <v>4166</v>
      </c>
      <c r="C549" s="438" t="s">
        <v>3137</v>
      </c>
      <c r="D549" s="63" t="s">
        <v>299</v>
      </c>
      <c r="E549" s="430"/>
      <c r="F549" s="75"/>
    </row>
    <row r="550" spans="2:6" s="50" customFormat="1" outlineLevel="2" x14ac:dyDescent="0.3">
      <c r="B550" s="444" t="s">
        <v>4167</v>
      </c>
      <c r="C550" s="438" t="s">
        <v>3138</v>
      </c>
      <c r="D550" s="63" t="s">
        <v>299</v>
      </c>
      <c r="E550" s="430"/>
      <c r="F550" s="75"/>
    </row>
    <row r="551" spans="2:6" s="50" customFormat="1" outlineLevel="2" x14ac:dyDescent="0.3">
      <c r="B551" s="444" t="s">
        <v>4168</v>
      </c>
      <c r="C551" s="438" t="s">
        <v>3139</v>
      </c>
      <c r="D551" s="63" t="s">
        <v>299</v>
      </c>
      <c r="E551" s="430"/>
      <c r="F551" s="75"/>
    </row>
    <row r="552" spans="2:6" s="50" customFormat="1" outlineLevel="2" x14ac:dyDescent="0.3">
      <c r="B552" s="444" t="s">
        <v>4169</v>
      </c>
      <c r="C552" s="438" t="s">
        <v>3140</v>
      </c>
      <c r="D552" s="63" t="s">
        <v>299</v>
      </c>
      <c r="E552" s="430"/>
      <c r="F552" s="75"/>
    </row>
    <row r="553" spans="2:6" s="50" customFormat="1" outlineLevel="2" x14ac:dyDescent="0.3">
      <c r="B553" s="444" t="s">
        <v>4170</v>
      </c>
      <c r="C553" s="438" t="s">
        <v>3141</v>
      </c>
      <c r="D553" s="63" t="s">
        <v>299</v>
      </c>
      <c r="E553" s="430"/>
      <c r="F553" s="75"/>
    </row>
    <row r="554" spans="2:6" s="50" customFormat="1" outlineLevel="2" x14ac:dyDescent="0.3">
      <c r="B554" s="444" t="s">
        <v>4171</v>
      </c>
      <c r="C554" s="438" t="s">
        <v>3142</v>
      </c>
      <c r="D554" s="63" t="s">
        <v>299</v>
      </c>
      <c r="E554" s="430"/>
      <c r="F554" s="75"/>
    </row>
    <row r="555" spans="2:6" s="50" customFormat="1" outlineLevel="2" x14ac:dyDescent="0.3">
      <c r="B555" s="444" t="s">
        <v>4172</v>
      </c>
      <c r="C555" s="438" t="s">
        <v>3143</v>
      </c>
      <c r="D555" s="63" t="s">
        <v>299</v>
      </c>
      <c r="E555" s="430"/>
      <c r="F555" s="75"/>
    </row>
    <row r="556" spans="2:6" s="50" customFormat="1" outlineLevel="2" x14ac:dyDescent="0.3">
      <c r="B556" s="444" t="s">
        <v>4173</v>
      </c>
      <c r="C556" s="438" t="s">
        <v>3144</v>
      </c>
      <c r="D556" s="63" t="s">
        <v>299</v>
      </c>
      <c r="E556" s="430"/>
      <c r="F556" s="75"/>
    </row>
    <row r="557" spans="2:6" s="50" customFormat="1" outlineLevel="2" x14ac:dyDescent="0.3">
      <c r="B557" s="444" t="s">
        <v>4174</v>
      </c>
      <c r="C557" s="438" t="s">
        <v>3145</v>
      </c>
      <c r="D557" s="63" t="s">
        <v>299</v>
      </c>
      <c r="E557" s="430"/>
      <c r="F557" s="75"/>
    </row>
    <row r="558" spans="2:6" s="50" customFormat="1" outlineLevel="2" x14ac:dyDescent="0.3">
      <c r="B558" s="444" t="s">
        <v>4175</v>
      </c>
      <c r="C558" s="438" t="s">
        <v>3146</v>
      </c>
      <c r="D558" s="63" t="s">
        <v>299</v>
      </c>
      <c r="E558" s="430"/>
      <c r="F558" s="75"/>
    </row>
    <row r="559" spans="2:6" s="50" customFormat="1" outlineLevel="2" x14ac:dyDescent="0.3">
      <c r="B559" s="444" t="s">
        <v>4176</v>
      </c>
      <c r="C559" s="438" t="s">
        <v>3147</v>
      </c>
      <c r="D559" s="63" t="s">
        <v>299</v>
      </c>
      <c r="E559" s="430"/>
      <c r="F559" s="75"/>
    </row>
    <row r="560" spans="2:6" s="50" customFormat="1" outlineLevel="2" x14ac:dyDescent="0.3">
      <c r="B560" s="444" t="s">
        <v>4177</v>
      </c>
      <c r="C560" s="438" t="s">
        <v>3148</v>
      </c>
      <c r="D560" s="63" t="s">
        <v>299</v>
      </c>
      <c r="E560" s="430"/>
      <c r="F560" s="75"/>
    </row>
    <row r="561" spans="2:6" s="50" customFormat="1" outlineLevel="2" x14ac:dyDescent="0.3">
      <c r="B561" s="444" t="s">
        <v>4178</v>
      </c>
      <c r="C561" s="438" t="s">
        <v>3149</v>
      </c>
      <c r="D561" s="63" t="s">
        <v>299</v>
      </c>
      <c r="E561" s="430"/>
      <c r="F561" s="75"/>
    </row>
    <row r="562" spans="2:6" s="50" customFormat="1" outlineLevel="2" x14ac:dyDescent="0.3">
      <c r="B562" s="444" t="s">
        <v>4179</v>
      </c>
      <c r="C562" s="438" t="s">
        <v>3150</v>
      </c>
      <c r="D562" s="63" t="s">
        <v>299</v>
      </c>
      <c r="E562" s="430"/>
      <c r="F562" s="75"/>
    </row>
    <row r="563" spans="2:6" s="50" customFormat="1" outlineLevel="2" x14ac:dyDescent="0.3">
      <c r="B563" s="444" t="s">
        <v>4180</v>
      </c>
      <c r="C563" s="438" t="s">
        <v>3151</v>
      </c>
      <c r="D563" s="63" t="s">
        <v>299</v>
      </c>
      <c r="E563" s="430"/>
      <c r="F563" s="75"/>
    </row>
    <row r="564" spans="2:6" s="50" customFormat="1" outlineLevel="2" x14ac:dyDescent="0.3">
      <c r="B564" s="444" t="s">
        <v>4181</v>
      </c>
      <c r="C564" s="438" t="s">
        <v>3152</v>
      </c>
      <c r="D564" s="63" t="s">
        <v>299</v>
      </c>
      <c r="E564" s="430"/>
      <c r="F564" s="75"/>
    </row>
    <row r="565" spans="2:6" outlineLevel="1" x14ac:dyDescent="0.3">
      <c r="B565" s="444" t="s">
        <v>4182</v>
      </c>
      <c r="C565" s="437" t="s">
        <v>861</v>
      </c>
      <c r="D565" s="59" t="s">
        <v>4659</v>
      </c>
      <c r="E565" s="429">
        <f>SUM(E566:E585)</f>
        <v>0</v>
      </c>
      <c r="F565" s="74">
        <f>SUM(F566:F585)</f>
        <v>0</v>
      </c>
    </row>
    <row r="566" spans="2:6" s="50" customFormat="1" outlineLevel="2" x14ac:dyDescent="0.3">
      <c r="B566" s="444" t="s">
        <v>4183</v>
      </c>
      <c r="C566" s="438" t="s">
        <v>862</v>
      </c>
      <c r="D566" s="62" t="s">
        <v>299</v>
      </c>
      <c r="E566" s="430"/>
      <c r="F566" s="75"/>
    </row>
    <row r="567" spans="2:6" s="50" customFormat="1" outlineLevel="2" x14ac:dyDescent="0.3">
      <c r="B567" s="444" t="s">
        <v>4184</v>
      </c>
      <c r="C567" s="438" t="s">
        <v>863</v>
      </c>
      <c r="D567" s="63" t="s">
        <v>299</v>
      </c>
      <c r="E567" s="430"/>
      <c r="F567" s="75"/>
    </row>
    <row r="568" spans="2:6" s="50" customFormat="1" outlineLevel="2" x14ac:dyDescent="0.3">
      <c r="B568" s="444" t="s">
        <v>4185</v>
      </c>
      <c r="C568" s="438" t="s">
        <v>864</v>
      </c>
      <c r="D568" s="63" t="s">
        <v>299</v>
      </c>
      <c r="E568" s="430"/>
      <c r="F568" s="75"/>
    </row>
    <row r="569" spans="2:6" s="50" customFormat="1" outlineLevel="2" x14ac:dyDescent="0.3">
      <c r="B569" s="444" t="s">
        <v>4186</v>
      </c>
      <c r="C569" s="438" t="s">
        <v>865</v>
      </c>
      <c r="D569" s="63" t="s">
        <v>299</v>
      </c>
      <c r="E569" s="430"/>
      <c r="F569" s="75"/>
    </row>
    <row r="570" spans="2:6" s="50" customFormat="1" outlineLevel="2" x14ac:dyDescent="0.3">
      <c r="B570" s="444" t="s">
        <v>4187</v>
      </c>
      <c r="C570" s="438" t="s">
        <v>866</v>
      </c>
      <c r="D570" s="63" t="s">
        <v>299</v>
      </c>
      <c r="E570" s="430"/>
      <c r="F570" s="75"/>
    </row>
    <row r="571" spans="2:6" s="50" customFormat="1" outlineLevel="2" x14ac:dyDescent="0.3">
      <c r="B571" s="444" t="s">
        <v>4188</v>
      </c>
      <c r="C571" s="438" t="s">
        <v>867</v>
      </c>
      <c r="D571" s="63" t="s">
        <v>299</v>
      </c>
      <c r="E571" s="430"/>
      <c r="F571" s="75"/>
    </row>
    <row r="572" spans="2:6" s="50" customFormat="1" outlineLevel="2" x14ac:dyDescent="0.3">
      <c r="B572" s="444" t="s">
        <v>4189</v>
      </c>
      <c r="C572" s="438" t="s">
        <v>868</v>
      </c>
      <c r="D572" s="63" t="s">
        <v>299</v>
      </c>
      <c r="E572" s="430"/>
      <c r="F572" s="75"/>
    </row>
    <row r="573" spans="2:6" s="50" customFormat="1" outlineLevel="2" x14ac:dyDescent="0.3">
      <c r="B573" s="444" t="s">
        <v>4190</v>
      </c>
      <c r="C573" s="438" t="s">
        <v>869</v>
      </c>
      <c r="D573" s="63" t="s">
        <v>299</v>
      </c>
      <c r="E573" s="430"/>
      <c r="F573" s="75"/>
    </row>
    <row r="574" spans="2:6" s="50" customFormat="1" outlineLevel="2" x14ac:dyDescent="0.3">
      <c r="B574" s="444" t="s">
        <v>4191</v>
      </c>
      <c r="C574" s="438" t="s">
        <v>870</v>
      </c>
      <c r="D574" s="63" t="s">
        <v>299</v>
      </c>
      <c r="E574" s="430"/>
      <c r="F574" s="75"/>
    </row>
    <row r="575" spans="2:6" s="50" customFormat="1" outlineLevel="2" x14ac:dyDescent="0.3">
      <c r="B575" s="444" t="s">
        <v>4192</v>
      </c>
      <c r="C575" s="438" t="s">
        <v>871</v>
      </c>
      <c r="D575" s="63" t="s">
        <v>299</v>
      </c>
      <c r="E575" s="430"/>
      <c r="F575" s="75"/>
    </row>
    <row r="576" spans="2:6" s="50" customFormat="1" outlineLevel="2" x14ac:dyDescent="0.3">
      <c r="B576" s="444" t="s">
        <v>4193</v>
      </c>
      <c r="C576" s="438" t="s">
        <v>872</v>
      </c>
      <c r="D576" s="63" t="s">
        <v>299</v>
      </c>
      <c r="E576" s="430"/>
      <c r="F576" s="75"/>
    </row>
    <row r="577" spans="2:6" s="50" customFormat="1" outlineLevel="2" x14ac:dyDescent="0.3">
      <c r="B577" s="444" t="s">
        <v>4194</v>
      </c>
      <c r="C577" s="438" t="s">
        <v>873</v>
      </c>
      <c r="D577" s="63" t="s">
        <v>299</v>
      </c>
      <c r="E577" s="430"/>
      <c r="F577" s="75"/>
    </row>
    <row r="578" spans="2:6" s="50" customFormat="1" outlineLevel="2" x14ac:dyDescent="0.3">
      <c r="B578" s="444" t="s">
        <v>4195</v>
      </c>
      <c r="C578" s="438" t="s">
        <v>874</v>
      </c>
      <c r="D578" s="63" t="s">
        <v>299</v>
      </c>
      <c r="E578" s="430"/>
      <c r="F578" s="75"/>
    </row>
    <row r="579" spans="2:6" s="50" customFormat="1" outlineLevel="2" x14ac:dyDescent="0.3">
      <c r="B579" s="444" t="s">
        <v>4196</v>
      </c>
      <c r="C579" s="438" t="s">
        <v>875</v>
      </c>
      <c r="D579" s="63" t="s">
        <v>299</v>
      </c>
      <c r="E579" s="430"/>
      <c r="F579" s="75"/>
    </row>
    <row r="580" spans="2:6" s="50" customFormat="1" outlineLevel="2" x14ac:dyDescent="0.3">
      <c r="B580" s="444" t="s">
        <v>4197</v>
      </c>
      <c r="C580" s="438" t="s">
        <v>876</v>
      </c>
      <c r="D580" s="63" t="s">
        <v>299</v>
      </c>
      <c r="E580" s="430"/>
      <c r="F580" s="75"/>
    </row>
    <row r="581" spans="2:6" s="50" customFormat="1" outlineLevel="2" x14ac:dyDescent="0.3">
      <c r="B581" s="444" t="s">
        <v>4198</v>
      </c>
      <c r="C581" s="438" t="s">
        <v>877</v>
      </c>
      <c r="D581" s="63" t="s">
        <v>299</v>
      </c>
      <c r="E581" s="430"/>
      <c r="F581" s="75"/>
    </row>
    <row r="582" spans="2:6" s="50" customFormat="1" outlineLevel="2" x14ac:dyDescent="0.3">
      <c r="B582" s="444" t="s">
        <v>4199</v>
      </c>
      <c r="C582" s="438" t="s">
        <v>878</v>
      </c>
      <c r="D582" s="63" t="s">
        <v>299</v>
      </c>
      <c r="E582" s="430"/>
      <c r="F582" s="75"/>
    </row>
    <row r="583" spans="2:6" s="50" customFormat="1" outlineLevel="2" x14ac:dyDescent="0.3">
      <c r="B583" s="444" t="s">
        <v>4200</v>
      </c>
      <c r="C583" s="438" t="s">
        <v>879</v>
      </c>
      <c r="D583" s="63" t="s">
        <v>299</v>
      </c>
      <c r="E583" s="430"/>
      <c r="F583" s="75"/>
    </row>
    <row r="584" spans="2:6" s="50" customFormat="1" outlineLevel="2" x14ac:dyDescent="0.3">
      <c r="B584" s="444" t="s">
        <v>4201</v>
      </c>
      <c r="C584" s="438" t="s">
        <v>880</v>
      </c>
      <c r="D584" s="63" t="s">
        <v>299</v>
      </c>
      <c r="E584" s="430"/>
      <c r="F584" s="75"/>
    </row>
    <row r="585" spans="2:6" s="50" customFormat="1" outlineLevel="2" x14ac:dyDescent="0.3">
      <c r="B585" s="444" t="s">
        <v>4202</v>
      </c>
      <c r="C585" s="438" t="s">
        <v>881</v>
      </c>
      <c r="D585" s="63" t="s">
        <v>299</v>
      </c>
      <c r="E585" s="430"/>
      <c r="F585" s="75"/>
    </row>
    <row r="586" spans="2:6" s="50" customFormat="1" x14ac:dyDescent="0.3">
      <c r="B586" s="444" t="s">
        <v>4203</v>
      </c>
      <c r="C586" s="436">
        <v>8.5</v>
      </c>
      <c r="D586" s="65" t="s">
        <v>291</v>
      </c>
      <c r="E586" s="428">
        <f>SUM(E587:E606)</f>
        <v>0</v>
      </c>
      <c r="F586" s="73">
        <f>SUM(F587:F606)</f>
        <v>0</v>
      </c>
    </row>
    <row r="587" spans="2:6" s="50" customFormat="1" outlineLevel="2" x14ac:dyDescent="0.3">
      <c r="B587" s="444" t="s">
        <v>4204</v>
      </c>
      <c r="C587" s="438" t="s">
        <v>3153</v>
      </c>
      <c r="D587" s="62" t="s">
        <v>300</v>
      </c>
      <c r="E587" s="430"/>
      <c r="F587" s="75"/>
    </row>
    <row r="588" spans="2:6" s="50" customFormat="1" outlineLevel="2" x14ac:dyDescent="0.3">
      <c r="B588" s="444" t="s">
        <v>4205</v>
      </c>
      <c r="C588" s="438" t="s">
        <v>3154</v>
      </c>
      <c r="D588" s="63" t="s">
        <v>300</v>
      </c>
      <c r="E588" s="430"/>
      <c r="F588" s="75"/>
    </row>
    <row r="589" spans="2:6" s="50" customFormat="1" outlineLevel="2" x14ac:dyDescent="0.3">
      <c r="B589" s="444" t="s">
        <v>4206</v>
      </c>
      <c r="C589" s="438" t="s">
        <v>882</v>
      </c>
      <c r="D589" s="63" t="s">
        <v>300</v>
      </c>
      <c r="E589" s="430"/>
      <c r="F589" s="75"/>
    </row>
    <row r="590" spans="2:6" s="50" customFormat="1" outlineLevel="2" x14ac:dyDescent="0.3">
      <c r="B590" s="444" t="s">
        <v>4207</v>
      </c>
      <c r="C590" s="438" t="s">
        <v>883</v>
      </c>
      <c r="D590" s="63" t="s">
        <v>300</v>
      </c>
      <c r="E590" s="430"/>
      <c r="F590" s="75"/>
    </row>
    <row r="591" spans="2:6" s="50" customFormat="1" outlineLevel="2" x14ac:dyDescent="0.3">
      <c r="B591" s="444" t="s">
        <v>4208</v>
      </c>
      <c r="C591" s="438" t="s">
        <v>884</v>
      </c>
      <c r="D591" s="63" t="s">
        <v>300</v>
      </c>
      <c r="E591" s="430"/>
      <c r="F591" s="75"/>
    </row>
    <row r="592" spans="2:6" s="50" customFormat="1" outlineLevel="2" x14ac:dyDescent="0.3">
      <c r="B592" s="444" t="s">
        <v>4209</v>
      </c>
      <c r="C592" s="438" t="s">
        <v>885</v>
      </c>
      <c r="D592" s="63" t="s">
        <v>300</v>
      </c>
      <c r="E592" s="430"/>
      <c r="F592" s="75"/>
    </row>
    <row r="593" spans="2:6" s="50" customFormat="1" outlineLevel="2" x14ac:dyDescent="0.3">
      <c r="B593" s="444" t="s">
        <v>4210</v>
      </c>
      <c r="C593" s="438" t="s">
        <v>886</v>
      </c>
      <c r="D593" s="63" t="s">
        <v>300</v>
      </c>
      <c r="E593" s="430"/>
      <c r="F593" s="75"/>
    </row>
    <row r="594" spans="2:6" s="50" customFormat="1" outlineLevel="2" x14ac:dyDescent="0.3">
      <c r="B594" s="444" t="s">
        <v>4211</v>
      </c>
      <c r="C594" s="438" t="s">
        <v>887</v>
      </c>
      <c r="D594" s="63" t="s">
        <v>300</v>
      </c>
      <c r="E594" s="430"/>
      <c r="F594" s="75"/>
    </row>
    <row r="595" spans="2:6" s="50" customFormat="1" outlineLevel="2" x14ac:dyDescent="0.3">
      <c r="B595" s="444" t="s">
        <v>4212</v>
      </c>
      <c r="C595" s="438" t="s">
        <v>888</v>
      </c>
      <c r="D595" s="63" t="s">
        <v>300</v>
      </c>
      <c r="E595" s="430"/>
      <c r="F595" s="75"/>
    </row>
    <row r="596" spans="2:6" s="50" customFormat="1" outlineLevel="2" x14ac:dyDescent="0.3">
      <c r="B596" s="444" t="s">
        <v>4213</v>
      </c>
      <c r="C596" s="438" t="s">
        <v>889</v>
      </c>
      <c r="D596" s="63" t="s">
        <v>300</v>
      </c>
      <c r="E596" s="430"/>
      <c r="F596" s="75"/>
    </row>
    <row r="597" spans="2:6" s="50" customFormat="1" outlineLevel="2" x14ac:dyDescent="0.3">
      <c r="B597" s="444" t="s">
        <v>4214</v>
      </c>
      <c r="C597" s="438" t="s">
        <v>890</v>
      </c>
      <c r="D597" s="63" t="s">
        <v>300</v>
      </c>
      <c r="E597" s="430"/>
      <c r="F597" s="75"/>
    </row>
    <row r="598" spans="2:6" s="50" customFormat="1" outlineLevel="2" x14ac:dyDescent="0.3">
      <c r="B598" s="444" t="s">
        <v>4215</v>
      </c>
      <c r="C598" s="438" t="s">
        <v>891</v>
      </c>
      <c r="D598" s="63" t="s">
        <v>300</v>
      </c>
      <c r="E598" s="430"/>
      <c r="F598" s="75"/>
    </row>
    <row r="599" spans="2:6" s="50" customFormat="1" outlineLevel="2" x14ac:dyDescent="0.3">
      <c r="B599" s="444" t="s">
        <v>4216</v>
      </c>
      <c r="C599" s="438" t="s">
        <v>892</v>
      </c>
      <c r="D599" s="63" t="s">
        <v>300</v>
      </c>
      <c r="E599" s="430"/>
      <c r="F599" s="75"/>
    </row>
    <row r="600" spans="2:6" s="50" customFormat="1" outlineLevel="2" x14ac:dyDescent="0.3">
      <c r="B600" s="444" t="s">
        <v>4217</v>
      </c>
      <c r="C600" s="438" t="s">
        <v>893</v>
      </c>
      <c r="D600" s="63" t="s">
        <v>300</v>
      </c>
      <c r="E600" s="430"/>
      <c r="F600" s="75"/>
    </row>
    <row r="601" spans="2:6" s="50" customFormat="1" outlineLevel="2" x14ac:dyDescent="0.3">
      <c r="B601" s="444" t="s">
        <v>4218</v>
      </c>
      <c r="C601" s="438" t="s">
        <v>894</v>
      </c>
      <c r="D601" s="63" t="s">
        <v>300</v>
      </c>
      <c r="E601" s="430"/>
      <c r="F601" s="75"/>
    </row>
    <row r="602" spans="2:6" s="50" customFormat="1" outlineLevel="2" x14ac:dyDescent="0.3">
      <c r="B602" s="444" t="s">
        <v>4219</v>
      </c>
      <c r="C602" s="438" t="s">
        <v>895</v>
      </c>
      <c r="D602" s="63" t="s">
        <v>300</v>
      </c>
      <c r="E602" s="430"/>
      <c r="F602" s="75"/>
    </row>
    <row r="603" spans="2:6" s="50" customFormat="1" outlineLevel="2" x14ac:dyDescent="0.3">
      <c r="B603" s="444" t="s">
        <v>4220</v>
      </c>
      <c r="C603" s="438" t="s">
        <v>896</v>
      </c>
      <c r="D603" s="63" t="s">
        <v>300</v>
      </c>
      <c r="E603" s="430"/>
      <c r="F603" s="75"/>
    </row>
    <row r="604" spans="2:6" s="50" customFormat="1" outlineLevel="2" x14ac:dyDescent="0.3">
      <c r="B604" s="444" t="s">
        <v>4221</v>
      </c>
      <c r="C604" s="438" t="s">
        <v>897</v>
      </c>
      <c r="D604" s="63" t="s">
        <v>300</v>
      </c>
      <c r="E604" s="430"/>
      <c r="F604" s="75"/>
    </row>
    <row r="605" spans="2:6" s="50" customFormat="1" outlineLevel="2" x14ac:dyDescent="0.3">
      <c r="B605" s="444" t="s">
        <v>4222</v>
      </c>
      <c r="C605" s="438" t="s">
        <v>898</v>
      </c>
      <c r="D605" s="63" t="s">
        <v>300</v>
      </c>
      <c r="E605" s="430"/>
      <c r="F605" s="75"/>
    </row>
    <row r="606" spans="2:6" s="50" customFormat="1" outlineLevel="2" x14ac:dyDescent="0.3">
      <c r="B606" s="444" t="s">
        <v>4223</v>
      </c>
      <c r="C606" s="438" t="s">
        <v>899</v>
      </c>
      <c r="D606" s="63" t="s">
        <v>300</v>
      </c>
      <c r="E606" s="430"/>
      <c r="F606" s="75"/>
    </row>
    <row r="607" spans="2:6" s="50" customFormat="1" x14ac:dyDescent="0.3">
      <c r="B607" s="444" t="s">
        <v>4224</v>
      </c>
      <c r="C607" s="436">
        <v>8.6</v>
      </c>
      <c r="D607" s="65" t="s">
        <v>296</v>
      </c>
      <c r="E607" s="428">
        <f>SUM(E608:E627)</f>
        <v>0</v>
      </c>
      <c r="F607" s="73">
        <f>SUM(F608:F627)</f>
        <v>0</v>
      </c>
    </row>
    <row r="608" spans="2:6" s="50" customFormat="1" outlineLevel="2" x14ac:dyDescent="0.3">
      <c r="B608" s="444" t="s">
        <v>4225</v>
      </c>
      <c r="C608" s="438" t="s">
        <v>900</v>
      </c>
      <c r="D608" s="62" t="s">
        <v>301</v>
      </c>
      <c r="E608" s="430"/>
      <c r="F608" s="75"/>
    </row>
    <row r="609" spans="2:6" s="50" customFormat="1" outlineLevel="2" x14ac:dyDescent="0.3">
      <c r="B609" s="444" t="s">
        <v>4226</v>
      </c>
      <c r="C609" s="438" t="s">
        <v>901</v>
      </c>
      <c r="D609" s="63" t="s">
        <v>301</v>
      </c>
      <c r="E609" s="430"/>
      <c r="F609" s="75"/>
    </row>
    <row r="610" spans="2:6" s="50" customFormat="1" outlineLevel="2" x14ac:dyDescent="0.3">
      <c r="B610" s="444" t="s">
        <v>4227</v>
      </c>
      <c r="C610" s="438" t="s">
        <v>902</v>
      </c>
      <c r="D610" s="63" t="s">
        <v>301</v>
      </c>
      <c r="E610" s="430"/>
      <c r="F610" s="75"/>
    </row>
    <row r="611" spans="2:6" s="50" customFormat="1" outlineLevel="2" x14ac:dyDescent="0.3">
      <c r="B611" s="444" t="s">
        <v>4228</v>
      </c>
      <c r="C611" s="438" t="s">
        <v>903</v>
      </c>
      <c r="D611" s="63" t="s">
        <v>301</v>
      </c>
      <c r="E611" s="430"/>
      <c r="F611" s="75"/>
    </row>
    <row r="612" spans="2:6" s="50" customFormat="1" outlineLevel="2" x14ac:dyDescent="0.3">
      <c r="B612" s="444" t="s">
        <v>4229</v>
      </c>
      <c r="C612" s="438" t="s">
        <v>904</v>
      </c>
      <c r="D612" s="63" t="s">
        <v>301</v>
      </c>
      <c r="E612" s="430"/>
      <c r="F612" s="75"/>
    </row>
    <row r="613" spans="2:6" s="50" customFormat="1" outlineLevel="2" x14ac:dyDescent="0.3">
      <c r="B613" s="444" t="s">
        <v>4230</v>
      </c>
      <c r="C613" s="438" t="s">
        <v>905</v>
      </c>
      <c r="D613" s="63" t="s">
        <v>301</v>
      </c>
      <c r="E613" s="430"/>
      <c r="F613" s="75"/>
    </row>
    <row r="614" spans="2:6" s="50" customFormat="1" outlineLevel="2" x14ac:dyDescent="0.3">
      <c r="B614" s="444" t="s">
        <v>4231</v>
      </c>
      <c r="C614" s="438" t="s">
        <v>906</v>
      </c>
      <c r="D614" s="63" t="s">
        <v>301</v>
      </c>
      <c r="E614" s="430"/>
      <c r="F614" s="75"/>
    </row>
    <row r="615" spans="2:6" s="50" customFormat="1" outlineLevel="2" x14ac:dyDescent="0.3">
      <c r="B615" s="444" t="s">
        <v>4232</v>
      </c>
      <c r="C615" s="438" t="s">
        <v>907</v>
      </c>
      <c r="D615" s="63" t="s">
        <v>301</v>
      </c>
      <c r="E615" s="430"/>
      <c r="F615" s="75"/>
    </row>
    <row r="616" spans="2:6" s="50" customFormat="1" outlineLevel="2" x14ac:dyDescent="0.3">
      <c r="B616" s="444" t="s">
        <v>4233</v>
      </c>
      <c r="C616" s="438" t="s">
        <v>908</v>
      </c>
      <c r="D616" s="63" t="s">
        <v>301</v>
      </c>
      <c r="E616" s="430"/>
      <c r="F616" s="75"/>
    </row>
    <row r="617" spans="2:6" s="50" customFormat="1" outlineLevel="2" x14ac:dyDescent="0.3">
      <c r="B617" s="444" t="s">
        <v>4234</v>
      </c>
      <c r="C617" s="438" t="s">
        <v>909</v>
      </c>
      <c r="D617" s="63" t="s">
        <v>301</v>
      </c>
      <c r="E617" s="430"/>
      <c r="F617" s="75"/>
    </row>
    <row r="618" spans="2:6" s="50" customFormat="1" outlineLevel="2" x14ac:dyDescent="0.3">
      <c r="B618" s="444" t="s">
        <v>4235</v>
      </c>
      <c r="C618" s="438" t="s">
        <v>910</v>
      </c>
      <c r="D618" s="63" t="s">
        <v>301</v>
      </c>
      <c r="E618" s="430"/>
      <c r="F618" s="75"/>
    </row>
    <row r="619" spans="2:6" s="50" customFormat="1" outlineLevel="2" x14ac:dyDescent="0.3">
      <c r="B619" s="444" t="s">
        <v>4236</v>
      </c>
      <c r="C619" s="438" t="s">
        <v>911</v>
      </c>
      <c r="D619" s="63" t="s">
        <v>301</v>
      </c>
      <c r="E619" s="430"/>
      <c r="F619" s="75"/>
    </row>
    <row r="620" spans="2:6" s="50" customFormat="1" outlineLevel="2" x14ac:dyDescent="0.3">
      <c r="B620" s="444" t="s">
        <v>4237</v>
      </c>
      <c r="C620" s="438" t="s">
        <v>912</v>
      </c>
      <c r="D620" s="63" t="s">
        <v>301</v>
      </c>
      <c r="E620" s="430"/>
      <c r="F620" s="75"/>
    </row>
    <row r="621" spans="2:6" s="50" customFormat="1" outlineLevel="2" x14ac:dyDescent="0.3">
      <c r="B621" s="444" t="s">
        <v>4238</v>
      </c>
      <c r="C621" s="438" t="s">
        <v>913</v>
      </c>
      <c r="D621" s="63" t="s">
        <v>301</v>
      </c>
      <c r="E621" s="430"/>
      <c r="F621" s="75"/>
    </row>
    <row r="622" spans="2:6" s="50" customFormat="1" outlineLevel="2" x14ac:dyDescent="0.3">
      <c r="B622" s="444" t="s">
        <v>4239</v>
      </c>
      <c r="C622" s="438" t="s">
        <v>914</v>
      </c>
      <c r="D622" s="63" t="s">
        <v>301</v>
      </c>
      <c r="E622" s="430"/>
      <c r="F622" s="75"/>
    </row>
    <row r="623" spans="2:6" s="50" customFormat="1" outlineLevel="2" x14ac:dyDescent="0.3">
      <c r="B623" s="444" t="s">
        <v>4240</v>
      </c>
      <c r="C623" s="438" t="s">
        <v>915</v>
      </c>
      <c r="D623" s="63" t="s">
        <v>301</v>
      </c>
      <c r="E623" s="430"/>
      <c r="F623" s="75"/>
    </row>
    <row r="624" spans="2:6" s="50" customFormat="1" outlineLevel="2" x14ac:dyDescent="0.3">
      <c r="B624" s="444" t="s">
        <v>4241</v>
      </c>
      <c r="C624" s="438" t="s">
        <v>916</v>
      </c>
      <c r="D624" s="63" t="s">
        <v>301</v>
      </c>
      <c r="E624" s="430"/>
      <c r="F624" s="75"/>
    </row>
    <row r="625" spans="2:6" s="50" customFormat="1" outlineLevel="2" x14ac:dyDescent="0.3">
      <c r="B625" s="444" t="s">
        <v>4242</v>
      </c>
      <c r="C625" s="438" t="s">
        <v>917</v>
      </c>
      <c r="D625" s="63" t="s">
        <v>301</v>
      </c>
      <c r="E625" s="430"/>
      <c r="F625" s="75"/>
    </row>
    <row r="626" spans="2:6" s="50" customFormat="1" outlineLevel="2" x14ac:dyDescent="0.3">
      <c r="B626" s="444" t="s">
        <v>4243</v>
      </c>
      <c r="C626" s="438" t="s">
        <v>918</v>
      </c>
      <c r="D626" s="63" t="s">
        <v>301</v>
      </c>
      <c r="E626" s="430"/>
      <c r="F626" s="75"/>
    </row>
    <row r="627" spans="2:6" s="50" customFormat="1" outlineLevel="2" x14ac:dyDescent="0.3">
      <c r="B627" s="444" t="s">
        <v>4244</v>
      </c>
      <c r="C627" s="438" t="s">
        <v>919</v>
      </c>
      <c r="D627" s="63" t="s">
        <v>301</v>
      </c>
      <c r="E627" s="430"/>
      <c r="F627" s="75"/>
    </row>
    <row r="628" spans="2:6" x14ac:dyDescent="0.3">
      <c r="B628" s="444" t="s">
        <v>4245</v>
      </c>
      <c r="C628" s="434">
        <v>9</v>
      </c>
      <c r="D628" s="245" t="s">
        <v>282</v>
      </c>
      <c r="E628" s="427">
        <f>E629+E630+E715+E800+E885+E906</f>
        <v>0</v>
      </c>
      <c r="F628" s="246">
        <f>F629+F630+F715+F800+F885+F906</f>
        <v>0</v>
      </c>
    </row>
    <row r="629" spans="2:6" s="64" customFormat="1" x14ac:dyDescent="0.3">
      <c r="B629" s="444" t="s">
        <v>4246</v>
      </c>
      <c r="C629" s="435">
        <v>9.1</v>
      </c>
      <c r="D629" s="65" t="s">
        <v>284</v>
      </c>
      <c r="E629" s="428"/>
      <c r="F629" s="73"/>
    </row>
    <row r="630" spans="2:6" s="50" customFormat="1" x14ac:dyDescent="0.3">
      <c r="B630" s="444" t="s">
        <v>4247</v>
      </c>
      <c r="C630" s="436">
        <v>9.1999999999999993</v>
      </c>
      <c r="D630" s="65" t="s">
        <v>285</v>
      </c>
      <c r="E630" s="428">
        <f>E631+E652+E673+E694</f>
        <v>0</v>
      </c>
      <c r="F630" s="73">
        <f>F631+F652+F673+F694</f>
        <v>0</v>
      </c>
    </row>
    <row r="631" spans="2:6" outlineLevel="1" x14ac:dyDescent="0.3">
      <c r="B631" s="444" t="s">
        <v>4248</v>
      </c>
      <c r="C631" s="437" t="s">
        <v>920</v>
      </c>
      <c r="D631" s="59" t="s">
        <v>286</v>
      </c>
      <c r="E631" s="429">
        <f>SUM(E632:E651)</f>
        <v>0</v>
      </c>
      <c r="F631" s="74">
        <f>SUM(F632:F651)</f>
        <v>0</v>
      </c>
    </row>
    <row r="632" spans="2:6" s="50" customFormat="1" outlineLevel="2" x14ac:dyDescent="0.3">
      <c r="B632" s="444" t="s">
        <v>4249</v>
      </c>
      <c r="C632" s="438" t="s">
        <v>921</v>
      </c>
      <c r="D632" s="62" t="s">
        <v>299</v>
      </c>
      <c r="E632" s="430"/>
      <c r="F632" s="75"/>
    </row>
    <row r="633" spans="2:6" s="50" customFormat="1" outlineLevel="2" x14ac:dyDescent="0.3">
      <c r="B633" s="444" t="s">
        <v>4250</v>
      </c>
      <c r="C633" s="438" t="s">
        <v>922</v>
      </c>
      <c r="D633" s="63" t="s">
        <v>299</v>
      </c>
      <c r="E633" s="430"/>
      <c r="F633" s="75"/>
    </row>
    <row r="634" spans="2:6" s="50" customFormat="1" outlineLevel="2" x14ac:dyDescent="0.3">
      <c r="B634" s="444" t="s">
        <v>4251</v>
      </c>
      <c r="C634" s="438" t="s">
        <v>923</v>
      </c>
      <c r="D634" s="63" t="s">
        <v>299</v>
      </c>
      <c r="E634" s="430"/>
      <c r="F634" s="75"/>
    </row>
    <row r="635" spans="2:6" s="50" customFormat="1" outlineLevel="2" x14ac:dyDescent="0.3">
      <c r="B635" s="444" t="s">
        <v>4252</v>
      </c>
      <c r="C635" s="438" t="s">
        <v>924</v>
      </c>
      <c r="D635" s="63" t="s">
        <v>299</v>
      </c>
      <c r="E635" s="430"/>
      <c r="F635" s="75"/>
    </row>
    <row r="636" spans="2:6" s="50" customFormat="1" outlineLevel="2" x14ac:dyDescent="0.3">
      <c r="B636" s="444" t="s">
        <v>4253</v>
      </c>
      <c r="C636" s="438" t="s">
        <v>925</v>
      </c>
      <c r="D636" s="63" t="s">
        <v>299</v>
      </c>
      <c r="E636" s="430"/>
      <c r="F636" s="75"/>
    </row>
    <row r="637" spans="2:6" s="50" customFormat="1" outlineLevel="2" x14ac:dyDescent="0.3">
      <c r="B637" s="444" t="s">
        <v>4254</v>
      </c>
      <c r="C637" s="438" t="s">
        <v>926</v>
      </c>
      <c r="D637" s="63" t="s">
        <v>299</v>
      </c>
      <c r="E637" s="430"/>
      <c r="F637" s="75"/>
    </row>
    <row r="638" spans="2:6" s="50" customFormat="1" outlineLevel="2" x14ac:dyDescent="0.3">
      <c r="B638" s="444" t="s">
        <v>4255</v>
      </c>
      <c r="C638" s="438" t="s">
        <v>927</v>
      </c>
      <c r="D638" s="63" t="s">
        <v>299</v>
      </c>
      <c r="E638" s="430"/>
      <c r="F638" s="75"/>
    </row>
    <row r="639" spans="2:6" s="50" customFormat="1" outlineLevel="2" x14ac:dyDescent="0.3">
      <c r="B639" s="444" t="s">
        <v>4256</v>
      </c>
      <c r="C639" s="438" t="s">
        <v>928</v>
      </c>
      <c r="D639" s="63" t="s">
        <v>299</v>
      </c>
      <c r="E639" s="430"/>
      <c r="F639" s="75"/>
    </row>
    <row r="640" spans="2:6" s="50" customFormat="1" outlineLevel="2" x14ac:dyDescent="0.3">
      <c r="B640" s="444" t="s">
        <v>4257</v>
      </c>
      <c r="C640" s="438" t="s">
        <v>929</v>
      </c>
      <c r="D640" s="63" t="s">
        <v>299</v>
      </c>
      <c r="E640" s="430"/>
      <c r="F640" s="75"/>
    </row>
    <row r="641" spans="2:6" s="50" customFormat="1" outlineLevel="2" x14ac:dyDescent="0.3">
      <c r="B641" s="444" t="s">
        <v>4258</v>
      </c>
      <c r="C641" s="438" t="s">
        <v>930</v>
      </c>
      <c r="D641" s="63" t="s">
        <v>299</v>
      </c>
      <c r="E641" s="430"/>
      <c r="F641" s="75"/>
    </row>
    <row r="642" spans="2:6" s="50" customFormat="1" outlineLevel="2" x14ac:dyDescent="0.3">
      <c r="B642" s="444" t="s">
        <v>4259</v>
      </c>
      <c r="C642" s="438" t="s">
        <v>931</v>
      </c>
      <c r="D642" s="63" t="s">
        <v>299</v>
      </c>
      <c r="E642" s="430"/>
      <c r="F642" s="75"/>
    </row>
    <row r="643" spans="2:6" s="50" customFormat="1" outlineLevel="2" x14ac:dyDescent="0.3">
      <c r="B643" s="444" t="s">
        <v>4260</v>
      </c>
      <c r="C643" s="438" t="s">
        <v>932</v>
      </c>
      <c r="D643" s="63" t="s">
        <v>299</v>
      </c>
      <c r="E643" s="430"/>
      <c r="F643" s="75"/>
    </row>
    <row r="644" spans="2:6" s="50" customFormat="1" outlineLevel="2" x14ac:dyDescent="0.3">
      <c r="B644" s="444" t="s">
        <v>4261</v>
      </c>
      <c r="C644" s="438" t="s">
        <v>933</v>
      </c>
      <c r="D644" s="63" t="s">
        <v>299</v>
      </c>
      <c r="E644" s="430"/>
      <c r="F644" s="75"/>
    </row>
    <row r="645" spans="2:6" s="50" customFormat="1" outlineLevel="2" x14ac:dyDescent="0.3">
      <c r="B645" s="444" t="s">
        <v>4262</v>
      </c>
      <c r="C645" s="438" t="s">
        <v>934</v>
      </c>
      <c r="D645" s="63" t="s">
        <v>299</v>
      </c>
      <c r="E645" s="430"/>
      <c r="F645" s="75"/>
    </row>
    <row r="646" spans="2:6" s="50" customFormat="1" outlineLevel="2" x14ac:dyDescent="0.3">
      <c r="B646" s="444" t="s">
        <v>4263</v>
      </c>
      <c r="C646" s="438" t="s">
        <v>935</v>
      </c>
      <c r="D646" s="63" t="s">
        <v>299</v>
      </c>
      <c r="E646" s="430"/>
      <c r="F646" s="75"/>
    </row>
    <row r="647" spans="2:6" s="50" customFormat="1" outlineLevel="2" x14ac:dyDescent="0.3">
      <c r="B647" s="444" t="s">
        <v>4264</v>
      </c>
      <c r="C647" s="438" t="s">
        <v>936</v>
      </c>
      <c r="D647" s="63" t="s">
        <v>299</v>
      </c>
      <c r="E647" s="430"/>
      <c r="F647" s="75"/>
    </row>
    <row r="648" spans="2:6" s="50" customFormat="1" outlineLevel="2" x14ac:dyDescent="0.3">
      <c r="B648" s="444" t="s">
        <v>4265</v>
      </c>
      <c r="C648" s="438" t="s">
        <v>937</v>
      </c>
      <c r="D648" s="63" t="s">
        <v>299</v>
      </c>
      <c r="E648" s="430"/>
      <c r="F648" s="75"/>
    </row>
    <row r="649" spans="2:6" s="50" customFormat="1" outlineLevel="2" x14ac:dyDescent="0.3">
      <c r="B649" s="444" t="s">
        <v>4266</v>
      </c>
      <c r="C649" s="438" t="s">
        <v>938</v>
      </c>
      <c r="D649" s="63" t="s">
        <v>299</v>
      </c>
      <c r="E649" s="430"/>
      <c r="F649" s="75"/>
    </row>
    <row r="650" spans="2:6" s="50" customFormat="1" outlineLevel="2" x14ac:dyDescent="0.3">
      <c r="B650" s="444" t="s">
        <v>4267</v>
      </c>
      <c r="C650" s="438" t="s">
        <v>939</v>
      </c>
      <c r="D650" s="63" t="s">
        <v>299</v>
      </c>
      <c r="E650" s="430"/>
      <c r="F650" s="75"/>
    </row>
    <row r="651" spans="2:6" s="50" customFormat="1" outlineLevel="2" x14ac:dyDescent="0.3">
      <c r="B651" s="444" t="s">
        <v>4268</v>
      </c>
      <c r="C651" s="438" t="s">
        <v>940</v>
      </c>
      <c r="D651" s="63" t="s">
        <v>299</v>
      </c>
      <c r="E651" s="430"/>
      <c r="F651" s="75"/>
    </row>
    <row r="652" spans="2:6" outlineLevel="1" x14ac:dyDescent="0.3">
      <c r="B652" s="444" t="s">
        <v>4269</v>
      </c>
      <c r="C652" s="437" t="s">
        <v>941</v>
      </c>
      <c r="D652" s="59" t="s">
        <v>4654</v>
      </c>
      <c r="E652" s="429">
        <f>SUM(E653:E672)</f>
        <v>0</v>
      </c>
      <c r="F652" s="74">
        <f>SUM(F653:F672)</f>
        <v>0</v>
      </c>
    </row>
    <row r="653" spans="2:6" s="50" customFormat="1" outlineLevel="2" x14ac:dyDescent="0.3">
      <c r="B653" s="444" t="s">
        <v>4270</v>
      </c>
      <c r="C653" s="438" t="s">
        <v>942</v>
      </c>
      <c r="D653" s="62" t="s">
        <v>299</v>
      </c>
      <c r="E653" s="430"/>
      <c r="F653" s="75"/>
    </row>
    <row r="654" spans="2:6" s="50" customFormat="1" outlineLevel="2" x14ac:dyDescent="0.3">
      <c r="B654" s="444" t="s">
        <v>4271</v>
      </c>
      <c r="C654" s="438" t="s">
        <v>943</v>
      </c>
      <c r="D654" s="63" t="s">
        <v>299</v>
      </c>
      <c r="E654" s="430"/>
      <c r="F654" s="75"/>
    </row>
    <row r="655" spans="2:6" s="50" customFormat="1" outlineLevel="2" x14ac:dyDescent="0.3">
      <c r="B655" s="444" t="s">
        <v>4272</v>
      </c>
      <c r="C655" s="438" t="s">
        <v>944</v>
      </c>
      <c r="D655" s="63" t="s">
        <v>299</v>
      </c>
      <c r="E655" s="430"/>
      <c r="F655" s="75"/>
    </row>
    <row r="656" spans="2:6" s="50" customFormat="1" outlineLevel="2" x14ac:dyDescent="0.3">
      <c r="B656" s="444" t="s">
        <v>4273</v>
      </c>
      <c r="C656" s="438" t="s">
        <v>945</v>
      </c>
      <c r="D656" s="63" t="s">
        <v>299</v>
      </c>
      <c r="E656" s="430"/>
      <c r="F656" s="75"/>
    </row>
    <row r="657" spans="2:6" s="50" customFormat="1" outlineLevel="2" x14ac:dyDescent="0.3">
      <c r="B657" s="444" t="s">
        <v>4274</v>
      </c>
      <c r="C657" s="438" t="s">
        <v>946</v>
      </c>
      <c r="D657" s="63" t="s">
        <v>299</v>
      </c>
      <c r="E657" s="430"/>
      <c r="F657" s="75"/>
    </row>
    <row r="658" spans="2:6" s="50" customFormat="1" outlineLevel="2" x14ac:dyDescent="0.3">
      <c r="B658" s="444" t="s">
        <v>4275</v>
      </c>
      <c r="C658" s="438" t="s">
        <v>947</v>
      </c>
      <c r="D658" s="63" t="s">
        <v>299</v>
      </c>
      <c r="E658" s="430"/>
      <c r="F658" s="75"/>
    </row>
    <row r="659" spans="2:6" s="50" customFormat="1" outlineLevel="2" x14ac:dyDescent="0.3">
      <c r="B659" s="444" t="s">
        <v>4276</v>
      </c>
      <c r="C659" s="438" t="s">
        <v>948</v>
      </c>
      <c r="D659" s="63" t="s">
        <v>299</v>
      </c>
      <c r="E659" s="430"/>
      <c r="F659" s="75"/>
    </row>
    <row r="660" spans="2:6" s="50" customFormat="1" outlineLevel="2" x14ac:dyDescent="0.3">
      <c r="B660" s="444" t="s">
        <v>4277</v>
      </c>
      <c r="C660" s="438" t="s">
        <v>949</v>
      </c>
      <c r="D660" s="63" t="s">
        <v>299</v>
      </c>
      <c r="E660" s="430"/>
      <c r="F660" s="75"/>
    </row>
    <row r="661" spans="2:6" s="50" customFormat="1" outlineLevel="2" x14ac:dyDescent="0.3">
      <c r="B661" s="444" t="s">
        <v>4278</v>
      </c>
      <c r="C661" s="438" t="s">
        <v>950</v>
      </c>
      <c r="D661" s="63" t="s">
        <v>299</v>
      </c>
      <c r="E661" s="430"/>
      <c r="F661" s="75"/>
    </row>
    <row r="662" spans="2:6" s="50" customFormat="1" outlineLevel="2" x14ac:dyDescent="0.3">
      <c r="B662" s="444" t="s">
        <v>4279</v>
      </c>
      <c r="C662" s="438" t="s">
        <v>951</v>
      </c>
      <c r="D662" s="63" t="s">
        <v>299</v>
      </c>
      <c r="E662" s="430"/>
      <c r="F662" s="75"/>
    </row>
    <row r="663" spans="2:6" s="50" customFormat="1" outlineLevel="2" x14ac:dyDescent="0.3">
      <c r="B663" s="444" t="s">
        <v>4280</v>
      </c>
      <c r="C663" s="438" t="s">
        <v>952</v>
      </c>
      <c r="D663" s="63" t="s">
        <v>299</v>
      </c>
      <c r="E663" s="430"/>
      <c r="F663" s="75"/>
    </row>
    <row r="664" spans="2:6" s="50" customFormat="1" outlineLevel="2" x14ac:dyDescent="0.3">
      <c r="B664" s="444" t="s">
        <v>4281</v>
      </c>
      <c r="C664" s="438" t="s">
        <v>953</v>
      </c>
      <c r="D664" s="63" t="s">
        <v>299</v>
      </c>
      <c r="E664" s="430"/>
      <c r="F664" s="75"/>
    </row>
    <row r="665" spans="2:6" s="50" customFormat="1" outlineLevel="2" x14ac:dyDescent="0.3">
      <c r="B665" s="444" t="s">
        <v>4282</v>
      </c>
      <c r="C665" s="438" t="s">
        <v>954</v>
      </c>
      <c r="D665" s="63" t="s">
        <v>299</v>
      </c>
      <c r="E665" s="430"/>
      <c r="F665" s="75"/>
    </row>
    <row r="666" spans="2:6" s="50" customFormat="1" outlineLevel="2" x14ac:dyDescent="0.3">
      <c r="B666" s="444" t="s">
        <v>4283</v>
      </c>
      <c r="C666" s="438" t="s">
        <v>955</v>
      </c>
      <c r="D666" s="63" t="s">
        <v>299</v>
      </c>
      <c r="E666" s="430"/>
      <c r="F666" s="75"/>
    </row>
    <row r="667" spans="2:6" s="50" customFormat="1" outlineLevel="2" x14ac:dyDescent="0.3">
      <c r="B667" s="444" t="s">
        <v>4284</v>
      </c>
      <c r="C667" s="438" t="s">
        <v>956</v>
      </c>
      <c r="D667" s="63" t="s">
        <v>299</v>
      </c>
      <c r="E667" s="430"/>
      <c r="F667" s="75"/>
    </row>
    <row r="668" spans="2:6" s="50" customFormat="1" outlineLevel="2" x14ac:dyDescent="0.3">
      <c r="B668" s="444" t="s">
        <v>4285</v>
      </c>
      <c r="C668" s="438" t="s">
        <v>957</v>
      </c>
      <c r="D668" s="63" t="s">
        <v>299</v>
      </c>
      <c r="E668" s="430"/>
      <c r="F668" s="75"/>
    </row>
    <row r="669" spans="2:6" s="50" customFormat="1" outlineLevel="2" x14ac:dyDescent="0.3">
      <c r="B669" s="444" t="s">
        <v>4286</v>
      </c>
      <c r="C669" s="438" t="s">
        <v>958</v>
      </c>
      <c r="D669" s="63" t="s">
        <v>299</v>
      </c>
      <c r="E669" s="430"/>
      <c r="F669" s="75"/>
    </row>
    <row r="670" spans="2:6" s="50" customFormat="1" outlineLevel="2" x14ac:dyDescent="0.3">
      <c r="B670" s="444" t="s">
        <v>4287</v>
      </c>
      <c r="C670" s="438" t="s">
        <v>959</v>
      </c>
      <c r="D670" s="63" t="s">
        <v>299</v>
      </c>
      <c r="E670" s="430"/>
      <c r="F670" s="75"/>
    </row>
    <row r="671" spans="2:6" s="50" customFormat="1" outlineLevel="2" x14ac:dyDescent="0.3">
      <c r="B671" s="444" t="s">
        <v>4288</v>
      </c>
      <c r="C671" s="438" t="s">
        <v>960</v>
      </c>
      <c r="D671" s="63" t="s">
        <v>299</v>
      </c>
      <c r="E671" s="430"/>
      <c r="F671" s="75"/>
    </row>
    <row r="672" spans="2:6" s="50" customFormat="1" outlineLevel="2" x14ac:dyDescent="0.3">
      <c r="B672" s="444" t="s">
        <v>4289</v>
      </c>
      <c r="C672" s="438" t="s">
        <v>961</v>
      </c>
      <c r="D672" s="63" t="s">
        <v>299</v>
      </c>
      <c r="E672" s="430"/>
      <c r="F672" s="75"/>
    </row>
    <row r="673" spans="2:6" outlineLevel="1" x14ac:dyDescent="0.3">
      <c r="B673" s="444" t="s">
        <v>4290</v>
      </c>
      <c r="C673" s="437" t="s">
        <v>962</v>
      </c>
      <c r="D673" s="59" t="s">
        <v>287</v>
      </c>
      <c r="E673" s="429">
        <f>SUM(E674:E693)</f>
        <v>0</v>
      </c>
      <c r="F673" s="74">
        <f>SUM(F674:F693)</f>
        <v>0</v>
      </c>
    </row>
    <row r="674" spans="2:6" s="50" customFormat="1" outlineLevel="2" x14ac:dyDescent="0.3">
      <c r="B674" s="444" t="s">
        <v>4291</v>
      </c>
      <c r="C674" s="438" t="s">
        <v>963</v>
      </c>
      <c r="D674" s="62" t="s">
        <v>299</v>
      </c>
      <c r="E674" s="430"/>
      <c r="F674" s="75"/>
    </row>
    <row r="675" spans="2:6" s="50" customFormat="1" outlineLevel="2" x14ac:dyDescent="0.3">
      <c r="B675" s="444" t="s">
        <v>4292</v>
      </c>
      <c r="C675" s="438" t="s">
        <v>964</v>
      </c>
      <c r="D675" s="63" t="s">
        <v>299</v>
      </c>
      <c r="E675" s="430"/>
      <c r="F675" s="75"/>
    </row>
    <row r="676" spans="2:6" s="50" customFormat="1" outlineLevel="2" x14ac:dyDescent="0.3">
      <c r="B676" s="444" t="s">
        <v>4293</v>
      </c>
      <c r="C676" s="438" t="s">
        <v>965</v>
      </c>
      <c r="D676" s="63" t="s">
        <v>299</v>
      </c>
      <c r="E676" s="430"/>
      <c r="F676" s="75"/>
    </row>
    <row r="677" spans="2:6" s="50" customFormat="1" outlineLevel="2" x14ac:dyDescent="0.3">
      <c r="B677" s="444" t="s">
        <v>4294</v>
      </c>
      <c r="C677" s="438" t="s">
        <v>966</v>
      </c>
      <c r="D677" s="63" t="s">
        <v>299</v>
      </c>
      <c r="E677" s="430"/>
      <c r="F677" s="75"/>
    </row>
    <row r="678" spans="2:6" s="50" customFormat="1" outlineLevel="2" x14ac:dyDescent="0.3">
      <c r="B678" s="444" t="s">
        <v>4295</v>
      </c>
      <c r="C678" s="438" t="s">
        <v>967</v>
      </c>
      <c r="D678" s="63" t="s">
        <v>299</v>
      </c>
      <c r="E678" s="430"/>
      <c r="F678" s="75"/>
    </row>
    <row r="679" spans="2:6" s="50" customFormat="1" outlineLevel="2" x14ac:dyDescent="0.3">
      <c r="B679" s="444" t="s">
        <v>4296</v>
      </c>
      <c r="C679" s="438" t="s">
        <v>968</v>
      </c>
      <c r="D679" s="63" t="s">
        <v>299</v>
      </c>
      <c r="E679" s="430"/>
      <c r="F679" s="75"/>
    </row>
    <row r="680" spans="2:6" s="50" customFormat="1" outlineLevel="2" x14ac:dyDescent="0.3">
      <c r="B680" s="444" t="s">
        <v>4297</v>
      </c>
      <c r="C680" s="438" t="s">
        <v>969</v>
      </c>
      <c r="D680" s="63" t="s">
        <v>299</v>
      </c>
      <c r="E680" s="430"/>
      <c r="F680" s="75"/>
    </row>
    <row r="681" spans="2:6" s="50" customFormat="1" outlineLevel="2" x14ac:dyDescent="0.3">
      <c r="B681" s="444" t="s">
        <v>4298</v>
      </c>
      <c r="C681" s="438" t="s">
        <v>970</v>
      </c>
      <c r="D681" s="63" t="s">
        <v>299</v>
      </c>
      <c r="E681" s="430"/>
      <c r="F681" s="75"/>
    </row>
    <row r="682" spans="2:6" s="50" customFormat="1" outlineLevel="2" x14ac:dyDescent="0.3">
      <c r="B682" s="444" t="s">
        <v>4299</v>
      </c>
      <c r="C682" s="438" t="s">
        <v>971</v>
      </c>
      <c r="D682" s="63" t="s">
        <v>299</v>
      </c>
      <c r="E682" s="430"/>
      <c r="F682" s="75"/>
    </row>
    <row r="683" spans="2:6" s="50" customFormat="1" outlineLevel="2" x14ac:dyDescent="0.3">
      <c r="B683" s="444" t="s">
        <v>4300</v>
      </c>
      <c r="C683" s="438" t="s">
        <v>972</v>
      </c>
      <c r="D683" s="63" t="s">
        <v>299</v>
      </c>
      <c r="E683" s="430"/>
      <c r="F683" s="75"/>
    </row>
    <row r="684" spans="2:6" s="50" customFormat="1" outlineLevel="2" x14ac:dyDescent="0.3">
      <c r="B684" s="444" t="s">
        <v>4301</v>
      </c>
      <c r="C684" s="438" t="s">
        <v>973</v>
      </c>
      <c r="D684" s="63" t="s">
        <v>299</v>
      </c>
      <c r="E684" s="430"/>
      <c r="F684" s="75"/>
    </row>
    <row r="685" spans="2:6" s="50" customFormat="1" outlineLevel="2" x14ac:dyDescent="0.3">
      <c r="B685" s="444" t="s">
        <v>4302</v>
      </c>
      <c r="C685" s="438" t="s">
        <v>974</v>
      </c>
      <c r="D685" s="63" t="s">
        <v>299</v>
      </c>
      <c r="E685" s="430"/>
      <c r="F685" s="75"/>
    </row>
    <row r="686" spans="2:6" s="50" customFormat="1" outlineLevel="2" x14ac:dyDescent="0.3">
      <c r="B686" s="444" t="s">
        <v>4303</v>
      </c>
      <c r="C686" s="438" t="s">
        <v>975</v>
      </c>
      <c r="D686" s="63" t="s">
        <v>299</v>
      </c>
      <c r="E686" s="430"/>
      <c r="F686" s="75"/>
    </row>
    <row r="687" spans="2:6" s="50" customFormat="1" outlineLevel="2" x14ac:dyDescent="0.3">
      <c r="B687" s="444" t="s">
        <v>4304</v>
      </c>
      <c r="C687" s="438" t="s">
        <v>976</v>
      </c>
      <c r="D687" s="63" t="s">
        <v>299</v>
      </c>
      <c r="E687" s="430"/>
      <c r="F687" s="75"/>
    </row>
    <row r="688" spans="2:6" s="50" customFormat="1" outlineLevel="2" x14ac:dyDescent="0.3">
      <c r="B688" s="444" t="s">
        <v>4305</v>
      </c>
      <c r="C688" s="438" t="s">
        <v>977</v>
      </c>
      <c r="D688" s="63" t="s">
        <v>299</v>
      </c>
      <c r="E688" s="430"/>
      <c r="F688" s="75"/>
    </row>
    <row r="689" spans="2:6" s="50" customFormat="1" outlineLevel="2" x14ac:dyDescent="0.3">
      <c r="B689" s="444" t="s">
        <v>4306</v>
      </c>
      <c r="C689" s="438" t="s">
        <v>978</v>
      </c>
      <c r="D689" s="63" t="s">
        <v>299</v>
      </c>
      <c r="E689" s="430"/>
      <c r="F689" s="75"/>
    </row>
    <row r="690" spans="2:6" s="50" customFormat="1" outlineLevel="2" x14ac:dyDescent="0.3">
      <c r="B690" s="444" t="s">
        <v>4307</v>
      </c>
      <c r="C690" s="438" t="s">
        <v>979</v>
      </c>
      <c r="D690" s="63" t="s">
        <v>299</v>
      </c>
      <c r="E690" s="430"/>
      <c r="F690" s="75"/>
    </row>
    <row r="691" spans="2:6" s="50" customFormat="1" outlineLevel="2" x14ac:dyDescent="0.3">
      <c r="B691" s="444" t="s">
        <v>4308</v>
      </c>
      <c r="C691" s="438" t="s">
        <v>980</v>
      </c>
      <c r="D691" s="63" t="s">
        <v>299</v>
      </c>
      <c r="E691" s="430"/>
      <c r="F691" s="75"/>
    </row>
    <row r="692" spans="2:6" s="50" customFormat="1" outlineLevel="2" x14ac:dyDescent="0.3">
      <c r="B692" s="444" t="s">
        <v>4309</v>
      </c>
      <c r="C692" s="438" t="s">
        <v>981</v>
      </c>
      <c r="D692" s="63" t="s">
        <v>299</v>
      </c>
      <c r="E692" s="430"/>
      <c r="F692" s="75"/>
    </row>
    <row r="693" spans="2:6" s="50" customFormat="1" outlineLevel="2" x14ac:dyDescent="0.3">
      <c r="B693" s="444" t="s">
        <v>4310</v>
      </c>
      <c r="C693" s="438" t="s">
        <v>982</v>
      </c>
      <c r="D693" s="63" t="s">
        <v>299</v>
      </c>
      <c r="E693" s="430"/>
      <c r="F693" s="75"/>
    </row>
    <row r="694" spans="2:6" outlineLevel="1" x14ac:dyDescent="0.3">
      <c r="B694" s="444" t="s">
        <v>4311</v>
      </c>
      <c r="C694" s="437" t="s">
        <v>983</v>
      </c>
      <c r="D694" s="59" t="s">
        <v>4655</v>
      </c>
      <c r="E694" s="429">
        <f>SUM(E695:E714)</f>
        <v>0</v>
      </c>
      <c r="F694" s="74">
        <f>SUM(F695:F714)</f>
        <v>0</v>
      </c>
    </row>
    <row r="695" spans="2:6" s="50" customFormat="1" outlineLevel="2" x14ac:dyDescent="0.3">
      <c r="B695" s="444" t="s">
        <v>4312</v>
      </c>
      <c r="C695" s="438" t="s">
        <v>984</v>
      </c>
      <c r="D695" s="62" t="s">
        <v>299</v>
      </c>
      <c r="E695" s="430"/>
      <c r="F695" s="75"/>
    </row>
    <row r="696" spans="2:6" s="50" customFormat="1" outlineLevel="2" x14ac:dyDescent="0.3">
      <c r="B696" s="444" t="s">
        <v>4313</v>
      </c>
      <c r="C696" s="438" t="s">
        <v>985</v>
      </c>
      <c r="D696" s="63" t="s">
        <v>299</v>
      </c>
      <c r="E696" s="430"/>
      <c r="F696" s="75"/>
    </row>
    <row r="697" spans="2:6" s="50" customFormat="1" outlineLevel="2" x14ac:dyDescent="0.3">
      <c r="B697" s="444" t="s">
        <v>4314</v>
      </c>
      <c r="C697" s="438" t="s">
        <v>986</v>
      </c>
      <c r="D697" s="63" t="s">
        <v>299</v>
      </c>
      <c r="E697" s="430"/>
      <c r="F697" s="75"/>
    </row>
    <row r="698" spans="2:6" s="50" customFormat="1" outlineLevel="2" x14ac:dyDescent="0.3">
      <c r="B698" s="444" t="s">
        <v>4315</v>
      </c>
      <c r="C698" s="438" t="s">
        <v>987</v>
      </c>
      <c r="D698" s="63" t="s">
        <v>299</v>
      </c>
      <c r="E698" s="430"/>
      <c r="F698" s="75"/>
    </row>
    <row r="699" spans="2:6" s="50" customFormat="1" outlineLevel="2" x14ac:dyDescent="0.3">
      <c r="B699" s="444" t="s">
        <v>4316</v>
      </c>
      <c r="C699" s="438" t="s">
        <v>988</v>
      </c>
      <c r="D699" s="63" t="s">
        <v>299</v>
      </c>
      <c r="E699" s="430"/>
      <c r="F699" s="75"/>
    </row>
    <row r="700" spans="2:6" s="50" customFormat="1" outlineLevel="2" x14ac:dyDescent="0.3">
      <c r="B700" s="444" t="s">
        <v>4317</v>
      </c>
      <c r="C700" s="438" t="s">
        <v>989</v>
      </c>
      <c r="D700" s="63" t="s">
        <v>299</v>
      </c>
      <c r="E700" s="430"/>
      <c r="F700" s="75"/>
    </row>
    <row r="701" spans="2:6" s="50" customFormat="1" outlineLevel="2" x14ac:dyDescent="0.3">
      <c r="B701" s="444" t="s">
        <v>4318</v>
      </c>
      <c r="C701" s="438" t="s">
        <v>990</v>
      </c>
      <c r="D701" s="63" t="s">
        <v>299</v>
      </c>
      <c r="E701" s="430"/>
      <c r="F701" s="75"/>
    </row>
    <row r="702" spans="2:6" s="50" customFormat="1" outlineLevel="2" x14ac:dyDescent="0.3">
      <c r="B702" s="444" t="s">
        <v>4319</v>
      </c>
      <c r="C702" s="438" t="s">
        <v>991</v>
      </c>
      <c r="D702" s="63" t="s">
        <v>299</v>
      </c>
      <c r="E702" s="430"/>
      <c r="F702" s="75"/>
    </row>
    <row r="703" spans="2:6" s="50" customFormat="1" outlineLevel="2" x14ac:dyDescent="0.3">
      <c r="B703" s="444" t="s">
        <v>4320</v>
      </c>
      <c r="C703" s="438" t="s">
        <v>992</v>
      </c>
      <c r="D703" s="63" t="s">
        <v>299</v>
      </c>
      <c r="E703" s="430"/>
      <c r="F703" s="75"/>
    </row>
    <row r="704" spans="2:6" s="50" customFormat="1" outlineLevel="2" x14ac:dyDescent="0.3">
      <c r="B704" s="444" t="s">
        <v>4321</v>
      </c>
      <c r="C704" s="438" t="s">
        <v>993</v>
      </c>
      <c r="D704" s="63" t="s">
        <v>299</v>
      </c>
      <c r="E704" s="430"/>
      <c r="F704" s="75"/>
    </row>
    <row r="705" spans="2:6" s="50" customFormat="1" outlineLevel="2" x14ac:dyDescent="0.3">
      <c r="B705" s="444" t="s">
        <v>4322</v>
      </c>
      <c r="C705" s="438" t="s">
        <v>994</v>
      </c>
      <c r="D705" s="63" t="s">
        <v>299</v>
      </c>
      <c r="E705" s="430"/>
      <c r="F705" s="75"/>
    </row>
    <row r="706" spans="2:6" s="50" customFormat="1" outlineLevel="2" x14ac:dyDescent="0.3">
      <c r="B706" s="444" t="s">
        <v>4323</v>
      </c>
      <c r="C706" s="438" t="s">
        <v>995</v>
      </c>
      <c r="D706" s="63" t="s">
        <v>299</v>
      </c>
      <c r="E706" s="430"/>
      <c r="F706" s="75"/>
    </row>
    <row r="707" spans="2:6" s="50" customFormat="1" outlineLevel="2" x14ac:dyDescent="0.3">
      <c r="B707" s="444" t="s">
        <v>4324</v>
      </c>
      <c r="C707" s="438" t="s">
        <v>996</v>
      </c>
      <c r="D707" s="63" t="s">
        <v>299</v>
      </c>
      <c r="E707" s="430"/>
      <c r="F707" s="75"/>
    </row>
    <row r="708" spans="2:6" s="50" customFormat="1" outlineLevel="2" x14ac:dyDescent="0.3">
      <c r="B708" s="444" t="s">
        <v>4325</v>
      </c>
      <c r="C708" s="438" t="s">
        <v>997</v>
      </c>
      <c r="D708" s="63" t="s">
        <v>299</v>
      </c>
      <c r="E708" s="430"/>
      <c r="F708" s="75"/>
    </row>
    <row r="709" spans="2:6" s="50" customFormat="1" outlineLevel="2" x14ac:dyDescent="0.3">
      <c r="B709" s="444" t="s">
        <v>4326</v>
      </c>
      <c r="C709" s="438" t="s">
        <v>998</v>
      </c>
      <c r="D709" s="63" t="s">
        <v>299</v>
      </c>
      <c r="E709" s="430"/>
      <c r="F709" s="75"/>
    </row>
    <row r="710" spans="2:6" s="50" customFormat="1" outlineLevel="2" x14ac:dyDescent="0.3">
      <c r="B710" s="444" t="s">
        <v>4327</v>
      </c>
      <c r="C710" s="438" t="s">
        <v>999</v>
      </c>
      <c r="D710" s="63" t="s">
        <v>299</v>
      </c>
      <c r="E710" s="430"/>
      <c r="F710" s="75"/>
    </row>
    <row r="711" spans="2:6" s="50" customFormat="1" outlineLevel="2" x14ac:dyDescent="0.3">
      <c r="B711" s="444" t="s">
        <v>4328</v>
      </c>
      <c r="C711" s="438" t="s">
        <v>1000</v>
      </c>
      <c r="D711" s="63" t="s">
        <v>299</v>
      </c>
      <c r="E711" s="430"/>
      <c r="F711" s="75"/>
    </row>
    <row r="712" spans="2:6" s="50" customFormat="1" outlineLevel="2" x14ac:dyDescent="0.3">
      <c r="B712" s="444" t="s">
        <v>4329</v>
      </c>
      <c r="C712" s="438" t="s">
        <v>1001</v>
      </c>
      <c r="D712" s="63" t="s">
        <v>299</v>
      </c>
      <c r="E712" s="430"/>
      <c r="F712" s="75"/>
    </row>
    <row r="713" spans="2:6" s="50" customFormat="1" outlineLevel="2" x14ac:dyDescent="0.3">
      <c r="B713" s="444" t="s">
        <v>4330</v>
      </c>
      <c r="C713" s="438" t="s">
        <v>1002</v>
      </c>
      <c r="D713" s="63" t="s">
        <v>299</v>
      </c>
      <c r="E713" s="430"/>
      <c r="F713" s="75"/>
    </row>
    <row r="714" spans="2:6" s="50" customFormat="1" outlineLevel="2" x14ac:dyDescent="0.3">
      <c r="B714" s="444" t="s">
        <v>4331</v>
      </c>
      <c r="C714" s="438" t="s">
        <v>1003</v>
      </c>
      <c r="D714" s="63" t="s">
        <v>299</v>
      </c>
      <c r="E714" s="430"/>
      <c r="F714" s="75"/>
    </row>
    <row r="715" spans="2:6" s="50" customFormat="1" x14ac:dyDescent="0.3">
      <c r="B715" s="444" t="s">
        <v>4332</v>
      </c>
      <c r="C715" s="436">
        <v>9.3000000000000007</v>
      </c>
      <c r="D715" s="65" t="s">
        <v>293</v>
      </c>
      <c r="E715" s="428">
        <f>E716+E737+E758+E779</f>
        <v>0</v>
      </c>
      <c r="F715" s="73">
        <f>F716+F737+F758+F779</f>
        <v>0</v>
      </c>
    </row>
    <row r="716" spans="2:6" outlineLevel="1" x14ac:dyDescent="0.3">
      <c r="B716" s="444" t="s">
        <v>4333</v>
      </c>
      <c r="C716" s="437" t="s">
        <v>1004</v>
      </c>
      <c r="D716" s="59" t="s">
        <v>294</v>
      </c>
      <c r="E716" s="429">
        <f>SUM(E717:E736)</f>
        <v>0</v>
      </c>
      <c r="F716" s="74">
        <f>SUM(F717:F736)</f>
        <v>0</v>
      </c>
    </row>
    <row r="717" spans="2:6" s="50" customFormat="1" outlineLevel="2" x14ac:dyDescent="0.3">
      <c r="B717" s="444" t="s">
        <v>4334</v>
      </c>
      <c r="C717" s="438" t="s">
        <v>1005</v>
      </c>
      <c r="D717" s="62" t="s">
        <v>299</v>
      </c>
      <c r="E717" s="430"/>
      <c r="F717" s="75"/>
    </row>
    <row r="718" spans="2:6" s="50" customFormat="1" outlineLevel="2" x14ac:dyDescent="0.3">
      <c r="B718" s="444" t="s">
        <v>4335</v>
      </c>
      <c r="C718" s="438" t="s">
        <v>1006</v>
      </c>
      <c r="D718" s="63" t="s">
        <v>299</v>
      </c>
      <c r="E718" s="430"/>
      <c r="F718" s="75"/>
    </row>
    <row r="719" spans="2:6" s="50" customFormat="1" outlineLevel="2" x14ac:dyDescent="0.3">
      <c r="B719" s="444" t="s">
        <v>4336</v>
      </c>
      <c r="C719" s="438" t="s">
        <v>1007</v>
      </c>
      <c r="D719" s="63" t="s">
        <v>299</v>
      </c>
      <c r="E719" s="430"/>
      <c r="F719" s="75"/>
    </row>
    <row r="720" spans="2:6" s="50" customFormat="1" outlineLevel="2" x14ac:dyDescent="0.3">
      <c r="B720" s="444" t="s">
        <v>4337</v>
      </c>
      <c r="C720" s="438" t="s">
        <v>1008</v>
      </c>
      <c r="D720" s="63" t="s">
        <v>299</v>
      </c>
      <c r="E720" s="430"/>
      <c r="F720" s="75"/>
    </row>
    <row r="721" spans="2:6" s="50" customFormat="1" outlineLevel="2" x14ac:dyDescent="0.3">
      <c r="B721" s="444" t="s">
        <v>4338</v>
      </c>
      <c r="C721" s="438" t="s">
        <v>1009</v>
      </c>
      <c r="D721" s="63" t="s">
        <v>299</v>
      </c>
      <c r="E721" s="430"/>
      <c r="F721" s="75"/>
    </row>
    <row r="722" spans="2:6" s="50" customFormat="1" outlineLevel="2" x14ac:dyDescent="0.3">
      <c r="B722" s="444" t="s">
        <v>4339</v>
      </c>
      <c r="C722" s="438" t="s">
        <v>1010</v>
      </c>
      <c r="D722" s="63" t="s">
        <v>299</v>
      </c>
      <c r="E722" s="430"/>
      <c r="F722" s="75"/>
    </row>
    <row r="723" spans="2:6" s="50" customFormat="1" outlineLevel="2" x14ac:dyDescent="0.3">
      <c r="B723" s="444" t="s">
        <v>4340</v>
      </c>
      <c r="C723" s="438" t="s">
        <v>1011</v>
      </c>
      <c r="D723" s="63" t="s">
        <v>299</v>
      </c>
      <c r="E723" s="430"/>
      <c r="F723" s="75"/>
    </row>
    <row r="724" spans="2:6" s="50" customFormat="1" outlineLevel="2" x14ac:dyDescent="0.3">
      <c r="B724" s="444" t="s">
        <v>4341</v>
      </c>
      <c r="C724" s="438" t="s">
        <v>1012</v>
      </c>
      <c r="D724" s="63" t="s">
        <v>299</v>
      </c>
      <c r="E724" s="430"/>
      <c r="F724" s="75"/>
    </row>
    <row r="725" spans="2:6" s="50" customFormat="1" outlineLevel="2" x14ac:dyDescent="0.3">
      <c r="B725" s="444" t="s">
        <v>4342</v>
      </c>
      <c r="C725" s="438" t="s">
        <v>1013</v>
      </c>
      <c r="D725" s="63" t="s">
        <v>299</v>
      </c>
      <c r="E725" s="430"/>
      <c r="F725" s="75"/>
    </row>
    <row r="726" spans="2:6" s="50" customFormat="1" outlineLevel="2" x14ac:dyDescent="0.3">
      <c r="B726" s="444" t="s">
        <v>4343</v>
      </c>
      <c r="C726" s="438" t="s">
        <v>1014</v>
      </c>
      <c r="D726" s="63" t="s">
        <v>299</v>
      </c>
      <c r="E726" s="430"/>
      <c r="F726" s="75"/>
    </row>
    <row r="727" spans="2:6" s="50" customFormat="1" outlineLevel="2" x14ac:dyDescent="0.3">
      <c r="B727" s="444" t="s">
        <v>4344</v>
      </c>
      <c r="C727" s="438" t="s">
        <v>1015</v>
      </c>
      <c r="D727" s="63" t="s">
        <v>299</v>
      </c>
      <c r="E727" s="430"/>
      <c r="F727" s="75"/>
    </row>
    <row r="728" spans="2:6" s="50" customFormat="1" outlineLevel="2" x14ac:dyDescent="0.3">
      <c r="B728" s="444" t="s">
        <v>4345</v>
      </c>
      <c r="C728" s="438" t="s">
        <v>1016</v>
      </c>
      <c r="D728" s="63" t="s">
        <v>299</v>
      </c>
      <c r="E728" s="430"/>
      <c r="F728" s="75"/>
    </row>
    <row r="729" spans="2:6" s="50" customFormat="1" outlineLevel="2" x14ac:dyDescent="0.3">
      <c r="B729" s="444" t="s">
        <v>4346</v>
      </c>
      <c r="C729" s="438" t="s">
        <v>1017</v>
      </c>
      <c r="D729" s="63" t="s">
        <v>299</v>
      </c>
      <c r="E729" s="430"/>
      <c r="F729" s="75"/>
    </row>
    <row r="730" spans="2:6" s="50" customFormat="1" outlineLevel="2" x14ac:dyDescent="0.3">
      <c r="B730" s="444" t="s">
        <v>4347</v>
      </c>
      <c r="C730" s="438" t="s">
        <v>1018</v>
      </c>
      <c r="D730" s="63" t="s">
        <v>299</v>
      </c>
      <c r="E730" s="430"/>
      <c r="F730" s="75"/>
    </row>
    <row r="731" spans="2:6" s="50" customFormat="1" outlineLevel="2" x14ac:dyDescent="0.3">
      <c r="B731" s="444" t="s">
        <v>4348</v>
      </c>
      <c r="C731" s="438" t="s">
        <v>1019</v>
      </c>
      <c r="D731" s="63" t="s">
        <v>299</v>
      </c>
      <c r="E731" s="430"/>
      <c r="F731" s="75"/>
    </row>
    <row r="732" spans="2:6" s="50" customFormat="1" outlineLevel="2" x14ac:dyDescent="0.3">
      <c r="B732" s="444" t="s">
        <v>4349</v>
      </c>
      <c r="C732" s="438" t="s">
        <v>1020</v>
      </c>
      <c r="D732" s="63" t="s">
        <v>299</v>
      </c>
      <c r="E732" s="430"/>
      <c r="F732" s="75"/>
    </row>
    <row r="733" spans="2:6" s="50" customFormat="1" outlineLevel="2" x14ac:dyDescent="0.3">
      <c r="B733" s="444" t="s">
        <v>4350</v>
      </c>
      <c r="C733" s="438" t="s">
        <v>1021</v>
      </c>
      <c r="D733" s="63" t="s">
        <v>299</v>
      </c>
      <c r="E733" s="430"/>
      <c r="F733" s="75"/>
    </row>
    <row r="734" spans="2:6" s="50" customFormat="1" outlineLevel="2" x14ac:dyDescent="0.3">
      <c r="B734" s="444" t="s">
        <v>4351</v>
      </c>
      <c r="C734" s="438" t="s">
        <v>1022</v>
      </c>
      <c r="D734" s="63" t="s">
        <v>299</v>
      </c>
      <c r="E734" s="430"/>
      <c r="F734" s="75"/>
    </row>
    <row r="735" spans="2:6" s="50" customFormat="1" outlineLevel="2" x14ac:dyDescent="0.3">
      <c r="B735" s="444" t="s">
        <v>4352</v>
      </c>
      <c r="C735" s="438" t="s">
        <v>1023</v>
      </c>
      <c r="D735" s="63" t="s">
        <v>299</v>
      </c>
      <c r="E735" s="430"/>
      <c r="F735" s="75"/>
    </row>
    <row r="736" spans="2:6" s="50" customFormat="1" outlineLevel="2" x14ac:dyDescent="0.3">
      <c r="B736" s="444" t="s">
        <v>4353</v>
      </c>
      <c r="C736" s="438" t="s">
        <v>1024</v>
      </c>
      <c r="D736" s="63" t="s">
        <v>299</v>
      </c>
      <c r="E736" s="430"/>
      <c r="F736" s="75"/>
    </row>
    <row r="737" spans="2:6" outlineLevel="1" x14ac:dyDescent="0.3">
      <c r="B737" s="444" t="s">
        <v>4354</v>
      </c>
      <c r="C737" s="437" t="s">
        <v>1025</v>
      </c>
      <c r="D737" s="59" t="s">
        <v>4656</v>
      </c>
      <c r="E737" s="429">
        <f>SUM(E738:E757)</f>
        <v>0</v>
      </c>
      <c r="F737" s="74">
        <f>SUM(F738:F757)</f>
        <v>0</v>
      </c>
    </row>
    <row r="738" spans="2:6" s="50" customFormat="1" outlineLevel="2" x14ac:dyDescent="0.3">
      <c r="B738" s="444" t="s">
        <v>4355</v>
      </c>
      <c r="C738" s="438" t="s">
        <v>1026</v>
      </c>
      <c r="D738" s="62" t="s">
        <v>299</v>
      </c>
      <c r="E738" s="430"/>
      <c r="F738" s="75"/>
    </row>
    <row r="739" spans="2:6" s="50" customFormat="1" outlineLevel="2" x14ac:dyDescent="0.3">
      <c r="B739" s="444" t="s">
        <v>4356</v>
      </c>
      <c r="C739" s="438" t="s">
        <v>1027</v>
      </c>
      <c r="D739" s="63" t="s">
        <v>299</v>
      </c>
      <c r="E739" s="430"/>
      <c r="F739" s="75"/>
    </row>
    <row r="740" spans="2:6" s="50" customFormat="1" outlineLevel="2" x14ac:dyDescent="0.3">
      <c r="B740" s="444" t="s">
        <v>4357</v>
      </c>
      <c r="C740" s="438" t="s">
        <v>1028</v>
      </c>
      <c r="D740" s="63" t="s">
        <v>299</v>
      </c>
      <c r="E740" s="430"/>
      <c r="F740" s="75"/>
    </row>
    <row r="741" spans="2:6" s="50" customFormat="1" outlineLevel="2" x14ac:dyDescent="0.3">
      <c r="B741" s="444" t="s">
        <v>4358</v>
      </c>
      <c r="C741" s="438" t="s">
        <v>1029</v>
      </c>
      <c r="D741" s="63" t="s">
        <v>299</v>
      </c>
      <c r="E741" s="430"/>
      <c r="F741" s="75"/>
    </row>
    <row r="742" spans="2:6" s="50" customFormat="1" outlineLevel="2" x14ac:dyDescent="0.3">
      <c r="B742" s="444" t="s">
        <v>4359</v>
      </c>
      <c r="C742" s="438" t="s">
        <v>1030</v>
      </c>
      <c r="D742" s="63" t="s">
        <v>299</v>
      </c>
      <c r="E742" s="430"/>
      <c r="F742" s="75"/>
    </row>
    <row r="743" spans="2:6" s="50" customFormat="1" outlineLevel="2" x14ac:dyDescent="0.3">
      <c r="B743" s="444" t="s">
        <v>4360</v>
      </c>
      <c r="C743" s="438" t="s">
        <v>1031</v>
      </c>
      <c r="D743" s="63" t="s">
        <v>299</v>
      </c>
      <c r="E743" s="430"/>
      <c r="F743" s="75"/>
    </row>
    <row r="744" spans="2:6" s="50" customFormat="1" outlineLevel="2" x14ac:dyDescent="0.3">
      <c r="B744" s="444" t="s">
        <v>4361</v>
      </c>
      <c r="C744" s="438" t="s">
        <v>1032</v>
      </c>
      <c r="D744" s="63" t="s">
        <v>299</v>
      </c>
      <c r="E744" s="430"/>
      <c r="F744" s="75"/>
    </row>
    <row r="745" spans="2:6" s="50" customFormat="1" outlineLevel="2" x14ac:dyDescent="0.3">
      <c r="B745" s="444" t="s">
        <v>4362</v>
      </c>
      <c r="C745" s="438" t="s">
        <v>1033</v>
      </c>
      <c r="D745" s="63" t="s">
        <v>299</v>
      </c>
      <c r="E745" s="430"/>
      <c r="F745" s="75"/>
    </row>
    <row r="746" spans="2:6" s="50" customFormat="1" outlineLevel="2" x14ac:dyDescent="0.3">
      <c r="B746" s="444" t="s">
        <v>4363</v>
      </c>
      <c r="C746" s="438" t="s">
        <v>1034</v>
      </c>
      <c r="D746" s="63" t="s">
        <v>299</v>
      </c>
      <c r="E746" s="430"/>
      <c r="F746" s="75"/>
    </row>
    <row r="747" spans="2:6" s="50" customFormat="1" outlineLevel="2" x14ac:dyDescent="0.3">
      <c r="B747" s="444" t="s">
        <v>4364</v>
      </c>
      <c r="C747" s="438" t="s">
        <v>1035</v>
      </c>
      <c r="D747" s="63" t="s">
        <v>299</v>
      </c>
      <c r="E747" s="430"/>
      <c r="F747" s="75"/>
    </row>
    <row r="748" spans="2:6" s="50" customFormat="1" outlineLevel="2" x14ac:dyDescent="0.3">
      <c r="B748" s="444" t="s">
        <v>4365</v>
      </c>
      <c r="C748" s="438" t="s">
        <v>1036</v>
      </c>
      <c r="D748" s="63" t="s">
        <v>299</v>
      </c>
      <c r="E748" s="430"/>
      <c r="F748" s="75"/>
    </row>
    <row r="749" spans="2:6" s="50" customFormat="1" outlineLevel="2" x14ac:dyDescent="0.3">
      <c r="B749" s="444" t="s">
        <v>4366</v>
      </c>
      <c r="C749" s="438" t="s">
        <v>1037</v>
      </c>
      <c r="D749" s="63" t="s">
        <v>299</v>
      </c>
      <c r="E749" s="430"/>
      <c r="F749" s="75"/>
    </row>
    <row r="750" spans="2:6" s="50" customFormat="1" outlineLevel="2" x14ac:dyDescent="0.3">
      <c r="B750" s="444" t="s">
        <v>4367</v>
      </c>
      <c r="C750" s="438" t="s">
        <v>1038</v>
      </c>
      <c r="D750" s="63" t="s">
        <v>299</v>
      </c>
      <c r="E750" s="430"/>
      <c r="F750" s="75"/>
    </row>
    <row r="751" spans="2:6" s="50" customFormat="1" outlineLevel="2" x14ac:dyDescent="0.3">
      <c r="B751" s="444" t="s">
        <v>4368</v>
      </c>
      <c r="C751" s="438" t="s">
        <v>1039</v>
      </c>
      <c r="D751" s="63" t="s">
        <v>299</v>
      </c>
      <c r="E751" s="430"/>
      <c r="F751" s="75"/>
    </row>
    <row r="752" spans="2:6" s="50" customFormat="1" outlineLevel="2" x14ac:dyDescent="0.3">
      <c r="B752" s="444" t="s">
        <v>4369</v>
      </c>
      <c r="C752" s="438" t="s">
        <v>1040</v>
      </c>
      <c r="D752" s="63" t="s">
        <v>299</v>
      </c>
      <c r="E752" s="430"/>
      <c r="F752" s="75"/>
    </row>
    <row r="753" spans="2:6" s="50" customFormat="1" outlineLevel="2" x14ac:dyDescent="0.3">
      <c r="B753" s="444" t="s">
        <v>4370</v>
      </c>
      <c r="C753" s="438" t="s">
        <v>1041</v>
      </c>
      <c r="D753" s="63" t="s">
        <v>299</v>
      </c>
      <c r="E753" s="430"/>
      <c r="F753" s="75"/>
    </row>
    <row r="754" spans="2:6" s="50" customFormat="1" outlineLevel="2" x14ac:dyDescent="0.3">
      <c r="B754" s="444" t="s">
        <v>4371</v>
      </c>
      <c r="C754" s="438" t="s">
        <v>1042</v>
      </c>
      <c r="D754" s="63" t="s">
        <v>299</v>
      </c>
      <c r="E754" s="430"/>
      <c r="F754" s="75"/>
    </row>
    <row r="755" spans="2:6" s="50" customFormat="1" outlineLevel="2" x14ac:dyDescent="0.3">
      <c r="B755" s="444" t="s">
        <v>4372</v>
      </c>
      <c r="C755" s="438" t="s">
        <v>1043</v>
      </c>
      <c r="D755" s="63" t="s">
        <v>299</v>
      </c>
      <c r="E755" s="430"/>
      <c r="F755" s="75"/>
    </row>
    <row r="756" spans="2:6" s="50" customFormat="1" outlineLevel="2" x14ac:dyDescent="0.3">
      <c r="B756" s="444" t="s">
        <v>4373</v>
      </c>
      <c r="C756" s="438" t="s">
        <v>1044</v>
      </c>
      <c r="D756" s="63" t="s">
        <v>299</v>
      </c>
      <c r="E756" s="430"/>
      <c r="F756" s="75"/>
    </row>
    <row r="757" spans="2:6" s="50" customFormat="1" outlineLevel="2" x14ac:dyDescent="0.3">
      <c r="B757" s="444" t="s">
        <v>4374</v>
      </c>
      <c r="C757" s="438" t="s">
        <v>1045</v>
      </c>
      <c r="D757" s="63" t="s">
        <v>299</v>
      </c>
      <c r="E757" s="430"/>
      <c r="F757" s="75"/>
    </row>
    <row r="758" spans="2:6" outlineLevel="1" x14ac:dyDescent="0.3">
      <c r="B758" s="444" t="s">
        <v>4375</v>
      </c>
      <c r="C758" s="437" t="s">
        <v>1046</v>
      </c>
      <c r="D758" s="59" t="s">
        <v>295</v>
      </c>
      <c r="E758" s="429">
        <f>SUM(E759:E778)</f>
        <v>0</v>
      </c>
      <c r="F758" s="74">
        <f>SUM(F759:F778)</f>
        <v>0</v>
      </c>
    </row>
    <row r="759" spans="2:6" s="50" customFormat="1" outlineLevel="2" x14ac:dyDescent="0.3">
      <c r="B759" s="444" t="s">
        <v>4376</v>
      </c>
      <c r="C759" s="438" t="s">
        <v>1047</v>
      </c>
      <c r="D759" s="62" t="s">
        <v>299</v>
      </c>
      <c r="E759" s="430"/>
      <c r="F759" s="75"/>
    </row>
    <row r="760" spans="2:6" s="50" customFormat="1" outlineLevel="2" x14ac:dyDescent="0.3">
      <c r="B760" s="444" t="s">
        <v>4377</v>
      </c>
      <c r="C760" s="438" t="s">
        <v>1048</v>
      </c>
      <c r="D760" s="63" t="s">
        <v>299</v>
      </c>
      <c r="E760" s="430"/>
      <c r="F760" s="75"/>
    </row>
    <row r="761" spans="2:6" s="50" customFormat="1" outlineLevel="2" x14ac:dyDescent="0.3">
      <c r="B761" s="444" t="s">
        <v>4378</v>
      </c>
      <c r="C761" s="438" t="s">
        <v>1049</v>
      </c>
      <c r="D761" s="63" t="s">
        <v>299</v>
      </c>
      <c r="E761" s="430"/>
      <c r="F761" s="75"/>
    </row>
    <row r="762" spans="2:6" s="50" customFormat="1" outlineLevel="2" x14ac:dyDescent="0.3">
      <c r="B762" s="444" t="s">
        <v>4379</v>
      </c>
      <c r="C762" s="438" t="s">
        <v>1050</v>
      </c>
      <c r="D762" s="63" t="s">
        <v>299</v>
      </c>
      <c r="E762" s="430"/>
      <c r="F762" s="75"/>
    </row>
    <row r="763" spans="2:6" s="50" customFormat="1" outlineLevel="2" x14ac:dyDescent="0.3">
      <c r="B763" s="444" t="s">
        <v>4380</v>
      </c>
      <c r="C763" s="438" t="s">
        <v>1051</v>
      </c>
      <c r="D763" s="63" t="s">
        <v>299</v>
      </c>
      <c r="E763" s="430"/>
      <c r="F763" s="75"/>
    </row>
    <row r="764" spans="2:6" s="50" customFormat="1" outlineLevel="2" x14ac:dyDescent="0.3">
      <c r="B764" s="444" t="s">
        <v>4381</v>
      </c>
      <c r="C764" s="438" t="s">
        <v>1052</v>
      </c>
      <c r="D764" s="63" t="s">
        <v>299</v>
      </c>
      <c r="E764" s="430"/>
      <c r="F764" s="75"/>
    </row>
    <row r="765" spans="2:6" s="50" customFormat="1" outlineLevel="2" x14ac:dyDescent="0.3">
      <c r="B765" s="444" t="s">
        <v>4382</v>
      </c>
      <c r="C765" s="438" t="s">
        <v>1053</v>
      </c>
      <c r="D765" s="63" t="s">
        <v>299</v>
      </c>
      <c r="E765" s="430"/>
      <c r="F765" s="75"/>
    </row>
    <row r="766" spans="2:6" s="50" customFormat="1" outlineLevel="2" x14ac:dyDescent="0.3">
      <c r="B766" s="444" t="s">
        <v>4383</v>
      </c>
      <c r="C766" s="438" t="s">
        <v>1054</v>
      </c>
      <c r="D766" s="63" t="s">
        <v>299</v>
      </c>
      <c r="E766" s="430"/>
      <c r="F766" s="75"/>
    </row>
    <row r="767" spans="2:6" s="50" customFormat="1" outlineLevel="2" x14ac:dyDescent="0.3">
      <c r="B767" s="444" t="s">
        <v>4384</v>
      </c>
      <c r="C767" s="438" t="s">
        <v>1055</v>
      </c>
      <c r="D767" s="63" t="s">
        <v>299</v>
      </c>
      <c r="E767" s="430"/>
      <c r="F767" s="75"/>
    </row>
    <row r="768" spans="2:6" s="50" customFormat="1" outlineLevel="2" x14ac:dyDescent="0.3">
      <c r="B768" s="444" t="s">
        <v>4385</v>
      </c>
      <c r="C768" s="438" t="s">
        <v>1056</v>
      </c>
      <c r="D768" s="63" t="s">
        <v>299</v>
      </c>
      <c r="E768" s="430"/>
      <c r="F768" s="75"/>
    </row>
    <row r="769" spans="2:6" s="50" customFormat="1" outlineLevel="2" x14ac:dyDescent="0.3">
      <c r="B769" s="444" t="s">
        <v>4386</v>
      </c>
      <c r="C769" s="438" t="s">
        <v>1057</v>
      </c>
      <c r="D769" s="63" t="s">
        <v>299</v>
      </c>
      <c r="E769" s="430"/>
      <c r="F769" s="75"/>
    </row>
    <row r="770" spans="2:6" s="50" customFormat="1" outlineLevel="2" x14ac:dyDescent="0.3">
      <c r="B770" s="444" t="s">
        <v>4387</v>
      </c>
      <c r="C770" s="438" t="s">
        <v>1058</v>
      </c>
      <c r="D770" s="63" t="s">
        <v>299</v>
      </c>
      <c r="E770" s="430"/>
      <c r="F770" s="75"/>
    </row>
    <row r="771" spans="2:6" s="50" customFormat="1" outlineLevel="2" x14ac:dyDescent="0.3">
      <c r="B771" s="444" t="s">
        <v>4388</v>
      </c>
      <c r="C771" s="438" t="s">
        <v>1059</v>
      </c>
      <c r="D771" s="63" t="s">
        <v>299</v>
      </c>
      <c r="E771" s="430"/>
      <c r="F771" s="75"/>
    </row>
    <row r="772" spans="2:6" s="50" customFormat="1" outlineLevel="2" x14ac:dyDescent="0.3">
      <c r="B772" s="444" t="s">
        <v>4389</v>
      </c>
      <c r="C772" s="438" t="s">
        <v>1060</v>
      </c>
      <c r="D772" s="63" t="s">
        <v>299</v>
      </c>
      <c r="E772" s="430"/>
      <c r="F772" s="75"/>
    </row>
    <row r="773" spans="2:6" s="50" customFormat="1" outlineLevel="2" x14ac:dyDescent="0.3">
      <c r="B773" s="444" t="s">
        <v>4390</v>
      </c>
      <c r="C773" s="438" t="s">
        <v>1061</v>
      </c>
      <c r="D773" s="63" t="s">
        <v>299</v>
      </c>
      <c r="E773" s="430"/>
      <c r="F773" s="75"/>
    </row>
    <row r="774" spans="2:6" s="50" customFormat="1" outlineLevel="2" x14ac:dyDescent="0.3">
      <c r="B774" s="444" t="s">
        <v>4391</v>
      </c>
      <c r="C774" s="438" t="s">
        <v>1062</v>
      </c>
      <c r="D774" s="63" t="s">
        <v>299</v>
      </c>
      <c r="E774" s="430"/>
      <c r="F774" s="75"/>
    </row>
    <row r="775" spans="2:6" s="50" customFormat="1" outlineLevel="2" x14ac:dyDescent="0.3">
      <c r="B775" s="444" t="s">
        <v>4392</v>
      </c>
      <c r="C775" s="438" t="s">
        <v>1063</v>
      </c>
      <c r="D775" s="63" t="s">
        <v>299</v>
      </c>
      <c r="E775" s="430"/>
      <c r="F775" s="75"/>
    </row>
    <row r="776" spans="2:6" s="50" customFormat="1" outlineLevel="2" x14ac:dyDescent="0.3">
      <c r="B776" s="444" t="s">
        <v>4393</v>
      </c>
      <c r="C776" s="438" t="s">
        <v>1064</v>
      </c>
      <c r="D776" s="63" t="s">
        <v>299</v>
      </c>
      <c r="E776" s="430"/>
      <c r="F776" s="75"/>
    </row>
    <row r="777" spans="2:6" s="50" customFormat="1" outlineLevel="2" x14ac:dyDescent="0.3">
      <c r="B777" s="444" t="s">
        <v>4394</v>
      </c>
      <c r="C777" s="438" t="s">
        <v>1065</v>
      </c>
      <c r="D777" s="63" t="s">
        <v>299</v>
      </c>
      <c r="E777" s="430"/>
      <c r="F777" s="75"/>
    </row>
    <row r="778" spans="2:6" s="50" customFormat="1" outlineLevel="2" x14ac:dyDescent="0.3">
      <c r="B778" s="444" t="s">
        <v>4395</v>
      </c>
      <c r="C778" s="438" t="s">
        <v>1066</v>
      </c>
      <c r="D778" s="63" t="s">
        <v>299</v>
      </c>
      <c r="E778" s="430"/>
      <c r="F778" s="75"/>
    </row>
    <row r="779" spans="2:6" outlineLevel="1" x14ac:dyDescent="0.3">
      <c r="B779" s="444" t="s">
        <v>4396</v>
      </c>
      <c r="C779" s="437" t="s">
        <v>1067</v>
      </c>
      <c r="D779" s="59" t="s">
        <v>4657</v>
      </c>
      <c r="E779" s="429">
        <f>SUM(E780:E799)</f>
        <v>0</v>
      </c>
      <c r="F779" s="74">
        <f>SUM(F780:F799)</f>
        <v>0</v>
      </c>
    </row>
    <row r="780" spans="2:6" s="50" customFormat="1" outlineLevel="2" x14ac:dyDescent="0.3">
      <c r="B780" s="444" t="s">
        <v>4397</v>
      </c>
      <c r="C780" s="438" t="s">
        <v>1068</v>
      </c>
      <c r="D780" s="62" t="s">
        <v>299</v>
      </c>
      <c r="E780" s="430"/>
      <c r="F780" s="75"/>
    </row>
    <row r="781" spans="2:6" s="50" customFormat="1" outlineLevel="2" x14ac:dyDescent="0.3">
      <c r="B781" s="444" t="s">
        <v>4398</v>
      </c>
      <c r="C781" s="438" t="s">
        <v>1069</v>
      </c>
      <c r="D781" s="63" t="s">
        <v>299</v>
      </c>
      <c r="E781" s="430"/>
      <c r="F781" s="75"/>
    </row>
    <row r="782" spans="2:6" s="50" customFormat="1" outlineLevel="2" x14ac:dyDescent="0.3">
      <c r="B782" s="444" t="s">
        <v>4399</v>
      </c>
      <c r="C782" s="438" t="s">
        <v>1070</v>
      </c>
      <c r="D782" s="63" t="s">
        <v>299</v>
      </c>
      <c r="E782" s="430"/>
      <c r="F782" s="75"/>
    </row>
    <row r="783" spans="2:6" s="50" customFormat="1" outlineLevel="2" x14ac:dyDescent="0.3">
      <c r="B783" s="444" t="s">
        <v>4400</v>
      </c>
      <c r="C783" s="438" t="s">
        <v>1071</v>
      </c>
      <c r="D783" s="63" t="s">
        <v>299</v>
      </c>
      <c r="E783" s="430"/>
      <c r="F783" s="75"/>
    </row>
    <row r="784" spans="2:6" s="50" customFormat="1" outlineLevel="2" x14ac:dyDescent="0.3">
      <c r="B784" s="444" t="s">
        <v>4401</v>
      </c>
      <c r="C784" s="438" t="s">
        <v>1072</v>
      </c>
      <c r="D784" s="63" t="s">
        <v>299</v>
      </c>
      <c r="E784" s="430"/>
      <c r="F784" s="75"/>
    </row>
    <row r="785" spans="2:6" s="50" customFormat="1" outlineLevel="2" x14ac:dyDescent="0.3">
      <c r="B785" s="444" t="s">
        <v>4402</v>
      </c>
      <c r="C785" s="438" t="s">
        <v>1073</v>
      </c>
      <c r="D785" s="63" t="s">
        <v>299</v>
      </c>
      <c r="E785" s="430"/>
      <c r="F785" s="75"/>
    </row>
    <row r="786" spans="2:6" s="50" customFormat="1" outlineLevel="2" x14ac:dyDescent="0.3">
      <c r="B786" s="444" t="s">
        <v>4403</v>
      </c>
      <c r="C786" s="438" t="s">
        <v>1074</v>
      </c>
      <c r="D786" s="63" t="s">
        <v>299</v>
      </c>
      <c r="E786" s="430"/>
      <c r="F786" s="75"/>
    </row>
    <row r="787" spans="2:6" s="50" customFormat="1" outlineLevel="2" x14ac:dyDescent="0.3">
      <c r="B787" s="444" t="s">
        <v>4404</v>
      </c>
      <c r="C787" s="438" t="s">
        <v>1075</v>
      </c>
      <c r="D787" s="63" t="s">
        <v>299</v>
      </c>
      <c r="E787" s="430"/>
      <c r="F787" s="75"/>
    </row>
    <row r="788" spans="2:6" s="50" customFormat="1" outlineLevel="2" x14ac:dyDescent="0.3">
      <c r="B788" s="444" t="s">
        <v>4405</v>
      </c>
      <c r="C788" s="438" t="s">
        <v>1076</v>
      </c>
      <c r="D788" s="63" t="s">
        <v>299</v>
      </c>
      <c r="E788" s="430"/>
      <c r="F788" s="75"/>
    </row>
    <row r="789" spans="2:6" s="50" customFormat="1" outlineLevel="2" x14ac:dyDescent="0.3">
      <c r="B789" s="444" t="s">
        <v>4406</v>
      </c>
      <c r="C789" s="438" t="s">
        <v>1077</v>
      </c>
      <c r="D789" s="63" t="s">
        <v>299</v>
      </c>
      <c r="E789" s="430"/>
      <c r="F789" s="75"/>
    </row>
    <row r="790" spans="2:6" s="50" customFormat="1" outlineLevel="2" x14ac:dyDescent="0.3">
      <c r="B790" s="444" t="s">
        <v>4407</v>
      </c>
      <c r="C790" s="438" t="s">
        <v>1078</v>
      </c>
      <c r="D790" s="63" t="s">
        <v>299</v>
      </c>
      <c r="E790" s="430"/>
      <c r="F790" s="75"/>
    </row>
    <row r="791" spans="2:6" s="50" customFormat="1" outlineLevel="2" x14ac:dyDescent="0.3">
      <c r="B791" s="444" t="s">
        <v>4408</v>
      </c>
      <c r="C791" s="438" t="s">
        <v>1079</v>
      </c>
      <c r="D791" s="63" t="s">
        <v>299</v>
      </c>
      <c r="E791" s="430"/>
      <c r="F791" s="75"/>
    </row>
    <row r="792" spans="2:6" s="50" customFormat="1" outlineLevel="2" x14ac:dyDescent="0.3">
      <c r="B792" s="444" t="s">
        <v>4409</v>
      </c>
      <c r="C792" s="438" t="s">
        <v>1080</v>
      </c>
      <c r="D792" s="63" t="s">
        <v>299</v>
      </c>
      <c r="E792" s="430"/>
      <c r="F792" s="75"/>
    </row>
    <row r="793" spans="2:6" s="50" customFormat="1" outlineLevel="2" x14ac:dyDescent="0.3">
      <c r="B793" s="444" t="s">
        <v>4410</v>
      </c>
      <c r="C793" s="438" t="s">
        <v>1081</v>
      </c>
      <c r="D793" s="63" t="s">
        <v>299</v>
      </c>
      <c r="E793" s="430"/>
      <c r="F793" s="75"/>
    </row>
    <row r="794" spans="2:6" s="50" customFormat="1" outlineLevel="2" x14ac:dyDescent="0.3">
      <c r="B794" s="444" t="s">
        <v>4411</v>
      </c>
      <c r="C794" s="438" t="s">
        <v>1082</v>
      </c>
      <c r="D794" s="63" t="s">
        <v>299</v>
      </c>
      <c r="E794" s="430"/>
      <c r="F794" s="75"/>
    </row>
    <row r="795" spans="2:6" s="50" customFormat="1" outlineLevel="2" x14ac:dyDescent="0.3">
      <c r="B795" s="444" t="s">
        <v>4412</v>
      </c>
      <c r="C795" s="438" t="s">
        <v>1083</v>
      </c>
      <c r="D795" s="63" t="s">
        <v>299</v>
      </c>
      <c r="E795" s="430"/>
      <c r="F795" s="75"/>
    </row>
    <row r="796" spans="2:6" s="50" customFormat="1" outlineLevel="2" x14ac:dyDescent="0.3">
      <c r="B796" s="444" t="s">
        <v>4413</v>
      </c>
      <c r="C796" s="438" t="s">
        <v>1084</v>
      </c>
      <c r="D796" s="63" t="s">
        <v>299</v>
      </c>
      <c r="E796" s="430"/>
      <c r="F796" s="75"/>
    </row>
    <row r="797" spans="2:6" s="50" customFormat="1" outlineLevel="2" x14ac:dyDescent="0.3">
      <c r="B797" s="444" t="s">
        <v>4414</v>
      </c>
      <c r="C797" s="438" t="s">
        <v>1085</v>
      </c>
      <c r="D797" s="63" t="s">
        <v>299</v>
      </c>
      <c r="E797" s="430"/>
      <c r="F797" s="75"/>
    </row>
    <row r="798" spans="2:6" s="50" customFormat="1" outlineLevel="2" x14ac:dyDescent="0.3">
      <c r="B798" s="444" t="s">
        <v>4415</v>
      </c>
      <c r="C798" s="438" t="s">
        <v>1086</v>
      </c>
      <c r="D798" s="63" t="s">
        <v>299</v>
      </c>
      <c r="E798" s="430"/>
      <c r="F798" s="75"/>
    </row>
    <row r="799" spans="2:6" s="50" customFormat="1" outlineLevel="2" x14ac:dyDescent="0.3">
      <c r="B799" s="444" t="s">
        <v>4416</v>
      </c>
      <c r="C799" s="438" t="s">
        <v>1087</v>
      </c>
      <c r="D799" s="63" t="s">
        <v>299</v>
      </c>
      <c r="E799" s="430"/>
      <c r="F799" s="75"/>
    </row>
    <row r="800" spans="2:6" s="50" customFormat="1" x14ac:dyDescent="0.3">
      <c r="B800" s="444" t="s">
        <v>4417</v>
      </c>
      <c r="C800" s="436">
        <v>9.4</v>
      </c>
      <c r="D800" s="65" t="s">
        <v>283</v>
      </c>
      <c r="E800" s="428">
        <f>E801+E822+E843+E864</f>
        <v>0</v>
      </c>
      <c r="F800" s="73">
        <f>F801+F822+F843+F864</f>
        <v>0</v>
      </c>
    </row>
    <row r="801" spans="2:6" outlineLevel="1" x14ac:dyDescent="0.3">
      <c r="B801" s="444" t="s">
        <v>4418</v>
      </c>
      <c r="C801" s="437" t="s">
        <v>1088</v>
      </c>
      <c r="D801" s="59" t="s">
        <v>288</v>
      </c>
      <c r="E801" s="429">
        <f>SUM(E802:E821)</f>
        <v>0</v>
      </c>
      <c r="F801" s="74">
        <f>SUM(F802:F821)</f>
        <v>0</v>
      </c>
    </row>
    <row r="802" spans="2:6" s="50" customFormat="1" outlineLevel="2" x14ac:dyDescent="0.3">
      <c r="B802" s="444" t="s">
        <v>4419</v>
      </c>
      <c r="C802" s="438" t="s">
        <v>1089</v>
      </c>
      <c r="D802" s="62" t="s">
        <v>299</v>
      </c>
      <c r="E802" s="430"/>
      <c r="F802" s="75"/>
    </row>
    <row r="803" spans="2:6" s="50" customFormat="1" outlineLevel="2" x14ac:dyDescent="0.3">
      <c r="B803" s="444" t="s">
        <v>4420</v>
      </c>
      <c r="C803" s="438" t="s">
        <v>1090</v>
      </c>
      <c r="D803" s="63" t="s">
        <v>299</v>
      </c>
      <c r="E803" s="430"/>
      <c r="F803" s="75"/>
    </row>
    <row r="804" spans="2:6" s="50" customFormat="1" outlineLevel="2" x14ac:dyDescent="0.3">
      <c r="B804" s="444" t="s">
        <v>4421</v>
      </c>
      <c r="C804" s="438" t="s">
        <v>1091</v>
      </c>
      <c r="D804" s="63" t="s">
        <v>299</v>
      </c>
      <c r="E804" s="430"/>
      <c r="F804" s="75"/>
    </row>
    <row r="805" spans="2:6" s="50" customFormat="1" outlineLevel="2" x14ac:dyDescent="0.3">
      <c r="B805" s="444" t="s">
        <v>4422</v>
      </c>
      <c r="C805" s="438" t="s">
        <v>1092</v>
      </c>
      <c r="D805" s="63" t="s">
        <v>299</v>
      </c>
      <c r="E805" s="430"/>
      <c r="F805" s="75"/>
    </row>
    <row r="806" spans="2:6" s="50" customFormat="1" outlineLevel="2" x14ac:dyDescent="0.3">
      <c r="B806" s="444" t="s">
        <v>4423</v>
      </c>
      <c r="C806" s="438" t="s">
        <v>1093</v>
      </c>
      <c r="D806" s="63" t="s">
        <v>299</v>
      </c>
      <c r="E806" s="430"/>
      <c r="F806" s="75"/>
    </row>
    <row r="807" spans="2:6" s="50" customFormat="1" outlineLevel="2" x14ac:dyDescent="0.3">
      <c r="B807" s="444" t="s">
        <v>4424</v>
      </c>
      <c r="C807" s="438" t="s">
        <v>1094</v>
      </c>
      <c r="D807" s="63" t="s">
        <v>299</v>
      </c>
      <c r="E807" s="430"/>
      <c r="F807" s="75"/>
    </row>
    <row r="808" spans="2:6" s="50" customFormat="1" outlineLevel="2" x14ac:dyDescent="0.3">
      <c r="B808" s="444" t="s">
        <v>4425</v>
      </c>
      <c r="C808" s="438" t="s">
        <v>1095</v>
      </c>
      <c r="D808" s="63" t="s">
        <v>299</v>
      </c>
      <c r="E808" s="430"/>
      <c r="F808" s="75"/>
    </row>
    <row r="809" spans="2:6" s="50" customFormat="1" outlineLevel="2" x14ac:dyDescent="0.3">
      <c r="B809" s="444" t="s">
        <v>4426</v>
      </c>
      <c r="C809" s="438" t="s">
        <v>1096</v>
      </c>
      <c r="D809" s="63" t="s">
        <v>299</v>
      </c>
      <c r="E809" s="430"/>
      <c r="F809" s="75"/>
    </row>
    <row r="810" spans="2:6" s="50" customFormat="1" outlineLevel="2" x14ac:dyDescent="0.3">
      <c r="B810" s="444" t="s">
        <v>4427</v>
      </c>
      <c r="C810" s="438" t="s">
        <v>1097</v>
      </c>
      <c r="D810" s="63" t="s">
        <v>299</v>
      </c>
      <c r="E810" s="430"/>
      <c r="F810" s="75"/>
    </row>
    <row r="811" spans="2:6" s="50" customFormat="1" outlineLevel="2" x14ac:dyDescent="0.3">
      <c r="B811" s="444" t="s">
        <v>4428</v>
      </c>
      <c r="C811" s="438" t="s">
        <v>1098</v>
      </c>
      <c r="D811" s="63" t="s">
        <v>299</v>
      </c>
      <c r="E811" s="430"/>
      <c r="F811" s="75"/>
    </row>
    <row r="812" spans="2:6" s="50" customFormat="1" outlineLevel="2" x14ac:dyDescent="0.3">
      <c r="B812" s="444" t="s">
        <v>4429</v>
      </c>
      <c r="C812" s="438" t="s">
        <v>1099</v>
      </c>
      <c r="D812" s="63" t="s">
        <v>299</v>
      </c>
      <c r="E812" s="430"/>
      <c r="F812" s="75"/>
    </row>
    <row r="813" spans="2:6" s="50" customFormat="1" outlineLevel="2" x14ac:dyDescent="0.3">
      <c r="B813" s="444" t="s">
        <v>4430</v>
      </c>
      <c r="C813" s="438" t="s">
        <v>1100</v>
      </c>
      <c r="D813" s="63" t="s">
        <v>299</v>
      </c>
      <c r="E813" s="430"/>
      <c r="F813" s="75"/>
    </row>
    <row r="814" spans="2:6" s="50" customFormat="1" outlineLevel="2" x14ac:dyDescent="0.3">
      <c r="B814" s="444" t="s">
        <v>4431</v>
      </c>
      <c r="C814" s="438" t="s">
        <v>1101</v>
      </c>
      <c r="D814" s="63" t="s">
        <v>299</v>
      </c>
      <c r="E814" s="430"/>
      <c r="F814" s="75"/>
    </row>
    <row r="815" spans="2:6" s="50" customFormat="1" outlineLevel="2" x14ac:dyDescent="0.3">
      <c r="B815" s="444" t="s">
        <v>4432</v>
      </c>
      <c r="C815" s="438" t="s">
        <v>1102</v>
      </c>
      <c r="D815" s="63" t="s">
        <v>299</v>
      </c>
      <c r="E815" s="430"/>
      <c r="F815" s="75"/>
    </row>
    <row r="816" spans="2:6" s="50" customFormat="1" outlineLevel="2" x14ac:dyDescent="0.3">
      <c r="B816" s="444" t="s">
        <v>4433</v>
      </c>
      <c r="C816" s="438" t="s">
        <v>1103</v>
      </c>
      <c r="D816" s="63" t="s">
        <v>299</v>
      </c>
      <c r="E816" s="430"/>
      <c r="F816" s="75"/>
    </row>
    <row r="817" spans="2:6" s="50" customFormat="1" outlineLevel="2" x14ac:dyDescent="0.3">
      <c r="B817" s="444" t="s">
        <v>4434</v>
      </c>
      <c r="C817" s="438" t="s">
        <v>1104</v>
      </c>
      <c r="D817" s="63" t="s">
        <v>299</v>
      </c>
      <c r="E817" s="430"/>
      <c r="F817" s="75"/>
    </row>
    <row r="818" spans="2:6" s="50" customFormat="1" outlineLevel="2" x14ac:dyDescent="0.3">
      <c r="B818" s="444" t="s">
        <v>4435</v>
      </c>
      <c r="C818" s="438" t="s">
        <v>1105</v>
      </c>
      <c r="D818" s="63" t="s">
        <v>299</v>
      </c>
      <c r="E818" s="430"/>
      <c r="F818" s="75"/>
    </row>
    <row r="819" spans="2:6" s="50" customFormat="1" outlineLevel="2" x14ac:dyDescent="0.3">
      <c r="B819" s="444" t="s">
        <v>4436</v>
      </c>
      <c r="C819" s="438" t="s">
        <v>1106</v>
      </c>
      <c r="D819" s="63" t="s">
        <v>299</v>
      </c>
      <c r="E819" s="430"/>
      <c r="F819" s="75"/>
    </row>
    <row r="820" spans="2:6" s="50" customFormat="1" outlineLevel="2" x14ac:dyDescent="0.3">
      <c r="B820" s="444" t="s">
        <v>4437</v>
      </c>
      <c r="C820" s="438" t="s">
        <v>1107</v>
      </c>
      <c r="D820" s="63" t="s">
        <v>299</v>
      </c>
      <c r="E820" s="430"/>
      <c r="F820" s="75"/>
    </row>
    <row r="821" spans="2:6" s="50" customFormat="1" outlineLevel="2" x14ac:dyDescent="0.3">
      <c r="B821" s="444" t="s">
        <v>4438</v>
      </c>
      <c r="C821" s="438" t="s">
        <v>1108</v>
      </c>
      <c r="D821" s="63" t="s">
        <v>299</v>
      </c>
      <c r="E821" s="430"/>
      <c r="F821" s="75"/>
    </row>
    <row r="822" spans="2:6" outlineLevel="1" x14ac:dyDescent="0.3">
      <c r="B822" s="444" t="s">
        <v>4439</v>
      </c>
      <c r="C822" s="437" t="s">
        <v>1109</v>
      </c>
      <c r="D822" s="59" t="s">
        <v>4658</v>
      </c>
      <c r="E822" s="429">
        <f>SUM(E823:E842)</f>
        <v>0</v>
      </c>
      <c r="F822" s="74">
        <f>SUM(F823:F842)</f>
        <v>0</v>
      </c>
    </row>
    <row r="823" spans="2:6" s="50" customFormat="1" outlineLevel="2" x14ac:dyDescent="0.3">
      <c r="B823" s="444" t="s">
        <v>4440</v>
      </c>
      <c r="C823" s="438" t="s">
        <v>1110</v>
      </c>
      <c r="D823" s="62" t="s">
        <v>299</v>
      </c>
      <c r="E823" s="430"/>
      <c r="F823" s="75"/>
    </row>
    <row r="824" spans="2:6" s="50" customFormat="1" outlineLevel="2" x14ac:dyDescent="0.3">
      <c r="B824" s="444" t="s">
        <v>4441</v>
      </c>
      <c r="C824" s="438" t="s">
        <v>1111</v>
      </c>
      <c r="D824" s="63" t="s">
        <v>299</v>
      </c>
      <c r="E824" s="430"/>
      <c r="F824" s="75"/>
    </row>
    <row r="825" spans="2:6" s="50" customFormat="1" outlineLevel="2" x14ac:dyDescent="0.3">
      <c r="B825" s="444" t="s">
        <v>4442</v>
      </c>
      <c r="C825" s="438" t="s">
        <v>1112</v>
      </c>
      <c r="D825" s="63" t="s">
        <v>299</v>
      </c>
      <c r="E825" s="430"/>
      <c r="F825" s="75"/>
    </row>
    <row r="826" spans="2:6" s="50" customFormat="1" outlineLevel="2" x14ac:dyDescent="0.3">
      <c r="B826" s="444" t="s">
        <v>4443</v>
      </c>
      <c r="C826" s="438" t="s">
        <v>1113</v>
      </c>
      <c r="D826" s="63" t="s">
        <v>299</v>
      </c>
      <c r="E826" s="430"/>
      <c r="F826" s="75"/>
    </row>
    <row r="827" spans="2:6" s="50" customFormat="1" outlineLevel="2" x14ac:dyDescent="0.3">
      <c r="B827" s="444" t="s">
        <v>4444</v>
      </c>
      <c r="C827" s="438" t="s">
        <v>1114</v>
      </c>
      <c r="D827" s="63" t="s">
        <v>299</v>
      </c>
      <c r="E827" s="430"/>
      <c r="F827" s="75"/>
    </row>
    <row r="828" spans="2:6" s="50" customFormat="1" outlineLevel="2" x14ac:dyDescent="0.3">
      <c r="B828" s="444" t="s">
        <v>4445</v>
      </c>
      <c r="C828" s="438" t="s">
        <v>1115</v>
      </c>
      <c r="D828" s="63" t="s">
        <v>299</v>
      </c>
      <c r="E828" s="430"/>
      <c r="F828" s="75"/>
    </row>
    <row r="829" spans="2:6" s="50" customFormat="1" outlineLevel="2" x14ac:dyDescent="0.3">
      <c r="B829" s="444" t="s">
        <v>4446</v>
      </c>
      <c r="C829" s="438" t="s">
        <v>1116</v>
      </c>
      <c r="D829" s="63" t="s">
        <v>299</v>
      </c>
      <c r="E829" s="430"/>
      <c r="F829" s="75"/>
    </row>
    <row r="830" spans="2:6" s="50" customFormat="1" outlineLevel="2" x14ac:dyDescent="0.3">
      <c r="B830" s="444" t="s">
        <v>4447</v>
      </c>
      <c r="C830" s="438" t="s">
        <v>1117</v>
      </c>
      <c r="D830" s="63" t="s">
        <v>299</v>
      </c>
      <c r="E830" s="430"/>
      <c r="F830" s="75"/>
    </row>
    <row r="831" spans="2:6" s="50" customFormat="1" outlineLevel="2" x14ac:dyDescent="0.3">
      <c r="B831" s="444" t="s">
        <v>4448</v>
      </c>
      <c r="C831" s="438" t="s">
        <v>1118</v>
      </c>
      <c r="D831" s="63" t="s">
        <v>299</v>
      </c>
      <c r="E831" s="430"/>
      <c r="F831" s="75"/>
    </row>
    <row r="832" spans="2:6" s="50" customFormat="1" outlineLevel="2" x14ac:dyDescent="0.3">
      <c r="B832" s="444" t="s">
        <v>4449</v>
      </c>
      <c r="C832" s="438" t="s">
        <v>1119</v>
      </c>
      <c r="D832" s="63" t="s">
        <v>299</v>
      </c>
      <c r="E832" s="430"/>
      <c r="F832" s="75"/>
    </row>
    <row r="833" spans="2:6" s="50" customFormat="1" outlineLevel="2" x14ac:dyDescent="0.3">
      <c r="B833" s="444" t="s">
        <v>4450</v>
      </c>
      <c r="C833" s="438" t="s">
        <v>1120</v>
      </c>
      <c r="D833" s="63" t="s">
        <v>299</v>
      </c>
      <c r="E833" s="430"/>
      <c r="F833" s="75"/>
    </row>
    <row r="834" spans="2:6" s="50" customFormat="1" outlineLevel="2" x14ac:dyDescent="0.3">
      <c r="B834" s="444" t="s">
        <v>4451</v>
      </c>
      <c r="C834" s="438" t="s">
        <v>1121</v>
      </c>
      <c r="D834" s="63" t="s">
        <v>299</v>
      </c>
      <c r="E834" s="430"/>
      <c r="F834" s="75"/>
    </row>
    <row r="835" spans="2:6" s="50" customFormat="1" outlineLevel="2" x14ac:dyDescent="0.3">
      <c r="B835" s="444" t="s">
        <v>4452</v>
      </c>
      <c r="C835" s="438" t="s">
        <v>1122</v>
      </c>
      <c r="D835" s="63" t="s">
        <v>299</v>
      </c>
      <c r="E835" s="430"/>
      <c r="F835" s="75"/>
    </row>
    <row r="836" spans="2:6" s="50" customFormat="1" outlineLevel="2" x14ac:dyDescent="0.3">
      <c r="B836" s="444" t="s">
        <v>4453</v>
      </c>
      <c r="C836" s="438" t="s">
        <v>1123</v>
      </c>
      <c r="D836" s="63" t="s">
        <v>299</v>
      </c>
      <c r="E836" s="430"/>
      <c r="F836" s="75"/>
    </row>
    <row r="837" spans="2:6" s="50" customFormat="1" outlineLevel="2" x14ac:dyDescent="0.3">
      <c r="B837" s="444" t="s">
        <v>4454</v>
      </c>
      <c r="C837" s="438" t="s">
        <v>1124</v>
      </c>
      <c r="D837" s="63" t="s">
        <v>299</v>
      </c>
      <c r="E837" s="430"/>
      <c r="F837" s="75"/>
    </row>
    <row r="838" spans="2:6" s="50" customFormat="1" outlineLevel="2" x14ac:dyDescent="0.3">
      <c r="B838" s="444" t="s">
        <v>4455</v>
      </c>
      <c r="C838" s="438" t="s">
        <v>1125</v>
      </c>
      <c r="D838" s="63" t="s">
        <v>299</v>
      </c>
      <c r="E838" s="430"/>
      <c r="F838" s="75"/>
    </row>
    <row r="839" spans="2:6" s="50" customFormat="1" outlineLevel="2" x14ac:dyDescent="0.3">
      <c r="B839" s="444" t="s">
        <v>4456</v>
      </c>
      <c r="C839" s="438" t="s">
        <v>1126</v>
      </c>
      <c r="D839" s="63" t="s">
        <v>299</v>
      </c>
      <c r="E839" s="430"/>
      <c r="F839" s="75"/>
    </row>
    <row r="840" spans="2:6" s="50" customFormat="1" outlineLevel="2" x14ac:dyDescent="0.3">
      <c r="B840" s="444" t="s">
        <v>4457</v>
      </c>
      <c r="C840" s="438" t="s">
        <v>1127</v>
      </c>
      <c r="D840" s="63" t="s">
        <v>299</v>
      </c>
      <c r="E840" s="430"/>
      <c r="F840" s="75"/>
    </row>
    <row r="841" spans="2:6" s="50" customFormat="1" outlineLevel="2" x14ac:dyDescent="0.3">
      <c r="B841" s="444" t="s">
        <v>4458</v>
      </c>
      <c r="C841" s="438" t="s">
        <v>1128</v>
      </c>
      <c r="D841" s="63" t="s">
        <v>299</v>
      </c>
      <c r="E841" s="430"/>
      <c r="F841" s="75"/>
    </row>
    <row r="842" spans="2:6" s="50" customFormat="1" outlineLevel="2" x14ac:dyDescent="0.3">
      <c r="B842" s="444" t="s">
        <v>4459</v>
      </c>
      <c r="C842" s="438" t="s">
        <v>1129</v>
      </c>
      <c r="D842" s="63" t="s">
        <v>299</v>
      </c>
      <c r="E842" s="430"/>
      <c r="F842" s="75"/>
    </row>
    <row r="843" spans="2:6" outlineLevel="1" x14ac:dyDescent="0.3">
      <c r="B843" s="444" t="s">
        <v>4460</v>
      </c>
      <c r="C843" s="437" t="s">
        <v>1130</v>
      </c>
      <c r="D843" s="59" t="s">
        <v>289</v>
      </c>
      <c r="E843" s="429">
        <f>SUM(E844:E863)</f>
        <v>0</v>
      </c>
      <c r="F843" s="74">
        <f>SUM(F844:F863)</f>
        <v>0</v>
      </c>
    </row>
    <row r="844" spans="2:6" s="50" customFormat="1" outlineLevel="2" x14ac:dyDescent="0.3">
      <c r="B844" s="444" t="s">
        <v>4461</v>
      </c>
      <c r="C844" s="438" t="s">
        <v>1131</v>
      </c>
      <c r="D844" s="62" t="s">
        <v>299</v>
      </c>
      <c r="E844" s="430"/>
      <c r="F844" s="75"/>
    </row>
    <row r="845" spans="2:6" s="50" customFormat="1" outlineLevel="2" x14ac:dyDescent="0.3">
      <c r="B845" s="444" t="s">
        <v>4462</v>
      </c>
      <c r="C845" s="438" t="s">
        <v>1132</v>
      </c>
      <c r="D845" s="63" t="s">
        <v>299</v>
      </c>
      <c r="E845" s="430"/>
      <c r="F845" s="75"/>
    </row>
    <row r="846" spans="2:6" s="50" customFormat="1" outlineLevel="2" x14ac:dyDescent="0.3">
      <c r="B846" s="444" t="s">
        <v>4463</v>
      </c>
      <c r="C846" s="438" t="s">
        <v>1133</v>
      </c>
      <c r="D846" s="63" t="s">
        <v>299</v>
      </c>
      <c r="E846" s="430"/>
      <c r="F846" s="75"/>
    </row>
    <row r="847" spans="2:6" s="50" customFormat="1" outlineLevel="2" x14ac:dyDescent="0.3">
      <c r="B847" s="444" t="s">
        <v>4464</v>
      </c>
      <c r="C847" s="438" t="s">
        <v>1134</v>
      </c>
      <c r="D847" s="63" t="s">
        <v>299</v>
      </c>
      <c r="E847" s="430"/>
      <c r="F847" s="75"/>
    </row>
    <row r="848" spans="2:6" s="50" customFormat="1" outlineLevel="2" x14ac:dyDescent="0.3">
      <c r="B848" s="444" t="s">
        <v>4465</v>
      </c>
      <c r="C848" s="438" t="s">
        <v>1135</v>
      </c>
      <c r="D848" s="63" t="s">
        <v>299</v>
      </c>
      <c r="E848" s="430"/>
      <c r="F848" s="75"/>
    </row>
    <row r="849" spans="2:6" s="50" customFormat="1" outlineLevel="2" x14ac:dyDescent="0.3">
      <c r="B849" s="444" t="s">
        <v>4466</v>
      </c>
      <c r="C849" s="438" t="s">
        <v>1136</v>
      </c>
      <c r="D849" s="63" t="s">
        <v>299</v>
      </c>
      <c r="E849" s="430"/>
      <c r="F849" s="75"/>
    </row>
    <row r="850" spans="2:6" s="50" customFormat="1" outlineLevel="2" x14ac:dyDescent="0.3">
      <c r="B850" s="444" t="s">
        <v>4467</v>
      </c>
      <c r="C850" s="438" t="s">
        <v>1137</v>
      </c>
      <c r="D850" s="63" t="s">
        <v>299</v>
      </c>
      <c r="E850" s="430"/>
      <c r="F850" s="75"/>
    </row>
    <row r="851" spans="2:6" s="50" customFormat="1" outlineLevel="2" x14ac:dyDescent="0.3">
      <c r="B851" s="444" t="s">
        <v>4468</v>
      </c>
      <c r="C851" s="438" t="s">
        <v>1138</v>
      </c>
      <c r="D851" s="63" t="s">
        <v>299</v>
      </c>
      <c r="E851" s="430"/>
      <c r="F851" s="75"/>
    </row>
    <row r="852" spans="2:6" s="50" customFormat="1" outlineLevel="2" x14ac:dyDescent="0.3">
      <c r="B852" s="444" t="s">
        <v>4469</v>
      </c>
      <c r="C852" s="438" t="s">
        <v>1139</v>
      </c>
      <c r="D852" s="63" t="s">
        <v>299</v>
      </c>
      <c r="E852" s="430"/>
      <c r="F852" s="75"/>
    </row>
    <row r="853" spans="2:6" s="50" customFormat="1" outlineLevel="2" x14ac:dyDescent="0.3">
      <c r="B853" s="444" t="s">
        <v>4470</v>
      </c>
      <c r="C853" s="438" t="s">
        <v>1140</v>
      </c>
      <c r="D853" s="63" t="s">
        <v>299</v>
      </c>
      <c r="E853" s="430"/>
      <c r="F853" s="75"/>
    </row>
    <row r="854" spans="2:6" s="50" customFormat="1" outlineLevel="2" x14ac:dyDescent="0.3">
      <c r="B854" s="444" t="s">
        <v>4471</v>
      </c>
      <c r="C854" s="438" t="s">
        <v>1141</v>
      </c>
      <c r="D854" s="63" t="s">
        <v>299</v>
      </c>
      <c r="E854" s="430"/>
      <c r="F854" s="75"/>
    </row>
    <row r="855" spans="2:6" s="50" customFormat="1" outlineLevel="2" x14ac:dyDescent="0.3">
      <c r="B855" s="444" t="s">
        <v>4472</v>
      </c>
      <c r="C855" s="438" t="s">
        <v>1243</v>
      </c>
      <c r="D855" s="63" t="s">
        <v>299</v>
      </c>
      <c r="E855" s="430"/>
      <c r="F855" s="75"/>
    </row>
    <row r="856" spans="2:6" s="50" customFormat="1" outlineLevel="2" x14ac:dyDescent="0.3">
      <c r="B856" s="444" t="s">
        <v>4473</v>
      </c>
      <c r="C856" s="438" t="s">
        <v>1244</v>
      </c>
      <c r="D856" s="63" t="s">
        <v>299</v>
      </c>
      <c r="E856" s="430"/>
      <c r="F856" s="75"/>
    </row>
    <row r="857" spans="2:6" s="50" customFormat="1" outlineLevel="2" x14ac:dyDescent="0.3">
      <c r="B857" s="444" t="s">
        <v>4474</v>
      </c>
      <c r="C857" s="438" t="s">
        <v>1245</v>
      </c>
      <c r="D857" s="63" t="s">
        <v>299</v>
      </c>
      <c r="E857" s="430"/>
      <c r="F857" s="75"/>
    </row>
    <row r="858" spans="2:6" s="50" customFormat="1" outlineLevel="2" x14ac:dyDescent="0.3">
      <c r="B858" s="444" t="s">
        <v>4475</v>
      </c>
      <c r="C858" s="438" t="s">
        <v>1246</v>
      </c>
      <c r="D858" s="63" t="s">
        <v>299</v>
      </c>
      <c r="E858" s="430"/>
      <c r="F858" s="75"/>
    </row>
    <row r="859" spans="2:6" s="50" customFormat="1" outlineLevel="2" x14ac:dyDescent="0.3">
      <c r="B859" s="444" t="s">
        <v>4476</v>
      </c>
      <c r="C859" s="438" t="s">
        <v>1247</v>
      </c>
      <c r="D859" s="63" t="s">
        <v>299</v>
      </c>
      <c r="E859" s="430"/>
      <c r="F859" s="75"/>
    </row>
    <row r="860" spans="2:6" s="50" customFormat="1" outlineLevel="2" x14ac:dyDescent="0.3">
      <c r="B860" s="444" t="s">
        <v>4477</v>
      </c>
      <c r="C860" s="438" t="s">
        <v>1248</v>
      </c>
      <c r="D860" s="63" t="s">
        <v>299</v>
      </c>
      <c r="E860" s="430"/>
      <c r="F860" s="75"/>
    </row>
    <row r="861" spans="2:6" s="50" customFormat="1" outlineLevel="2" x14ac:dyDescent="0.3">
      <c r="B861" s="444" t="s">
        <v>4478</v>
      </c>
      <c r="C861" s="438" t="s">
        <v>1249</v>
      </c>
      <c r="D861" s="63" t="s">
        <v>299</v>
      </c>
      <c r="E861" s="430"/>
      <c r="F861" s="75"/>
    </row>
    <row r="862" spans="2:6" s="50" customFormat="1" outlineLevel="2" x14ac:dyDescent="0.3">
      <c r="B862" s="444" t="s">
        <v>4479</v>
      </c>
      <c r="C862" s="438" t="s">
        <v>1250</v>
      </c>
      <c r="D862" s="63" t="s">
        <v>299</v>
      </c>
      <c r="E862" s="430"/>
      <c r="F862" s="75"/>
    </row>
    <row r="863" spans="2:6" s="50" customFormat="1" outlineLevel="2" x14ac:dyDescent="0.3">
      <c r="B863" s="444" t="s">
        <v>4480</v>
      </c>
      <c r="C863" s="438" t="s">
        <v>1251</v>
      </c>
      <c r="D863" s="63" t="s">
        <v>299</v>
      </c>
      <c r="E863" s="430"/>
      <c r="F863" s="75"/>
    </row>
    <row r="864" spans="2:6" outlineLevel="1" x14ac:dyDescent="0.3">
      <c r="B864" s="444" t="s">
        <v>4481</v>
      </c>
      <c r="C864" s="437" t="s">
        <v>1252</v>
      </c>
      <c r="D864" s="59" t="s">
        <v>4659</v>
      </c>
      <c r="E864" s="429">
        <f>SUM(E865:E884)</f>
        <v>0</v>
      </c>
      <c r="F864" s="74">
        <f>SUM(F865:F884)</f>
        <v>0</v>
      </c>
    </row>
    <row r="865" spans="2:6" s="50" customFormat="1" outlineLevel="2" x14ac:dyDescent="0.3">
      <c r="B865" s="444" t="s">
        <v>4482</v>
      </c>
      <c r="C865" s="438" t="s">
        <v>1253</v>
      </c>
      <c r="D865" s="62" t="s">
        <v>299</v>
      </c>
      <c r="E865" s="430"/>
      <c r="F865" s="75"/>
    </row>
    <row r="866" spans="2:6" s="50" customFormat="1" outlineLevel="2" x14ac:dyDescent="0.3">
      <c r="B866" s="444" t="s">
        <v>4483</v>
      </c>
      <c r="C866" s="438" t="s">
        <v>1254</v>
      </c>
      <c r="D866" s="63" t="s">
        <v>299</v>
      </c>
      <c r="E866" s="430"/>
      <c r="F866" s="75"/>
    </row>
    <row r="867" spans="2:6" s="50" customFormat="1" outlineLevel="2" x14ac:dyDescent="0.3">
      <c r="B867" s="444" t="s">
        <v>4484</v>
      </c>
      <c r="C867" s="438" t="s">
        <v>1255</v>
      </c>
      <c r="D867" s="63" t="s">
        <v>299</v>
      </c>
      <c r="E867" s="430"/>
      <c r="F867" s="75"/>
    </row>
    <row r="868" spans="2:6" s="50" customFormat="1" outlineLevel="2" x14ac:dyDescent="0.3">
      <c r="B868" s="444" t="s">
        <v>4485</v>
      </c>
      <c r="C868" s="438" t="s">
        <v>1256</v>
      </c>
      <c r="D868" s="63" t="s">
        <v>299</v>
      </c>
      <c r="E868" s="430"/>
      <c r="F868" s="75"/>
    </row>
    <row r="869" spans="2:6" s="50" customFormat="1" outlineLevel="2" x14ac:dyDescent="0.3">
      <c r="B869" s="444" t="s">
        <v>4486</v>
      </c>
      <c r="C869" s="438" t="s">
        <v>1257</v>
      </c>
      <c r="D869" s="63" t="s">
        <v>299</v>
      </c>
      <c r="E869" s="430"/>
      <c r="F869" s="75"/>
    </row>
    <row r="870" spans="2:6" s="50" customFormat="1" outlineLevel="2" x14ac:dyDescent="0.3">
      <c r="B870" s="444" t="s">
        <v>4487</v>
      </c>
      <c r="C870" s="438" t="s">
        <v>1258</v>
      </c>
      <c r="D870" s="63" t="s">
        <v>299</v>
      </c>
      <c r="E870" s="430"/>
      <c r="F870" s="75"/>
    </row>
    <row r="871" spans="2:6" s="50" customFormat="1" outlineLevel="2" x14ac:dyDescent="0.3">
      <c r="B871" s="444" t="s">
        <v>4488</v>
      </c>
      <c r="C871" s="438" t="s">
        <v>1259</v>
      </c>
      <c r="D871" s="63" t="s">
        <v>299</v>
      </c>
      <c r="E871" s="430"/>
      <c r="F871" s="75"/>
    </row>
    <row r="872" spans="2:6" s="50" customFormat="1" outlineLevel="2" x14ac:dyDescent="0.3">
      <c r="B872" s="444" t="s">
        <v>4489</v>
      </c>
      <c r="C872" s="438" t="s">
        <v>1260</v>
      </c>
      <c r="D872" s="63" t="s">
        <v>299</v>
      </c>
      <c r="E872" s="430"/>
      <c r="F872" s="75"/>
    </row>
    <row r="873" spans="2:6" s="50" customFormat="1" outlineLevel="2" x14ac:dyDescent="0.3">
      <c r="B873" s="444" t="s">
        <v>4490</v>
      </c>
      <c r="C873" s="438" t="s">
        <v>1261</v>
      </c>
      <c r="D873" s="63" t="s">
        <v>299</v>
      </c>
      <c r="E873" s="430"/>
      <c r="F873" s="75"/>
    </row>
    <row r="874" spans="2:6" s="50" customFormat="1" outlineLevel="2" x14ac:dyDescent="0.3">
      <c r="B874" s="444" t="s">
        <v>4491</v>
      </c>
      <c r="C874" s="438" t="s">
        <v>1262</v>
      </c>
      <c r="D874" s="63" t="s">
        <v>299</v>
      </c>
      <c r="E874" s="430"/>
      <c r="F874" s="75"/>
    </row>
    <row r="875" spans="2:6" s="50" customFormat="1" outlineLevel="2" x14ac:dyDescent="0.3">
      <c r="B875" s="444" t="s">
        <v>4492</v>
      </c>
      <c r="C875" s="438" t="s">
        <v>1263</v>
      </c>
      <c r="D875" s="63" t="s">
        <v>299</v>
      </c>
      <c r="E875" s="430"/>
      <c r="F875" s="75"/>
    </row>
    <row r="876" spans="2:6" s="50" customFormat="1" outlineLevel="2" x14ac:dyDescent="0.3">
      <c r="B876" s="444" t="s">
        <v>4493</v>
      </c>
      <c r="C876" s="438" t="s">
        <v>1264</v>
      </c>
      <c r="D876" s="63" t="s">
        <v>299</v>
      </c>
      <c r="E876" s="430"/>
      <c r="F876" s="75"/>
    </row>
    <row r="877" spans="2:6" s="50" customFormat="1" outlineLevel="2" x14ac:dyDescent="0.3">
      <c r="B877" s="444" t="s">
        <v>4494</v>
      </c>
      <c r="C877" s="438" t="s">
        <v>1265</v>
      </c>
      <c r="D877" s="63" t="s">
        <v>299</v>
      </c>
      <c r="E877" s="430"/>
      <c r="F877" s="75"/>
    </row>
    <row r="878" spans="2:6" s="50" customFormat="1" outlineLevel="2" x14ac:dyDescent="0.3">
      <c r="B878" s="444" t="s">
        <v>4495</v>
      </c>
      <c r="C878" s="438" t="s">
        <v>1266</v>
      </c>
      <c r="D878" s="63" t="s">
        <v>299</v>
      </c>
      <c r="E878" s="430"/>
      <c r="F878" s="75"/>
    </row>
    <row r="879" spans="2:6" s="50" customFormat="1" outlineLevel="2" x14ac:dyDescent="0.3">
      <c r="B879" s="444" t="s">
        <v>4496</v>
      </c>
      <c r="C879" s="438" t="s">
        <v>1267</v>
      </c>
      <c r="D879" s="63" t="s">
        <v>299</v>
      </c>
      <c r="E879" s="430"/>
      <c r="F879" s="75"/>
    </row>
    <row r="880" spans="2:6" s="50" customFormat="1" outlineLevel="2" x14ac:dyDescent="0.3">
      <c r="B880" s="444" t="s">
        <v>4497</v>
      </c>
      <c r="C880" s="438" t="s">
        <v>1268</v>
      </c>
      <c r="D880" s="63" t="s">
        <v>299</v>
      </c>
      <c r="E880" s="430"/>
      <c r="F880" s="75"/>
    </row>
    <row r="881" spans="2:6" s="50" customFormat="1" outlineLevel="2" x14ac:dyDescent="0.3">
      <c r="B881" s="444" t="s">
        <v>4498</v>
      </c>
      <c r="C881" s="438" t="s">
        <v>1269</v>
      </c>
      <c r="D881" s="63" t="s">
        <v>299</v>
      </c>
      <c r="E881" s="430"/>
      <c r="F881" s="75"/>
    </row>
    <row r="882" spans="2:6" s="50" customFormat="1" outlineLevel="2" x14ac:dyDescent="0.3">
      <c r="B882" s="444" t="s">
        <v>4499</v>
      </c>
      <c r="C882" s="438" t="s">
        <v>1270</v>
      </c>
      <c r="D882" s="63" t="s">
        <v>299</v>
      </c>
      <c r="E882" s="430"/>
      <c r="F882" s="75"/>
    </row>
    <row r="883" spans="2:6" s="50" customFormat="1" outlineLevel="2" x14ac:dyDescent="0.3">
      <c r="B883" s="444" t="s">
        <v>4500</v>
      </c>
      <c r="C883" s="438" t="s">
        <v>1271</v>
      </c>
      <c r="D883" s="63" t="s">
        <v>299</v>
      </c>
      <c r="E883" s="430"/>
      <c r="F883" s="75"/>
    </row>
    <row r="884" spans="2:6" s="50" customFormat="1" outlineLevel="2" x14ac:dyDescent="0.3">
      <c r="B884" s="444" t="s">
        <v>4501</v>
      </c>
      <c r="C884" s="438" t="s">
        <v>1272</v>
      </c>
      <c r="D884" s="63" t="s">
        <v>299</v>
      </c>
      <c r="E884" s="430"/>
      <c r="F884" s="75"/>
    </row>
    <row r="885" spans="2:6" s="50" customFormat="1" x14ac:dyDescent="0.3">
      <c r="B885" s="444" t="s">
        <v>4502</v>
      </c>
      <c r="C885" s="436">
        <v>9.5</v>
      </c>
      <c r="D885" s="65" t="s">
        <v>291</v>
      </c>
      <c r="E885" s="428">
        <f>SUM(E886:E905)</f>
        <v>0</v>
      </c>
      <c r="F885" s="73">
        <f>SUM(F886:F905)</f>
        <v>0</v>
      </c>
    </row>
    <row r="886" spans="2:6" s="50" customFormat="1" outlineLevel="2" x14ac:dyDescent="0.3">
      <c r="B886" s="444" t="s">
        <v>4503</v>
      </c>
      <c r="C886" s="438" t="s">
        <v>1273</v>
      </c>
      <c r="D886" s="62" t="s">
        <v>300</v>
      </c>
      <c r="E886" s="430"/>
      <c r="F886" s="75"/>
    </row>
    <row r="887" spans="2:6" s="50" customFormat="1" outlineLevel="2" x14ac:dyDescent="0.3">
      <c r="B887" s="444" t="s">
        <v>4504</v>
      </c>
      <c r="C887" s="438" t="s">
        <v>1274</v>
      </c>
      <c r="D887" s="63" t="s">
        <v>300</v>
      </c>
      <c r="E887" s="430"/>
      <c r="F887" s="75"/>
    </row>
    <row r="888" spans="2:6" s="50" customFormat="1" outlineLevel="2" x14ac:dyDescent="0.3">
      <c r="B888" s="444" t="s">
        <v>4505</v>
      </c>
      <c r="C888" s="438" t="s">
        <v>1275</v>
      </c>
      <c r="D888" s="63" t="s">
        <v>300</v>
      </c>
      <c r="E888" s="430"/>
      <c r="F888" s="75"/>
    </row>
    <row r="889" spans="2:6" s="50" customFormat="1" outlineLevel="2" x14ac:dyDescent="0.3">
      <c r="B889" s="444" t="s">
        <v>4506</v>
      </c>
      <c r="C889" s="438" t="s">
        <v>1276</v>
      </c>
      <c r="D889" s="63" t="s">
        <v>300</v>
      </c>
      <c r="E889" s="430"/>
      <c r="F889" s="75"/>
    </row>
    <row r="890" spans="2:6" s="50" customFormat="1" outlineLevel="2" x14ac:dyDescent="0.3">
      <c r="B890" s="444" t="s">
        <v>4507</v>
      </c>
      <c r="C890" s="438" t="s">
        <v>1277</v>
      </c>
      <c r="D890" s="63" t="s">
        <v>300</v>
      </c>
      <c r="E890" s="430"/>
      <c r="F890" s="75"/>
    </row>
    <row r="891" spans="2:6" s="50" customFormat="1" outlineLevel="2" x14ac:dyDescent="0.3">
      <c r="B891" s="444" t="s">
        <v>4508</v>
      </c>
      <c r="C891" s="438" t="s">
        <v>1278</v>
      </c>
      <c r="D891" s="63" t="s">
        <v>300</v>
      </c>
      <c r="E891" s="430"/>
      <c r="F891" s="75"/>
    </row>
    <row r="892" spans="2:6" s="50" customFormat="1" outlineLevel="2" x14ac:dyDescent="0.3">
      <c r="B892" s="444" t="s">
        <v>4509</v>
      </c>
      <c r="C892" s="438" t="s">
        <v>1279</v>
      </c>
      <c r="D892" s="63" t="s">
        <v>300</v>
      </c>
      <c r="E892" s="430"/>
      <c r="F892" s="75"/>
    </row>
    <row r="893" spans="2:6" s="50" customFormat="1" outlineLevel="2" x14ac:dyDescent="0.3">
      <c r="B893" s="444" t="s">
        <v>4510</v>
      </c>
      <c r="C893" s="438" t="s">
        <v>1280</v>
      </c>
      <c r="D893" s="63" t="s">
        <v>300</v>
      </c>
      <c r="E893" s="430"/>
      <c r="F893" s="75"/>
    </row>
    <row r="894" spans="2:6" s="50" customFormat="1" outlineLevel="2" x14ac:dyDescent="0.3">
      <c r="B894" s="444" t="s">
        <v>4511</v>
      </c>
      <c r="C894" s="438" t="s">
        <v>1281</v>
      </c>
      <c r="D894" s="63" t="s">
        <v>300</v>
      </c>
      <c r="E894" s="430"/>
      <c r="F894" s="75"/>
    </row>
    <row r="895" spans="2:6" s="50" customFormat="1" outlineLevel="2" x14ac:dyDescent="0.3">
      <c r="B895" s="444" t="s">
        <v>4512</v>
      </c>
      <c r="C895" s="438" t="s">
        <v>1282</v>
      </c>
      <c r="D895" s="63" t="s">
        <v>300</v>
      </c>
      <c r="E895" s="430"/>
      <c r="F895" s="75"/>
    </row>
    <row r="896" spans="2:6" s="50" customFormat="1" outlineLevel="2" x14ac:dyDescent="0.3">
      <c r="B896" s="444" t="s">
        <v>4513</v>
      </c>
      <c r="C896" s="438" t="s">
        <v>1283</v>
      </c>
      <c r="D896" s="63" t="s">
        <v>300</v>
      </c>
      <c r="E896" s="430"/>
      <c r="F896" s="75"/>
    </row>
    <row r="897" spans="2:6" s="50" customFormat="1" outlineLevel="2" x14ac:dyDescent="0.3">
      <c r="B897" s="444" t="s">
        <v>4514</v>
      </c>
      <c r="C897" s="438" t="s">
        <v>1284</v>
      </c>
      <c r="D897" s="63" t="s">
        <v>300</v>
      </c>
      <c r="E897" s="430"/>
      <c r="F897" s="75"/>
    </row>
    <row r="898" spans="2:6" s="50" customFormat="1" outlineLevel="2" x14ac:dyDescent="0.3">
      <c r="B898" s="444" t="s">
        <v>4515</v>
      </c>
      <c r="C898" s="438" t="s">
        <v>1285</v>
      </c>
      <c r="D898" s="63" t="s">
        <v>300</v>
      </c>
      <c r="E898" s="430"/>
      <c r="F898" s="75"/>
    </row>
    <row r="899" spans="2:6" s="50" customFormat="1" outlineLevel="2" x14ac:dyDescent="0.3">
      <c r="B899" s="444" t="s">
        <v>4516</v>
      </c>
      <c r="C899" s="438" t="s">
        <v>1286</v>
      </c>
      <c r="D899" s="63" t="s">
        <v>300</v>
      </c>
      <c r="E899" s="430"/>
      <c r="F899" s="75"/>
    </row>
    <row r="900" spans="2:6" s="50" customFormat="1" outlineLevel="2" x14ac:dyDescent="0.3">
      <c r="B900" s="444" t="s">
        <v>4517</v>
      </c>
      <c r="C900" s="438" t="s">
        <v>1287</v>
      </c>
      <c r="D900" s="63" t="s">
        <v>300</v>
      </c>
      <c r="E900" s="430"/>
      <c r="F900" s="75"/>
    </row>
    <row r="901" spans="2:6" s="50" customFormat="1" outlineLevel="2" x14ac:dyDescent="0.3">
      <c r="B901" s="444" t="s">
        <v>4518</v>
      </c>
      <c r="C901" s="438" t="s">
        <v>1288</v>
      </c>
      <c r="D901" s="63" t="s">
        <v>300</v>
      </c>
      <c r="E901" s="430"/>
      <c r="F901" s="75"/>
    </row>
    <row r="902" spans="2:6" s="50" customFormat="1" outlineLevel="2" x14ac:dyDescent="0.3">
      <c r="B902" s="444" t="s">
        <v>4519</v>
      </c>
      <c r="C902" s="438" t="s">
        <v>1289</v>
      </c>
      <c r="D902" s="63" t="s">
        <v>300</v>
      </c>
      <c r="E902" s="430"/>
      <c r="F902" s="75"/>
    </row>
    <row r="903" spans="2:6" s="50" customFormat="1" outlineLevel="2" x14ac:dyDescent="0.3">
      <c r="B903" s="444" t="s">
        <v>4520</v>
      </c>
      <c r="C903" s="438" t="s">
        <v>1290</v>
      </c>
      <c r="D903" s="63" t="s">
        <v>300</v>
      </c>
      <c r="E903" s="430"/>
      <c r="F903" s="75"/>
    </row>
    <row r="904" spans="2:6" s="50" customFormat="1" outlineLevel="2" x14ac:dyDescent="0.3">
      <c r="B904" s="444" t="s">
        <v>4521</v>
      </c>
      <c r="C904" s="438" t="s">
        <v>1291</v>
      </c>
      <c r="D904" s="63" t="s">
        <v>300</v>
      </c>
      <c r="E904" s="430"/>
      <c r="F904" s="75"/>
    </row>
    <row r="905" spans="2:6" s="50" customFormat="1" outlineLevel="2" x14ac:dyDescent="0.3">
      <c r="B905" s="444" t="s">
        <v>4522</v>
      </c>
      <c r="C905" s="438" t="s">
        <v>1292</v>
      </c>
      <c r="D905" s="63" t="s">
        <v>300</v>
      </c>
      <c r="E905" s="430"/>
      <c r="F905" s="75"/>
    </row>
    <row r="906" spans="2:6" s="149" customFormat="1" x14ac:dyDescent="0.2">
      <c r="B906" s="444" t="s">
        <v>4523</v>
      </c>
      <c r="C906" s="436">
        <v>9.6</v>
      </c>
      <c r="D906" s="227" t="s">
        <v>296</v>
      </c>
      <c r="E906" s="431">
        <f>SUM(E907:E926)</f>
        <v>0</v>
      </c>
      <c r="F906" s="209">
        <f>SUM(F907:F926)</f>
        <v>0</v>
      </c>
    </row>
    <row r="907" spans="2:6" s="149" customFormat="1" outlineLevel="2" x14ac:dyDescent="0.2">
      <c r="B907" s="444" t="s">
        <v>4524</v>
      </c>
      <c r="C907" s="438" t="s">
        <v>1293</v>
      </c>
      <c r="D907" s="151" t="s">
        <v>301</v>
      </c>
      <c r="E907" s="432"/>
      <c r="F907" s="175"/>
    </row>
    <row r="908" spans="2:6" s="149" customFormat="1" outlineLevel="2" x14ac:dyDescent="0.2">
      <c r="B908" s="444" t="s">
        <v>4525</v>
      </c>
      <c r="C908" s="438" t="s">
        <v>1294</v>
      </c>
      <c r="D908" s="151" t="s">
        <v>301</v>
      </c>
      <c r="E908" s="432"/>
      <c r="F908" s="175"/>
    </row>
    <row r="909" spans="2:6" s="149" customFormat="1" outlineLevel="2" x14ac:dyDescent="0.2">
      <c r="B909" s="444" t="s">
        <v>4526</v>
      </c>
      <c r="C909" s="438" t="s">
        <v>1295</v>
      </c>
      <c r="D909" s="151" t="s">
        <v>301</v>
      </c>
      <c r="E909" s="432"/>
      <c r="F909" s="175"/>
    </row>
    <row r="910" spans="2:6" s="149" customFormat="1" outlineLevel="2" x14ac:dyDescent="0.2">
      <c r="B910" s="444" t="s">
        <v>4527</v>
      </c>
      <c r="C910" s="438" t="s">
        <v>1296</v>
      </c>
      <c r="D910" s="151" t="s">
        <v>301</v>
      </c>
      <c r="E910" s="432"/>
      <c r="F910" s="175"/>
    </row>
    <row r="911" spans="2:6" s="149" customFormat="1" outlineLevel="2" x14ac:dyDescent="0.2">
      <c r="B911" s="444" t="s">
        <v>4528</v>
      </c>
      <c r="C911" s="438" t="s">
        <v>1297</v>
      </c>
      <c r="D911" s="151" t="s">
        <v>301</v>
      </c>
      <c r="E911" s="432"/>
      <c r="F911" s="175"/>
    </row>
    <row r="912" spans="2:6" s="149" customFormat="1" outlineLevel="2" x14ac:dyDescent="0.2">
      <c r="B912" s="444" t="s">
        <v>4529</v>
      </c>
      <c r="C912" s="438" t="s">
        <v>1298</v>
      </c>
      <c r="D912" s="151" t="s">
        <v>301</v>
      </c>
      <c r="E912" s="432"/>
      <c r="F912" s="175"/>
    </row>
    <row r="913" spans="2:6" s="149" customFormat="1" outlineLevel="2" x14ac:dyDescent="0.2">
      <c r="B913" s="444" t="s">
        <v>4530</v>
      </c>
      <c r="C913" s="438" t="s">
        <v>1299</v>
      </c>
      <c r="D913" s="151" t="s">
        <v>301</v>
      </c>
      <c r="E913" s="432"/>
      <c r="F913" s="175"/>
    </row>
    <row r="914" spans="2:6" s="149" customFormat="1" outlineLevel="2" x14ac:dyDescent="0.2">
      <c r="B914" s="444" t="s">
        <v>4531</v>
      </c>
      <c r="C914" s="438" t="s">
        <v>1300</v>
      </c>
      <c r="D914" s="151" t="s">
        <v>301</v>
      </c>
      <c r="E914" s="432"/>
      <c r="F914" s="175"/>
    </row>
    <row r="915" spans="2:6" s="149" customFormat="1" outlineLevel="2" x14ac:dyDescent="0.2">
      <c r="B915" s="444" t="s">
        <v>4532</v>
      </c>
      <c r="C915" s="438" t="s">
        <v>1301</v>
      </c>
      <c r="D915" s="151" t="s">
        <v>301</v>
      </c>
      <c r="E915" s="432"/>
      <c r="F915" s="175"/>
    </row>
    <row r="916" spans="2:6" s="149" customFormat="1" outlineLevel="2" x14ac:dyDescent="0.2">
      <c r="B916" s="444" t="s">
        <v>4533</v>
      </c>
      <c r="C916" s="438" t="s">
        <v>1302</v>
      </c>
      <c r="D916" s="151" t="s">
        <v>301</v>
      </c>
      <c r="E916" s="432"/>
      <c r="F916" s="175"/>
    </row>
    <row r="917" spans="2:6" s="149" customFormat="1" outlineLevel="2" x14ac:dyDescent="0.2">
      <c r="B917" s="444" t="s">
        <v>4534</v>
      </c>
      <c r="C917" s="438" t="s">
        <v>1303</v>
      </c>
      <c r="D917" s="151" t="s">
        <v>301</v>
      </c>
      <c r="E917" s="432"/>
      <c r="F917" s="175"/>
    </row>
    <row r="918" spans="2:6" s="149" customFormat="1" outlineLevel="2" x14ac:dyDescent="0.2">
      <c r="B918" s="444" t="s">
        <v>4535</v>
      </c>
      <c r="C918" s="438" t="s">
        <v>1304</v>
      </c>
      <c r="D918" s="151" t="s">
        <v>301</v>
      </c>
      <c r="E918" s="432"/>
      <c r="F918" s="175"/>
    </row>
    <row r="919" spans="2:6" s="149" customFormat="1" outlineLevel="2" x14ac:dyDescent="0.2">
      <c r="B919" s="444" t="s">
        <v>4536</v>
      </c>
      <c r="C919" s="438" t="s">
        <v>1305</v>
      </c>
      <c r="D919" s="151" t="s">
        <v>301</v>
      </c>
      <c r="E919" s="432"/>
      <c r="F919" s="175"/>
    </row>
    <row r="920" spans="2:6" s="149" customFormat="1" outlineLevel="2" x14ac:dyDescent="0.2">
      <c r="B920" s="444" t="s">
        <v>4537</v>
      </c>
      <c r="C920" s="438" t="s">
        <v>1306</v>
      </c>
      <c r="D920" s="151" t="s">
        <v>301</v>
      </c>
      <c r="E920" s="432"/>
      <c r="F920" s="175"/>
    </row>
    <row r="921" spans="2:6" s="149" customFormat="1" outlineLevel="2" x14ac:dyDescent="0.2">
      <c r="B921" s="444" t="s">
        <v>4538</v>
      </c>
      <c r="C921" s="438" t="s">
        <v>1307</v>
      </c>
      <c r="D921" s="151" t="s">
        <v>301</v>
      </c>
      <c r="E921" s="432"/>
      <c r="F921" s="175"/>
    </row>
    <row r="922" spans="2:6" s="149" customFormat="1" outlineLevel="2" x14ac:dyDescent="0.2">
      <c r="B922" s="444" t="s">
        <v>4539</v>
      </c>
      <c r="C922" s="438" t="s">
        <v>1308</v>
      </c>
      <c r="D922" s="151" t="s">
        <v>301</v>
      </c>
      <c r="E922" s="432"/>
      <c r="F922" s="175"/>
    </row>
    <row r="923" spans="2:6" s="149" customFormat="1" outlineLevel="2" x14ac:dyDescent="0.2">
      <c r="B923" s="444" t="s">
        <v>4540</v>
      </c>
      <c r="C923" s="438" t="s">
        <v>1309</v>
      </c>
      <c r="D923" s="151" t="s">
        <v>301</v>
      </c>
      <c r="E923" s="432"/>
      <c r="F923" s="175"/>
    </row>
    <row r="924" spans="2:6" s="149" customFormat="1" outlineLevel="2" x14ac:dyDescent="0.2">
      <c r="B924" s="444" t="s">
        <v>4541</v>
      </c>
      <c r="C924" s="438" t="s">
        <v>1310</v>
      </c>
      <c r="D924" s="151" t="s">
        <v>301</v>
      </c>
      <c r="E924" s="432"/>
      <c r="F924" s="175"/>
    </row>
    <row r="925" spans="2:6" s="149" customFormat="1" outlineLevel="2" x14ac:dyDescent="0.2">
      <c r="B925" s="444" t="s">
        <v>4542</v>
      </c>
      <c r="C925" s="438" t="s">
        <v>1311</v>
      </c>
      <c r="D925" s="151" t="s">
        <v>301</v>
      </c>
      <c r="E925" s="432"/>
      <c r="F925" s="175"/>
    </row>
    <row r="926" spans="2:6" s="149" customFormat="1" outlineLevel="2" x14ac:dyDescent="0.2">
      <c r="B926" s="444" t="s">
        <v>4543</v>
      </c>
      <c r="C926" s="438" t="s">
        <v>1312</v>
      </c>
      <c r="D926" s="151" t="s">
        <v>301</v>
      </c>
      <c r="E926" s="432"/>
      <c r="F926" s="175"/>
    </row>
    <row r="927" spans="2:6" s="30" customFormat="1" x14ac:dyDescent="0.2">
      <c r="B927" s="444" t="s">
        <v>4544</v>
      </c>
      <c r="C927" s="434">
        <v>10</v>
      </c>
      <c r="D927" s="245" t="s">
        <v>302</v>
      </c>
      <c r="E927" s="640">
        <f>E928+E929+E1014+E1099+E1184+E1205</f>
        <v>0</v>
      </c>
      <c r="F927" s="240">
        <f>F928+F929+F1014+F1099+F1184+F1205</f>
        <v>0</v>
      </c>
    </row>
    <row r="928" spans="2:6" s="93" customFormat="1" x14ac:dyDescent="0.2">
      <c r="B928" s="444" t="s">
        <v>4545</v>
      </c>
      <c r="C928" s="435">
        <v>10.1</v>
      </c>
      <c r="D928" s="227" t="s">
        <v>284</v>
      </c>
      <c r="E928" s="431"/>
      <c r="F928" s="209"/>
    </row>
    <row r="929" spans="2:6" s="149" customFormat="1" x14ac:dyDescent="0.2">
      <c r="B929" s="444" t="s">
        <v>4546</v>
      </c>
      <c r="C929" s="436">
        <v>10.199999999999999</v>
      </c>
      <c r="D929" s="227" t="s">
        <v>285</v>
      </c>
      <c r="E929" s="431">
        <f>E930+E951+E972+E993</f>
        <v>0</v>
      </c>
      <c r="F929" s="209">
        <f>F930+F951+F972+F993</f>
        <v>0</v>
      </c>
    </row>
    <row r="930" spans="2:6" s="30" customFormat="1" outlineLevel="1" x14ac:dyDescent="0.2">
      <c r="B930" s="444" t="s">
        <v>4547</v>
      </c>
      <c r="C930" s="437" t="s">
        <v>1313</v>
      </c>
      <c r="D930" s="147" t="s">
        <v>286</v>
      </c>
      <c r="E930" s="433">
        <f>SUM(E931:E950)</f>
        <v>0</v>
      </c>
      <c r="F930" s="92">
        <f>SUM(F931:F950)</f>
        <v>0</v>
      </c>
    </row>
    <row r="931" spans="2:6" s="149" customFormat="1" outlineLevel="2" x14ac:dyDescent="0.2">
      <c r="B931" s="444" t="s">
        <v>4548</v>
      </c>
      <c r="C931" s="438" t="s">
        <v>1314</v>
      </c>
      <c r="D931" s="151" t="s">
        <v>299</v>
      </c>
      <c r="E931" s="432"/>
      <c r="F931" s="175"/>
    </row>
    <row r="932" spans="2:6" s="149" customFormat="1" outlineLevel="2" x14ac:dyDescent="0.2">
      <c r="B932" s="444" t="s">
        <v>4549</v>
      </c>
      <c r="C932" s="438" t="s">
        <v>1315</v>
      </c>
      <c r="D932" s="151" t="s">
        <v>299</v>
      </c>
      <c r="E932" s="432"/>
      <c r="F932" s="175"/>
    </row>
    <row r="933" spans="2:6" s="149" customFormat="1" outlineLevel="2" x14ac:dyDescent="0.2">
      <c r="B933" s="444" t="s">
        <v>4550</v>
      </c>
      <c r="C933" s="438" t="s">
        <v>1316</v>
      </c>
      <c r="D933" s="151" t="s">
        <v>299</v>
      </c>
      <c r="E933" s="432"/>
      <c r="F933" s="175"/>
    </row>
    <row r="934" spans="2:6" s="149" customFormat="1" outlineLevel="2" x14ac:dyDescent="0.2">
      <c r="B934" s="444" t="s">
        <v>4551</v>
      </c>
      <c r="C934" s="438" t="s">
        <v>1317</v>
      </c>
      <c r="D934" s="151" t="s">
        <v>299</v>
      </c>
      <c r="E934" s="432"/>
      <c r="F934" s="175"/>
    </row>
    <row r="935" spans="2:6" s="149" customFormat="1" outlineLevel="2" x14ac:dyDescent="0.2">
      <c r="B935" s="444" t="s">
        <v>4552</v>
      </c>
      <c r="C935" s="438" t="s">
        <v>1318</v>
      </c>
      <c r="D935" s="151" t="s">
        <v>299</v>
      </c>
      <c r="E935" s="432"/>
      <c r="F935" s="175"/>
    </row>
    <row r="936" spans="2:6" s="149" customFormat="1" outlineLevel="2" x14ac:dyDescent="0.2">
      <c r="B936" s="444" t="s">
        <v>4553</v>
      </c>
      <c r="C936" s="438" t="s">
        <v>1319</v>
      </c>
      <c r="D936" s="151" t="s">
        <v>299</v>
      </c>
      <c r="E936" s="432"/>
      <c r="F936" s="175"/>
    </row>
    <row r="937" spans="2:6" s="149" customFormat="1" outlineLevel="2" x14ac:dyDescent="0.2">
      <c r="B937" s="444" t="s">
        <v>4554</v>
      </c>
      <c r="C937" s="438" t="s">
        <v>1320</v>
      </c>
      <c r="D937" s="151" t="s">
        <v>299</v>
      </c>
      <c r="E937" s="432"/>
      <c r="F937" s="175"/>
    </row>
    <row r="938" spans="2:6" s="149" customFormat="1" outlineLevel="2" x14ac:dyDescent="0.2">
      <c r="B938" s="444" t="s">
        <v>4555</v>
      </c>
      <c r="C938" s="438" t="s">
        <v>1321</v>
      </c>
      <c r="D938" s="151" t="s">
        <v>299</v>
      </c>
      <c r="E938" s="432"/>
      <c r="F938" s="175"/>
    </row>
    <row r="939" spans="2:6" s="149" customFormat="1" outlineLevel="2" x14ac:dyDescent="0.2">
      <c r="B939" s="444" t="s">
        <v>4556</v>
      </c>
      <c r="C939" s="438" t="s">
        <v>1322</v>
      </c>
      <c r="D939" s="151" t="s">
        <v>299</v>
      </c>
      <c r="E939" s="432"/>
      <c r="F939" s="175"/>
    </row>
    <row r="940" spans="2:6" s="149" customFormat="1" outlineLevel="2" x14ac:dyDescent="0.2">
      <c r="B940" s="444" t="s">
        <v>4557</v>
      </c>
      <c r="C940" s="438" t="s">
        <v>1323</v>
      </c>
      <c r="D940" s="151" t="s">
        <v>299</v>
      </c>
      <c r="E940" s="432"/>
      <c r="F940" s="175"/>
    </row>
    <row r="941" spans="2:6" s="149" customFormat="1" outlineLevel="2" x14ac:dyDescent="0.2">
      <c r="B941" s="444" t="s">
        <v>4558</v>
      </c>
      <c r="C941" s="438" t="s">
        <v>1324</v>
      </c>
      <c r="D941" s="151" t="s">
        <v>299</v>
      </c>
      <c r="E941" s="432"/>
      <c r="F941" s="175"/>
    </row>
    <row r="942" spans="2:6" s="149" customFormat="1" outlineLevel="2" x14ac:dyDescent="0.2">
      <c r="B942" s="444" t="s">
        <v>4559</v>
      </c>
      <c r="C942" s="438" t="s">
        <v>1325</v>
      </c>
      <c r="D942" s="151" t="s">
        <v>299</v>
      </c>
      <c r="E942" s="432"/>
      <c r="F942" s="175"/>
    </row>
    <row r="943" spans="2:6" s="149" customFormat="1" outlineLevel="2" x14ac:dyDescent="0.2">
      <c r="B943" s="444" t="s">
        <v>4560</v>
      </c>
      <c r="C943" s="438" t="s">
        <v>1326</v>
      </c>
      <c r="D943" s="151" t="s">
        <v>299</v>
      </c>
      <c r="E943" s="432"/>
      <c r="F943" s="175"/>
    </row>
    <row r="944" spans="2:6" s="149" customFormat="1" outlineLevel="2" x14ac:dyDescent="0.2">
      <c r="B944" s="444" t="s">
        <v>4561</v>
      </c>
      <c r="C944" s="438" t="s">
        <v>1327</v>
      </c>
      <c r="D944" s="151" t="s">
        <v>299</v>
      </c>
      <c r="E944" s="432"/>
      <c r="F944" s="175"/>
    </row>
    <row r="945" spans="2:6" s="149" customFormat="1" outlineLevel="2" x14ac:dyDescent="0.2">
      <c r="B945" s="444" t="s">
        <v>4562</v>
      </c>
      <c r="C945" s="438" t="s">
        <v>1328</v>
      </c>
      <c r="D945" s="151" t="s">
        <v>299</v>
      </c>
      <c r="E945" s="432"/>
      <c r="F945" s="175"/>
    </row>
    <row r="946" spans="2:6" s="149" customFormat="1" outlineLevel="2" x14ac:dyDescent="0.2">
      <c r="B946" s="444" t="s">
        <v>4563</v>
      </c>
      <c r="C946" s="438" t="s">
        <v>1329</v>
      </c>
      <c r="D946" s="151" t="s">
        <v>299</v>
      </c>
      <c r="E946" s="432"/>
      <c r="F946" s="175"/>
    </row>
    <row r="947" spans="2:6" s="149" customFormat="1" outlineLevel="2" x14ac:dyDescent="0.2">
      <c r="B947" s="444" t="s">
        <v>4564</v>
      </c>
      <c r="C947" s="438" t="s">
        <v>1330</v>
      </c>
      <c r="D947" s="151" t="s">
        <v>299</v>
      </c>
      <c r="E947" s="432"/>
      <c r="F947" s="175"/>
    </row>
    <row r="948" spans="2:6" s="149" customFormat="1" outlineLevel="2" x14ac:dyDescent="0.2">
      <c r="B948" s="444" t="s">
        <v>4565</v>
      </c>
      <c r="C948" s="438" t="s">
        <v>1331</v>
      </c>
      <c r="D948" s="151" t="s">
        <v>299</v>
      </c>
      <c r="E948" s="432"/>
      <c r="F948" s="175"/>
    </row>
    <row r="949" spans="2:6" s="149" customFormat="1" outlineLevel="2" x14ac:dyDescent="0.2">
      <c r="B949" s="444" t="s">
        <v>4566</v>
      </c>
      <c r="C949" s="438" t="s">
        <v>1332</v>
      </c>
      <c r="D949" s="151" t="s">
        <v>299</v>
      </c>
      <c r="E949" s="432"/>
      <c r="F949" s="175"/>
    </row>
    <row r="950" spans="2:6" s="149" customFormat="1" outlineLevel="2" x14ac:dyDescent="0.2">
      <c r="B950" s="444" t="s">
        <v>4567</v>
      </c>
      <c r="C950" s="438" t="s">
        <v>1333</v>
      </c>
      <c r="D950" s="151" t="s">
        <v>299</v>
      </c>
      <c r="E950" s="432"/>
      <c r="F950" s="175"/>
    </row>
    <row r="951" spans="2:6" s="30" customFormat="1" outlineLevel="1" x14ac:dyDescent="0.2">
      <c r="B951" s="444" t="s">
        <v>4568</v>
      </c>
      <c r="C951" s="437" t="s">
        <v>1334</v>
      </c>
      <c r="D951" s="147" t="s">
        <v>4654</v>
      </c>
      <c r="E951" s="433">
        <f>SUM(E952:E971)</f>
        <v>0</v>
      </c>
      <c r="F951" s="92">
        <f>SUM(F952:F971)</f>
        <v>0</v>
      </c>
    </row>
    <row r="952" spans="2:6" s="149" customFormat="1" outlineLevel="2" x14ac:dyDescent="0.2">
      <c r="B952" s="444" t="s">
        <v>4569</v>
      </c>
      <c r="C952" s="438" t="s">
        <v>1335</v>
      </c>
      <c r="D952" s="151" t="s">
        <v>299</v>
      </c>
      <c r="E952" s="432"/>
      <c r="F952" s="175"/>
    </row>
    <row r="953" spans="2:6" s="149" customFormat="1" outlineLevel="2" x14ac:dyDescent="0.2">
      <c r="B953" s="444" t="s">
        <v>4570</v>
      </c>
      <c r="C953" s="438" t="s">
        <v>1336</v>
      </c>
      <c r="D953" s="151" t="s">
        <v>299</v>
      </c>
      <c r="E953" s="432"/>
      <c r="F953" s="175"/>
    </row>
    <row r="954" spans="2:6" s="149" customFormat="1" outlineLevel="2" x14ac:dyDescent="0.2">
      <c r="B954" s="444" t="s">
        <v>4571</v>
      </c>
      <c r="C954" s="438" t="s">
        <v>1337</v>
      </c>
      <c r="D954" s="151" t="s">
        <v>299</v>
      </c>
      <c r="E954" s="432"/>
      <c r="F954" s="175"/>
    </row>
    <row r="955" spans="2:6" s="149" customFormat="1" outlineLevel="2" x14ac:dyDescent="0.2">
      <c r="B955" s="444" t="s">
        <v>4572</v>
      </c>
      <c r="C955" s="438" t="s">
        <v>1338</v>
      </c>
      <c r="D955" s="151" t="s">
        <v>299</v>
      </c>
      <c r="E955" s="432"/>
      <c r="F955" s="175"/>
    </row>
    <row r="956" spans="2:6" s="149" customFormat="1" outlineLevel="2" x14ac:dyDescent="0.2">
      <c r="B956" s="444" t="s">
        <v>4573</v>
      </c>
      <c r="C956" s="438" t="s">
        <v>1339</v>
      </c>
      <c r="D956" s="151" t="s">
        <v>299</v>
      </c>
      <c r="E956" s="432"/>
      <c r="F956" s="175"/>
    </row>
    <row r="957" spans="2:6" s="149" customFormat="1" outlineLevel="2" x14ac:dyDescent="0.2">
      <c r="B957" s="444" t="s">
        <v>4574</v>
      </c>
      <c r="C957" s="438" t="s">
        <v>1340</v>
      </c>
      <c r="D957" s="151" t="s">
        <v>299</v>
      </c>
      <c r="E957" s="432"/>
      <c r="F957" s="175"/>
    </row>
    <row r="958" spans="2:6" s="149" customFormat="1" outlineLevel="2" x14ac:dyDescent="0.2">
      <c r="B958" s="444" t="s">
        <v>4575</v>
      </c>
      <c r="C958" s="438" t="s">
        <v>1341</v>
      </c>
      <c r="D958" s="151" t="s">
        <v>299</v>
      </c>
      <c r="E958" s="432"/>
      <c r="F958" s="175"/>
    </row>
    <row r="959" spans="2:6" s="149" customFormat="1" outlineLevel="2" x14ac:dyDescent="0.2">
      <c r="B959" s="444" t="s">
        <v>4576</v>
      </c>
      <c r="C959" s="438" t="s">
        <v>1342</v>
      </c>
      <c r="D959" s="151" t="s">
        <v>299</v>
      </c>
      <c r="E959" s="432"/>
      <c r="F959" s="175"/>
    </row>
    <row r="960" spans="2:6" s="149" customFormat="1" outlineLevel="2" x14ac:dyDescent="0.2">
      <c r="B960" s="444" t="s">
        <v>4577</v>
      </c>
      <c r="C960" s="438" t="s">
        <v>1343</v>
      </c>
      <c r="D960" s="151" t="s">
        <v>299</v>
      </c>
      <c r="E960" s="432"/>
      <c r="F960" s="175"/>
    </row>
    <row r="961" spans="2:6" s="149" customFormat="1" outlineLevel="2" x14ac:dyDescent="0.2">
      <c r="B961" s="444" t="s">
        <v>4578</v>
      </c>
      <c r="C961" s="438" t="s">
        <v>1344</v>
      </c>
      <c r="D961" s="151" t="s">
        <v>299</v>
      </c>
      <c r="E961" s="432"/>
      <c r="F961" s="175"/>
    </row>
    <row r="962" spans="2:6" s="149" customFormat="1" outlineLevel="2" x14ac:dyDescent="0.2">
      <c r="B962" s="444" t="s">
        <v>4579</v>
      </c>
      <c r="C962" s="438" t="s">
        <v>1345</v>
      </c>
      <c r="D962" s="151" t="s">
        <v>299</v>
      </c>
      <c r="E962" s="432"/>
      <c r="F962" s="175"/>
    </row>
    <row r="963" spans="2:6" s="149" customFormat="1" outlineLevel="2" x14ac:dyDescent="0.2">
      <c r="B963" s="444" t="s">
        <v>4580</v>
      </c>
      <c r="C963" s="438" t="s">
        <v>1346</v>
      </c>
      <c r="D963" s="151" t="s">
        <v>299</v>
      </c>
      <c r="E963" s="432"/>
      <c r="F963" s="175"/>
    </row>
    <row r="964" spans="2:6" s="149" customFormat="1" outlineLevel="2" x14ac:dyDescent="0.2">
      <c r="B964" s="444" t="s">
        <v>4581</v>
      </c>
      <c r="C964" s="438" t="s">
        <v>1347</v>
      </c>
      <c r="D964" s="151" t="s">
        <v>299</v>
      </c>
      <c r="E964" s="432"/>
      <c r="F964" s="175"/>
    </row>
    <row r="965" spans="2:6" s="149" customFormat="1" outlineLevel="2" x14ac:dyDescent="0.2">
      <c r="B965" s="444" t="s">
        <v>4582</v>
      </c>
      <c r="C965" s="438" t="s">
        <v>1348</v>
      </c>
      <c r="D965" s="151" t="s">
        <v>299</v>
      </c>
      <c r="E965" s="432"/>
      <c r="F965" s="175"/>
    </row>
    <row r="966" spans="2:6" s="149" customFormat="1" outlineLevel="2" x14ac:dyDescent="0.2">
      <c r="B966" s="444" t="s">
        <v>4583</v>
      </c>
      <c r="C966" s="438" t="s">
        <v>1349</v>
      </c>
      <c r="D966" s="151" t="s">
        <v>299</v>
      </c>
      <c r="E966" s="432"/>
      <c r="F966" s="175"/>
    </row>
    <row r="967" spans="2:6" s="149" customFormat="1" outlineLevel="2" x14ac:dyDescent="0.2">
      <c r="B967" s="444" t="s">
        <v>4584</v>
      </c>
      <c r="C967" s="438" t="s">
        <v>1350</v>
      </c>
      <c r="D967" s="151" t="s">
        <v>299</v>
      </c>
      <c r="E967" s="432"/>
      <c r="F967" s="175"/>
    </row>
    <row r="968" spans="2:6" s="149" customFormat="1" outlineLevel="2" x14ac:dyDescent="0.2">
      <c r="B968" s="444" t="s">
        <v>4585</v>
      </c>
      <c r="C968" s="438" t="s">
        <v>1351</v>
      </c>
      <c r="D968" s="151" t="s">
        <v>299</v>
      </c>
      <c r="E968" s="432"/>
      <c r="F968" s="175"/>
    </row>
    <row r="969" spans="2:6" s="149" customFormat="1" outlineLevel="2" x14ac:dyDescent="0.2">
      <c r="B969" s="444" t="s">
        <v>4586</v>
      </c>
      <c r="C969" s="438" t="s">
        <v>1352</v>
      </c>
      <c r="D969" s="151" t="s">
        <v>299</v>
      </c>
      <c r="E969" s="432"/>
      <c r="F969" s="175"/>
    </row>
    <row r="970" spans="2:6" s="149" customFormat="1" outlineLevel="2" x14ac:dyDescent="0.2">
      <c r="B970" s="444" t="s">
        <v>4587</v>
      </c>
      <c r="C970" s="438" t="s">
        <v>1353</v>
      </c>
      <c r="D970" s="151" t="s">
        <v>299</v>
      </c>
      <c r="E970" s="432"/>
      <c r="F970" s="175"/>
    </row>
    <row r="971" spans="2:6" s="149" customFormat="1" outlineLevel="2" x14ac:dyDescent="0.2">
      <c r="B971" s="444" t="s">
        <v>4588</v>
      </c>
      <c r="C971" s="438" t="s">
        <v>1354</v>
      </c>
      <c r="D971" s="151" t="s">
        <v>299</v>
      </c>
      <c r="E971" s="432"/>
      <c r="F971" s="175"/>
    </row>
    <row r="972" spans="2:6" s="30" customFormat="1" outlineLevel="1" x14ac:dyDescent="0.2">
      <c r="B972" s="444" t="s">
        <v>4589</v>
      </c>
      <c r="C972" s="437" t="s">
        <v>1355</v>
      </c>
      <c r="D972" s="147" t="s">
        <v>287</v>
      </c>
      <c r="E972" s="433">
        <f>SUM(E973:E992)</f>
        <v>0</v>
      </c>
      <c r="F972" s="92">
        <f>SUM(F973:F992)</f>
        <v>0</v>
      </c>
    </row>
    <row r="973" spans="2:6" s="149" customFormat="1" outlineLevel="2" x14ac:dyDescent="0.2">
      <c r="B973" s="444" t="s">
        <v>4590</v>
      </c>
      <c r="C973" s="438" t="s">
        <v>1356</v>
      </c>
      <c r="D973" s="151" t="s">
        <v>299</v>
      </c>
      <c r="E973" s="432"/>
      <c r="F973" s="175"/>
    </row>
    <row r="974" spans="2:6" s="149" customFormat="1" outlineLevel="2" x14ac:dyDescent="0.2">
      <c r="B974" s="444" t="s">
        <v>4591</v>
      </c>
      <c r="C974" s="438" t="s">
        <v>1357</v>
      </c>
      <c r="D974" s="151" t="s">
        <v>299</v>
      </c>
      <c r="E974" s="432"/>
      <c r="F974" s="175"/>
    </row>
    <row r="975" spans="2:6" s="149" customFormat="1" outlineLevel="2" x14ac:dyDescent="0.2">
      <c r="B975" s="444" t="s">
        <v>4592</v>
      </c>
      <c r="C975" s="438" t="s">
        <v>1358</v>
      </c>
      <c r="D975" s="151" t="s">
        <v>299</v>
      </c>
      <c r="E975" s="432"/>
      <c r="F975" s="175"/>
    </row>
    <row r="976" spans="2:6" s="149" customFormat="1" outlineLevel="2" x14ac:dyDescent="0.2">
      <c r="B976" s="444" t="s">
        <v>4593</v>
      </c>
      <c r="C976" s="438" t="s">
        <v>1359</v>
      </c>
      <c r="D976" s="151" t="s">
        <v>299</v>
      </c>
      <c r="E976" s="432"/>
      <c r="F976" s="175"/>
    </row>
    <row r="977" spans="2:6" s="149" customFormat="1" outlineLevel="2" x14ac:dyDescent="0.2">
      <c r="B977" s="444" t="s">
        <v>4594</v>
      </c>
      <c r="C977" s="438" t="s">
        <v>1360</v>
      </c>
      <c r="D977" s="151" t="s">
        <v>299</v>
      </c>
      <c r="E977" s="432"/>
      <c r="F977" s="175"/>
    </row>
    <row r="978" spans="2:6" s="149" customFormat="1" outlineLevel="2" x14ac:dyDescent="0.2">
      <c r="B978" s="444" t="s">
        <v>4595</v>
      </c>
      <c r="C978" s="438" t="s">
        <v>1361</v>
      </c>
      <c r="D978" s="151" t="s">
        <v>299</v>
      </c>
      <c r="E978" s="432"/>
      <c r="F978" s="175"/>
    </row>
    <row r="979" spans="2:6" s="149" customFormat="1" outlineLevel="2" x14ac:dyDescent="0.2">
      <c r="B979" s="444" t="s">
        <v>4596</v>
      </c>
      <c r="C979" s="438" t="s">
        <v>1362</v>
      </c>
      <c r="D979" s="151" t="s">
        <v>299</v>
      </c>
      <c r="E979" s="432"/>
      <c r="F979" s="175"/>
    </row>
    <row r="980" spans="2:6" s="149" customFormat="1" outlineLevel="2" x14ac:dyDescent="0.2">
      <c r="B980" s="444" t="s">
        <v>4597</v>
      </c>
      <c r="C980" s="438" t="s">
        <v>1363</v>
      </c>
      <c r="D980" s="151" t="s">
        <v>299</v>
      </c>
      <c r="E980" s="432"/>
      <c r="F980" s="175"/>
    </row>
    <row r="981" spans="2:6" s="149" customFormat="1" outlineLevel="2" x14ac:dyDescent="0.2">
      <c r="B981" s="444" t="s">
        <v>4598</v>
      </c>
      <c r="C981" s="438" t="s">
        <v>1364</v>
      </c>
      <c r="D981" s="151" t="s">
        <v>299</v>
      </c>
      <c r="E981" s="432"/>
      <c r="F981" s="175"/>
    </row>
    <row r="982" spans="2:6" s="149" customFormat="1" outlineLevel="2" x14ac:dyDescent="0.2">
      <c r="B982" s="444" t="s">
        <v>4599</v>
      </c>
      <c r="C982" s="438" t="s">
        <v>1365</v>
      </c>
      <c r="D982" s="151" t="s">
        <v>299</v>
      </c>
      <c r="E982" s="432"/>
      <c r="F982" s="175"/>
    </row>
    <row r="983" spans="2:6" s="149" customFormat="1" outlineLevel="2" x14ac:dyDescent="0.2">
      <c r="B983" s="444" t="s">
        <v>4600</v>
      </c>
      <c r="C983" s="438" t="s">
        <v>1366</v>
      </c>
      <c r="D983" s="151" t="s">
        <v>299</v>
      </c>
      <c r="E983" s="432"/>
      <c r="F983" s="175"/>
    </row>
    <row r="984" spans="2:6" s="149" customFormat="1" outlineLevel="2" x14ac:dyDescent="0.2">
      <c r="B984" s="444" t="s">
        <v>4601</v>
      </c>
      <c r="C984" s="438" t="s">
        <v>1367</v>
      </c>
      <c r="D984" s="151" t="s">
        <v>299</v>
      </c>
      <c r="E984" s="432"/>
      <c r="F984" s="175"/>
    </row>
    <row r="985" spans="2:6" s="149" customFormat="1" outlineLevel="2" x14ac:dyDescent="0.2">
      <c r="B985" s="444" t="s">
        <v>4602</v>
      </c>
      <c r="C985" s="438" t="s">
        <v>1368</v>
      </c>
      <c r="D985" s="151" t="s">
        <v>299</v>
      </c>
      <c r="E985" s="432"/>
      <c r="F985" s="175"/>
    </row>
    <row r="986" spans="2:6" s="149" customFormat="1" outlineLevel="2" x14ac:dyDescent="0.2">
      <c r="B986" s="444" t="s">
        <v>4603</v>
      </c>
      <c r="C986" s="438" t="s">
        <v>1369</v>
      </c>
      <c r="D986" s="151" t="s">
        <v>299</v>
      </c>
      <c r="E986" s="432"/>
      <c r="F986" s="175"/>
    </row>
    <row r="987" spans="2:6" s="149" customFormat="1" outlineLevel="2" x14ac:dyDescent="0.2">
      <c r="B987" s="444" t="s">
        <v>4604</v>
      </c>
      <c r="C987" s="438" t="s">
        <v>1370</v>
      </c>
      <c r="D987" s="151" t="s">
        <v>299</v>
      </c>
      <c r="E987" s="432"/>
      <c r="F987" s="175"/>
    </row>
    <row r="988" spans="2:6" s="149" customFormat="1" outlineLevel="2" x14ac:dyDescent="0.2">
      <c r="B988" s="444" t="s">
        <v>4605</v>
      </c>
      <c r="C988" s="438" t="s">
        <v>1371</v>
      </c>
      <c r="D988" s="151" t="s">
        <v>299</v>
      </c>
      <c r="E988" s="432"/>
      <c r="F988" s="175"/>
    </row>
    <row r="989" spans="2:6" s="149" customFormat="1" outlineLevel="2" x14ac:dyDescent="0.2">
      <c r="B989" s="444" t="s">
        <v>4606</v>
      </c>
      <c r="C989" s="438" t="s">
        <v>1372</v>
      </c>
      <c r="D989" s="151" t="s">
        <v>299</v>
      </c>
      <c r="E989" s="432"/>
      <c r="F989" s="175"/>
    </row>
    <row r="990" spans="2:6" s="149" customFormat="1" outlineLevel="2" x14ac:dyDescent="0.2">
      <c r="B990" s="444" t="s">
        <v>4607</v>
      </c>
      <c r="C990" s="438" t="s">
        <v>1373</v>
      </c>
      <c r="D990" s="151" t="s">
        <v>299</v>
      </c>
      <c r="E990" s="432"/>
      <c r="F990" s="175"/>
    </row>
    <row r="991" spans="2:6" s="149" customFormat="1" outlineLevel="2" x14ac:dyDescent="0.2">
      <c r="B991" s="444" t="s">
        <v>4608</v>
      </c>
      <c r="C991" s="438" t="s">
        <v>1374</v>
      </c>
      <c r="D991" s="151" t="s">
        <v>299</v>
      </c>
      <c r="E991" s="432"/>
      <c r="F991" s="175"/>
    </row>
    <row r="992" spans="2:6" s="149" customFormat="1" outlineLevel="2" x14ac:dyDescent="0.2">
      <c r="B992" s="444" t="s">
        <v>4609</v>
      </c>
      <c r="C992" s="438" t="s">
        <v>1375</v>
      </c>
      <c r="D992" s="151" t="s">
        <v>299</v>
      </c>
      <c r="E992" s="432"/>
      <c r="F992" s="175"/>
    </row>
    <row r="993" spans="2:6" s="30" customFormat="1" outlineLevel="1" x14ac:dyDescent="0.2">
      <c r="B993" s="444" t="s">
        <v>4610</v>
      </c>
      <c r="C993" s="437" t="s">
        <v>1376</v>
      </c>
      <c r="D993" s="147" t="s">
        <v>4655</v>
      </c>
      <c r="E993" s="433">
        <f>SUM(E994:E1013)</f>
        <v>0</v>
      </c>
      <c r="F993" s="92">
        <f>SUM(F994:F1013)</f>
        <v>0</v>
      </c>
    </row>
    <row r="994" spans="2:6" s="149" customFormat="1" outlineLevel="2" x14ac:dyDescent="0.2">
      <c r="B994" s="444" t="s">
        <v>4611</v>
      </c>
      <c r="C994" s="438" t="s">
        <v>1377</v>
      </c>
      <c r="D994" s="151" t="s">
        <v>299</v>
      </c>
      <c r="E994" s="432"/>
      <c r="F994" s="175"/>
    </row>
    <row r="995" spans="2:6" s="149" customFormat="1" outlineLevel="2" x14ac:dyDescent="0.2">
      <c r="B995" s="444" t="s">
        <v>4612</v>
      </c>
      <c r="C995" s="438" t="s">
        <v>1378</v>
      </c>
      <c r="D995" s="151" t="s">
        <v>299</v>
      </c>
      <c r="E995" s="432"/>
      <c r="F995" s="175"/>
    </row>
    <row r="996" spans="2:6" s="149" customFormat="1" outlineLevel="2" x14ac:dyDescent="0.2">
      <c r="B996" s="444" t="s">
        <v>4613</v>
      </c>
      <c r="C996" s="438" t="s">
        <v>1379</v>
      </c>
      <c r="D996" s="151" t="s">
        <v>299</v>
      </c>
      <c r="E996" s="432"/>
      <c r="F996" s="175"/>
    </row>
    <row r="997" spans="2:6" s="149" customFormat="1" outlineLevel="2" x14ac:dyDescent="0.2">
      <c r="B997" s="444" t="s">
        <v>4614</v>
      </c>
      <c r="C997" s="438" t="s">
        <v>1380</v>
      </c>
      <c r="D997" s="151" t="s">
        <v>299</v>
      </c>
      <c r="E997" s="432"/>
      <c r="F997" s="175"/>
    </row>
    <row r="998" spans="2:6" s="149" customFormat="1" outlineLevel="2" x14ac:dyDescent="0.2">
      <c r="B998" s="444" t="s">
        <v>4615</v>
      </c>
      <c r="C998" s="438" t="s">
        <v>1381</v>
      </c>
      <c r="D998" s="151" t="s">
        <v>299</v>
      </c>
      <c r="E998" s="432"/>
      <c r="F998" s="175"/>
    </row>
    <row r="999" spans="2:6" s="149" customFormat="1" outlineLevel="2" x14ac:dyDescent="0.2">
      <c r="B999" s="444" t="s">
        <v>4616</v>
      </c>
      <c r="C999" s="438" t="s">
        <v>1382</v>
      </c>
      <c r="D999" s="151" t="s">
        <v>299</v>
      </c>
      <c r="E999" s="432"/>
      <c r="F999" s="175"/>
    </row>
    <row r="1000" spans="2:6" s="149" customFormat="1" outlineLevel="2" x14ac:dyDescent="0.2">
      <c r="B1000" s="444" t="s">
        <v>4617</v>
      </c>
      <c r="C1000" s="438" t="s">
        <v>1383</v>
      </c>
      <c r="D1000" s="151" t="s">
        <v>299</v>
      </c>
      <c r="E1000" s="432"/>
      <c r="F1000" s="175"/>
    </row>
    <row r="1001" spans="2:6" s="149" customFormat="1" outlineLevel="2" x14ac:dyDescent="0.2">
      <c r="B1001" s="444" t="s">
        <v>4618</v>
      </c>
      <c r="C1001" s="438" t="s">
        <v>1384</v>
      </c>
      <c r="D1001" s="151" t="s">
        <v>299</v>
      </c>
      <c r="E1001" s="432"/>
      <c r="F1001" s="175"/>
    </row>
    <row r="1002" spans="2:6" s="149" customFormat="1" outlineLevel="2" x14ac:dyDescent="0.2">
      <c r="B1002" s="444" t="s">
        <v>4619</v>
      </c>
      <c r="C1002" s="438" t="s">
        <v>1385</v>
      </c>
      <c r="D1002" s="151" t="s">
        <v>299</v>
      </c>
      <c r="E1002" s="432"/>
      <c r="F1002" s="175"/>
    </row>
    <row r="1003" spans="2:6" s="149" customFormat="1" outlineLevel="2" x14ac:dyDescent="0.2">
      <c r="B1003" s="444" t="s">
        <v>4620</v>
      </c>
      <c r="C1003" s="438" t="s">
        <v>1386</v>
      </c>
      <c r="D1003" s="151" t="s">
        <v>299</v>
      </c>
      <c r="E1003" s="432"/>
      <c r="F1003" s="175"/>
    </row>
    <row r="1004" spans="2:6" s="149" customFormat="1" outlineLevel="2" x14ac:dyDescent="0.2">
      <c r="B1004" s="444" t="s">
        <v>4621</v>
      </c>
      <c r="C1004" s="438" t="s">
        <v>1387</v>
      </c>
      <c r="D1004" s="151" t="s">
        <v>299</v>
      </c>
      <c r="E1004" s="432"/>
      <c r="F1004" s="175"/>
    </row>
    <row r="1005" spans="2:6" s="149" customFormat="1" outlineLevel="2" x14ac:dyDescent="0.2">
      <c r="B1005" s="444" t="s">
        <v>4622</v>
      </c>
      <c r="C1005" s="438" t="s">
        <v>1388</v>
      </c>
      <c r="D1005" s="151" t="s">
        <v>299</v>
      </c>
      <c r="E1005" s="432"/>
      <c r="F1005" s="175"/>
    </row>
    <row r="1006" spans="2:6" s="149" customFormat="1" outlineLevel="2" x14ac:dyDescent="0.2">
      <c r="B1006" s="444" t="s">
        <v>4623</v>
      </c>
      <c r="C1006" s="438" t="s">
        <v>1389</v>
      </c>
      <c r="D1006" s="151" t="s">
        <v>299</v>
      </c>
      <c r="E1006" s="432"/>
      <c r="F1006" s="175"/>
    </row>
    <row r="1007" spans="2:6" s="149" customFormat="1" outlineLevel="2" x14ac:dyDescent="0.2">
      <c r="B1007" s="444" t="s">
        <v>4624</v>
      </c>
      <c r="C1007" s="438" t="s">
        <v>1390</v>
      </c>
      <c r="D1007" s="151" t="s">
        <v>299</v>
      </c>
      <c r="E1007" s="432"/>
      <c r="F1007" s="175"/>
    </row>
    <row r="1008" spans="2:6" s="149" customFormat="1" outlineLevel="2" x14ac:dyDescent="0.2">
      <c r="B1008" s="444" t="s">
        <v>4625</v>
      </c>
      <c r="C1008" s="438" t="s">
        <v>1391</v>
      </c>
      <c r="D1008" s="151" t="s">
        <v>299</v>
      </c>
      <c r="E1008" s="432"/>
      <c r="F1008" s="175"/>
    </row>
    <row r="1009" spans="2:6" s="149" customFormat="1" outlineLevel="2" x14ac:dyDescent="0.2">
      <c r="B1009" s="444" t="s">
        <v>4626</v>
      </c>
      <c r="C1009" s="438" t="s">
        <v>1392</v>
      </c>
      <c r="D1009" s="151" t="s">
        <v>299</v>
      </c>
      <c r="E1009" s="432"/>
      <c r="F1009" s="175"/>
    </row>
    <row r="1010" spans="2:6" s="149" customFormat="1" outlineLevel="2" x14ac:dyDescent="0.2">
      <c r="B1010" s="444" t="s">
        <v>3411</v>
      </c>
      <c r="C1010" s="438" t="s">
        <v>1393</v>
      </c>
      <c r="D1010" s="151" t="s">
        <v>299</v>
      </c>
      <c r="E1010" s="432"/>
      <c r="F1010" s="175"/>
    </row>
    <row r="1011" spans="2:6" s="149" customFormat="1" outlineLevel="2" x14ac:dyDescent="0.2">
      <c r="B1011" s="444" t="s">
        <v>3412</v>
      </c>
      <c r="C1011" s="438" t="s">
        <v>1394</v>
      </c>
      <c r="D1011" s="151" t="s">
        <v>299</v>
      </c>
      <c r="E1011" s="432"/>
      <c r="F1011" s="175"/>
    </row>
    <row r="1012" spans="2:6" s="149" customFormat="1" outlineLevel="2" x14ac:dyDescent="0.2">
      <c r="B1012" s="444" t="s">
        <v>3413</v>
      </c>
      <c r="C1012" s="438" t="s">
        <v>1395</v>
      </c>
      <c r="D1012" s="151" t="s">
        <v>299</v>
      </c>
      <c r="E1012" s="432"/>
      <c r="F1012" s="175"/>
    </row>
    <row r="1013" spans="2:6" s="149" customFormat="1" outlineLevel="2" x14ac:dyDescent="0.2">
      <c r="B1013" s="444" t="s">
        <v>3414</v>
      </c>
      <c r="C1013" s="438" t="s">
        <v>1396</v>
      </c>
      <c r="D1013" s="151" t="s">
        <v>299</v>
      </c>
      <c r="E1013" s="432"/>
      <c r="F1013" s="175"/>
    </row>
    <row r="1014" spans="2:6" s="149" customFormat="1" x14ac:dyDescent="0.2">
      <c r="B1014" s="444" t="s">
        <v>3415</v>
      </c>
      <c r="C1014" s="436">
        <v>10.3</v>
      </c>
      <c r="D1014" s="227" t="s">
        <v>293</v>
      </c>
      <c r="E1014" s="431">
        <f>E1015+E1036+E1057+E1078</f>
        <v>0</v>
      </c>
      <c r="F1014" s="209">
        <f>F1015+F1036+F1057+F1078</f>
        <v>0</v>
      </c>
    </row>
    <row r="1015" spans="2:6" s="30" customFormat="1" outlineLevel="1" x14ac:dyDescent="0.2">
      <c r="B1015" s="444" t="s">
        <v>3416</v>
      </c>
      <c r="C1015" s="437" t="s">
        <v>1397</v>
      </c>
      <c r="D1015" s="147" t="s">
        <v>294</v>
      </c>
      <c r="E1015" s="433">
        <f>SUM(E1016:E1035)</f>
        <v>0</v>
      </c>
      <c r="F1015" s="92">
        <f>SUM(F1016:F1035)</f>
        <v>0</v>
      </c>
    </row>
    <row r="1016" spans="2:6" s="149" customFormat="1" outlineLevel="2" x14ac:dyDescent="0.2">
      <c r="B1016" s="444" t="s">
        <v>3417</v>
      </c>
      <c r="C1016" s="438" t="s">
        <v>1398</v>
      </c>
      <c r="D1016" s="151" t="s">
        <v>299</v>
      </c>
      <c r="E1016" s="432"/>
      <c r="F1016" s="175"/>
    </row>
    <row r="1017" spans="2:6" s="149" customFormat="1" outlineLevel="2" x14ac:dyDescent="0.2">
      <c r="B1017" s="444" t="s">
        <v>3418</v>
      </c>
      <c r="C1017" s="438" t="s">
        <v>1399</v>
      </c>
      <c r="D1017" s="151" t="s">
        <v>299</v>
      </c>
      <c r="E1017" s="432"/>
      <c r="F1017" s="175"/>
    </row>
    <row r="1018" spans="2:6" s="149" customFormat="1" outlineLevel="2" x14ac:dyDescent="0.2">
      <c r="B1018" s="444" t="s">
        <v>3419</v>
      </c>
      <c r="C1018" s="438" t="s">
        <v>1400</v>
      </c>
      <c r="D1018" s="151" t="s">
        <v>299</v>
      </c>
      <c r="E1018" s="432"/>
      <c r="F1018" s="175"/>
    </row>
    <row r="1019" spans="2:6" s="149" customFormat="1" outlineLevel="2" x14ac:dyDescent="0.2">
      <c r="B1019" s="444" t="s">
        <v>3420</v>
      </c>
      <c r="C1019" s="438" t="s">
        <v>1401</v>
      </c>
      <c r="D1019" s="151" t="s">
        <v>299</v>
      </c>
      <c r="E1019" s="432"/>
      <c r="F1019" s="175"/>
    </row>
    <row r="1020" spans="2:6" s="149" customFormat="1" outlineLevel="2" x14ac:dyDescent="0.2">
      <c r="B1020" s="444" t="s">
        <v>3421</v>
      </c>
      <c r="C1020" s="438" t="s">
        <v>1402</v>
      </c>
      <c r="D1020" s="151" t="s">
        <v>299</v>
      </c>
      <c r="E1020" s="432"/>
      <c r="F1020" s="175"/>
    </row>
    <row r="1021" spans="2:6" s="149" customFormat="1" outlineLevel="2" x14ac:dyDescent="0.2">
      <c r="B1021" s="444" t="s">
        <v>3422</v>
      </c>
      <c r="C1021" s="438" t="s">
        <v>1403</v>
      </c>
      <c r="D1021" s="151" t="s">
        <v>299</v>
      </c>
      <c r="E1021" s="432"/>
      <c r="F1021" s="175"/>
    </row>
    <row r="1022" spans="2:6" s="149" customFormat="1" outlineLevel="2" x14ac:dyDescent="0.2">
      <c r="B1022" s="444" t="s">
        <v>3423</v>
      </c>
      <c r="C1022" s="438" t="s">
        <v>1404</v>
      </c>
      <c r="D1022" s="151" t="s">
        <v>299</v>
      </c>
      <c r="E1022" s="432"/>
      <c r="F1022" s="175"/>
    </row>
    <row r="1023" spans="2:6" s="149" customFormat="1" outlineLevel="2" x14ac:dyDescent="0.2">
      <c r="B1023" s="444" t="s">
        <v>3424</v>
      </c>
      <c r="C1023" s="438" t="s">
        <v>1405</v>
      </c>
      <c r="D1023" s="151" t="s">
        <v>299</v>
      </c>
      <c r="E1023" s="432"/>
      <c r="F1023" s="175"/>
    </row>
    <row r="1024" spans="2:6" s="149" customFormat="1" outlineLevel="2" x14ac:dyDescent="0.2">
      <c r="B1024" s="444" t="s">
        <v>3425</v>
      </c>
      <c r="C1024" s="438" t="s">
        <v>1406</v>
      </c>
      <c r="D1024" s="151" t="s">
        <v>299</v>
      </c>
      <c r="E1024" s="432"/>
      <c r="F1024" s="175"/>
    </row>
    <row r="1025" spans="2:6" s="149" customFormat="1" outlineLevel="2" x14ac:dyDescent="0.2">
      <c r="B1025" s="444" t="s">
        <v>3426</v>
      </c>
      <c r="C1025" s="438" t="s">
        <v>1407</v>
      </c>
      <c r="D1025" s="151" t="s">
        <v>299</v>
      </c>
      <c r="E1025" s="432"/>
      <c r="F1025" s="175"/>
    </row>
    <row r="1026" spans="2:6" s="149" customFormat="1" outlineLevel="2" x14ac:dyDescent="0.2">
      <c r="B1026" s="444" t="s">
        <v>3427</v>
      </c>
      <c r="C1026" s="438" t="s">
        <v>1408</v>
      </c>
      <c r="D1026" s="151" t="s">
        <v>299</v>
      </c>
      <c r="E1026" s="432"/>
      <c r="F1026" s="175"/>
    </row>
    <row r="1027" spans="2:6" s="149" customFormat="1" outlineLevel="2" x14ac:dyDescent="0.2">
      <c r="B1027" s="444" t="s">
        <v>3428</v>
      </c>
      <c r="C1027" s="438" t="s">
        <v>1409</v>
      </c>
      <c r="D1027" s="151" t="s">
        <v>299</v>
      </c>
      <c r="E1027" s="432"/>
      <c r="F1027" s="175"/>
    </row>
    <row r="1028" spans="2:6" s="149" customFormat="1" outlineLevel="2" x14ac:dyDescent="0.2">
      <c r="B1028" s="444" t="s">
        <v>3429</v>
      </c>
      <c r="C1028" s="438" t="s">
        <v>1410</v>
      </c>
      <c r="D1028" s="151" t="s">
        <v>299</v>
      </c>
      <c r="E1028" s="432"/>
      <c r="F1028" s="175"/>
    </row>
    <row r="1029" spans="2:6" s="149" customFormat="1" outlineLevel="2" x14ac:dyDescent="0.2">
      <c r="B1029" s="444" t="s">
        <v>3430</v>
      </c>
      <c r="C1029" s="438" t="s">
        <v>1411</v>
      </c>
      <c r="D1029" s="151" t="s">
        <v>299</v>
      </c>
      <c r="E1029" s="432"/>
      <c r="F1029" s="175"/>
    </row>
    <row r="1030" spans="2:6" s="149" customFormat="1" outlineLevel="2" x14ac:dyDescent="0.2">
      <c r="B1030" s="444" t="s">
        <v>3431</v>
      </c>
      <c r="C1030" s="438" t="s">
        <v>1412</v>
      </c>
      <c r="D1030" s="151" t="s">
        <v>299</v>
      </c>
      <c r="E1030" s="432"/>
      <c r="F1030" s="175"/>
    </row>
    <row r="1031" spans="2:6" s="149" customFormat="1" outlineLevel="2" x14ac:dyDescent="0.2">
      <c r="B1031" s="444" t="s">
        <v>3432</v>
      </c>
      <c r="C1031" s="438" t="s">
        <v>1413</v>
      </c>
      <c r="D1031" s="151" t="s">
        <v>299</v>
      </c>
      <c r="E1031" s="432"/>
      <c r="F1031" s="175"/>
    </row>
    <row r="1032" spans="2:6" s="149" customFormat="1" outlineLevel="2" x14ac:dyDescent="0.2">
      <c r="B1032" s="444" t="s">
        <v>3433</v>
      </c>
      <c r="C1032" s="438" t="s">
        <v>1414</v>
      </c>
      <c r="D1032" s="151" t="s">
        <v>299</v>
      </c>
      <c r="E1032" s="432"/>
      <c r="F1032" s="175"/>
    </row>
    <row r="1033" spans="2:6" s="149" customFormat="1" outlineLevel="2" x14ac:dyDescent="0.2">
      <c r="B1033" s="444" t="s">
        <v>3434</v>
      </c>
      <c r="C1033" s="438" t="s">
        <v>1415</v>
      </c>
      <c r="D1033" s="151" t="s">
        <v>299</v>
      </c>
      <c r="E1033" s="432"/>
      <c r="F1033" s="175"/>
    </row>
    <row r="1034" spans="2:6" s="149" customFormat="1" outlineLevel="2" x14ac:dyDescent="0.2">
      <c r="B1034" s="444" t="s">
        <v>3435</v>
      </c>
      <c r="C1034" s="438" t="s">
        <v>1416</v>
      </c>
      <c r="D1034" s="151" t="s">
        <v>299</v>
      </c>
      <c r="E1034" s="432"/>
      <c r="F1034" s="175"/>
    </row>
    <row r="1035" spans="2:6" s="149" customFormat="1" outlineLevel="2" x14ac:dyDescent="0.2">
      <c r="B1035" s="444" t="s">
        <v>3436</v>
      </c>
      <c r="C1035" s="438" t="s">
        <v>1417</v>
      </c>
      <c r="D1035" s="151" t="s">
        <v>299</v>
      </c>
      <c r="E1035" s="432"/>
      <c r="F1035" s="175"/>
    </row>
    <row r="1036" spans="2:6" s="30" customFormat="1" outlineLevel="1" x14ac:dyDescent="0.2">
      <c r="B1036" s="444" t="s">
        <v>3437</v>
      </c>
      <c r="C1036" s="437" t="s">
        <v>381</v>
      </c>
      <c r="D1036" s="162" t="s">
        <v>4656</v>
      </c>
      <c r="E1036" s="433">
        <f>SUM(E1037:E1056)</f>
        <v>0</v>
      </c>
      <c r="F1036" s="92">
        <f>SUM(F1037:F1056)</f>
        <v>0</v>
      </c>
    </row>
    <row r="1037" spans="2:6" s="149" customFormat="1" outlineLevel="2" x14ac:dyDescent="0.2">
      <c r="B1037" s="444" t="s">
        <v>3438</v>
      </c>
      <c r="C1037" s="438" t="s">
        <v>1418</v>
      </c>
      <c r="D1037" s="151" t="s">
        <v>299</v>
      </c>
      <c r="E1037" s="432"/>
      <c r="F1037" s="175"/>
    </row>
    <row r="1038" spans="2:6" s="149" customFormat="1" outlineLevel="2" x14ac:dyDescent="0.2">
      <c r="B1038" s="444" t="s">
        <v>3439</v>
      </c>
      <c r="C1038" s="438" t="s">
        <v>1419</v>
      </c>
      <c r="D1038" s="151" t="s">
        <v>299</v>
      </c>
      <c r="E1038" s="432"/>
      <c r="F1038" s="175"/>
    </row>
    <row r="1039" spans="2:6" s="149" customFormat="1" outlineLevel="2" x14ac:dyDescent="0.2">
      <c r="B1039" s="444" t="s">
        <v>3440</v>
      </c>
      <c r="C1039" s="438" t="s">
        <v>1420</v>
      </c>
      <c r="D1039" s="151" t="s">
        <v>299</v>
      </c>
      <c r="E1039" s="432"/>
      <c r="F1039" s="175"/>
    </row>
    <row r="1040" spans="2:6" s="149" customFormat="1" outlineLevel="2" x14ac:dyDescent="0.2">
      <c r="B1040" s="444" t="s">
        <v>3441</v>
      </c>
      <c r="C1040" s="438" t="s">
        <v>1421</v>
      </c>
      <c r="D1040" s="151" t="s">
        <v>299</v>
      </c>
      <c r="E1040" s="432"/>
      <c r="F1040" s="175"/>
    </row>
    <row r="1041" spans="2:6" s="149" customFormat="1" outlineLevel="2" x14ac:dyDescent="0.2">
      <c r="B1041" s="444" t="s">
        <v>3442</v>
      </c>
      <c r="C1041" s="438" t="s">
        <v>1422</v>
      </c>
      <c r="D1041" s="151" t="s">
        <v>299</v>
      </c>
      <c r="E1041" s="432"/>
      <c r="F1041" s="175"/>
    </row>
    <row r="1042" spans="2:6" s="149" customFormat="1" outlineLevel="2" x14ac:dyDescent="0.2">
      <c r="B1042" s="444" t="s">
        <v>3443</v>
      </c>
      <c r="C1042" s="438" t="s">
        <v>1423</v>
      </c>
      <c r="D1042" s="151" t="s">
        <v>299</v>
      </c>
      <c r="E1042" s="432"/>
      <c r="F1042" s="175"/>
    </row>
    <row r="1043" spans="2:6" s="149" customFormat="1" outlineLevel="2" x14ac:dyDescent="0.2">
      <c r="B1043" s="444" t="s">
        <v>3444</v>
      </c>
      <c r="C1043" s="438" t="s">
        <v>1424</v>
      </c>
      <c r="D1043" s="151" t="s">
        <v>299</v>
      </c>
      <c r="E1043" s="432"/>
      <c r="F1043" s="175"/>
    </row>
    <row r="1044" spans="2:6" s="149" customFormat="1" outlineLevel="2" x14ac:dyDescent="0.2">
      <c r="B1044" s="444" t="s">
        <v>3445</v>
      </c>
      <c r="C1044" s="438" t="s">
        <v>1425</v>
      </c>
      <c r="D1044" s="151" t="s">
        <v>299</v>
      </c>
      <c r="E1044" s="432"/>
      <c r="F1044" s="175"/>
    </row>
    <row r="1045" spans="2:6" s="149" customFormat="1" outlineLevel="2" x14ac:dyDescent="0.2">
      <c r="B1045" s="444" t="s">
        <v>3446</v>
      </c>
      <c r="C1045" s="438" t="s">
        <v>1426</v>
      </c>
      <c r="D1045" s="151" t="s">
        <v>299</v>
      </c>
      <c r="E1045" s="432"/>
      <c r="F1045" s="175"/>
    </row>
    <row r="1046" spans="2:6" s="149" customFormat="1" outlineLevel="2" x14ac:dyDescent="0.2">
      <c r="B1046" s="444" t="s">
        <v>3447</v>
      </c>
      <c r="C1046" s="438" t="s">
        <v>1427</v>
      </c>
      <c r="D1046" s="151" t="s">
        <v>299</v>
      </c>
      <c r="E1046" s="432"/>
      <c r="F1046" s="175"/>
    </row>
    <row r="1047" spans="2:6" s="149" customFormat="1" outlineLevel="2" x14ac:dyDescent="0.2">
      <c r="B1047" s="444" t="s">
        <v>3448</v>
      </c>
      <c r="C1047" s="438" t="s">
        <v>1428</v>
      </c>
      <c r="D1047" s="151" t="s">
        <v>299</v>
      </c>
      <c r="E1047" s="432"/>
      <c r="F1047" s="175"/>
    </row>
    <row r="1048" spans="2:6" s="149" customFormat="1" outlineLevel="2" x14ac:dyDescent="0.2">
      <c r="B1048" s="444" t="s">
        <v>3449</v>
      </c>
      <c r="C1048" s="438" t="s">
        <v>1429</v>
      </c>
      <c r="D1048" s="151" t="s">
        <v>299</v>
      </c>
      <c r="E1048" s="432"/>
      <c r="F1048" s="175"/>
    </row>
    <row r="1049" spans="2:6" s="149" customFormat="1" outlineLevel="2" x14ac:dyDescent="0.2">
      <c r="B1049" s="444" t="s">
        <v>3450</v>
      </c>
      <c r="C1049" s="438" t="s">
        <v>1430</v>
      </c>
      <c r="D1049" s="151" t="s">
        <v>299</v>
      </c>
      <c r="E1049" s="432"/>
      <c r="F1049" s="175"/>
    </row>
    <row r="1050" spans="2:6" s="149" customFormat="1" outlineLevel="2" x14ac:dyDescent="0.2">
      <c r="B1050" s="444" t="s">
        <v>3451</v>
      </c>
      <c r="C1050" s="438" t="s">
        <v>1431</v>
      </c>
      <c r="D1050" s="151" t="s">
        <v>299</v>
      </c>
      <c r="E1050" s="432"/>
      <c r="F1050" s="175"/>
    </row>
    <row r="1051" spans="2:6" s="149" customFormat="1" outlineLevel="2" x14ac:dyDescent="0.2">
      <c r="B1051" s="444" t="s">
        <v>3452</v>
      </c>
      <c r="C1051" s="438" t="s">
        <v>1432</v>
      </c>
      <c r="D1051" s="151" t="s">
        <v>299</v>
      </c>
      <c r="E1051" s="432"/>
      <c r="F1051" s="175"/>
    </row>
    <row r="1052" spans="2:6" s="149" customFormat="1" outlineLevel="2" x14ac:dyDescent="0.2">
      <c r="B1052" s="444" t="s">
        <v>3453</v>
      </c>
      <c r="C1052" s="438" t="s">
        <v>1433</v>
      </c>
      <c r="D1052" s="151" t="s">
        <v>299</v>
      </c>
      <c r="E1052" s="432"/>
      <c r="F1052" s="175"/>
    </row>
    <row r="1053" spans="2:6" s="149" customFormat="1" outlineLevel="2" x14ac:dyDescent="0.2">
      <c r="B1053" s="444" t="s">
        <v>3454</v>
      </c>
      <c r="C1053" s="438" t="s">
        <v>1434</v>
      </c>
      <c r="D1053" s="151" t="s">
        <v>299</v>
      </c>
      <c r="E1053" s="432"/>
      <c r="F1053" s="175"/>
    </row>
    <row r="1054" spans="2:6" s="149" customFormat="1" outlineLevel="2" x14ac:dyDescent="0.2">
      <c r="B1054" s="444" t="s">
        <v>3455</v>
      </c>
      <c r="C1054" s="438" t="s">
        <v>1435</v>
      </c>
      <c r="D1054" s="151" t="s">
        <v>299</v>
      </c>
      <c r="E1054" s="432"/>
      <c r="F1054" s="175"/>
    </row>
    <row r="1055" spans="2:6" s="149" customFormat="1" outlineLevel="2" x14ac:dyDescent="0.2">
      <c r="B1055" s="444" t="s">
        <v>3456</v>
      </c>
      <c r="C1055" s="438" t="s">
        <v>1436</v>
      </c>
      <c r="D1055" s="151" t="s">
        <v>299</v>
      </c>
      <c r="E1055" s="432"/>
      <c r="F1055" s="175"/>
    </row>
    <row r="1056" spans="2:6" s="149" customFormat="1" outlineLevel="2" x14ac:dyDescent="0.2">
      <c r="B1056" s="444" t="s">
        <v>3457</v>
      </c>
      <c r="C1056" s="438" t="s">
        <v>1437</v>
      </c>
      <c r="D1056" s="151" t="s">
        <v>299</v>
      </c>
      <c r="E1056" s="432"/>
      <c r="F1056" s="175"/>
    </row>
    <row r="1057" spans="2:6" s="30" customFormat="1" outlineLevel="1" x14ac:dyDescent="0.2">
      <c r="B1057" s="444" t="s">
        <v>3458</v>
      </c>
      <c r="C1057" s="437" t="s">
        <v>382</v>
      </c>
      <c r="D1057" s="147" t="s">
        <v>295</v>
      </c>
      <c r="E1057" s="433">
        <f>SUM(E1058:E1077)</f>
        <v>0</v>
      </c>
      <c r="F1057" s="92">
        <f>SUM(F1058:F1077)</f>
        <v>0</v>
      </c>
    </row>
    <row r="1058" spans="2:6" s="149" customFormat="1" outlineLevel="2" x14ac:dyDescent="0.2">
      <c r="B1058" s="444" t="s">
        <v>3459</v>
      </c>
      <c r="C1058" s="438" t="s">
        <v>1438</v>
      </c>
      <c r="D1058" s="151" t="s">
        <v>299</v>
      </c>
      <c r="E1058" s="432"/>
      <c r="F1058" s="175"/>
    </row>
    <row r="1059" spans="2:6" s="149" customFormat="1" outlineLevel="2" x14ac:dyDescent="0.2">
      <c r="B1059" s="444" t="s">
        <v>3460</v>
      </c>
      <c r="C1059" s="438" t="s">
        <v>1439</v>
      </c>
      <c r="D1059" s="151" t="s">
        <v>299</v>
      </c>
      <c r="E1059" s="432"/>
      <c r="F1059" s="175"/>
    </row>
    <row r="1060" spans="2:6" s="149" customFormat="1" outlineLevel="2" x14ac:dyDescent="0.2">
      <c r="B1060" s="444" t="s">
        <v>3461</v>
      </c>
      <c r="C1060" s="438" t="s">
        <v>1440</v>
      </c>
      <c r="D1060" s="151" t="s">
        <v>299</v>
      </c>
      <c r="E1060" s="432"/>
      <c r="F1060" s="175"/>
    </row>
    <row r="1061" spans="2:6" s="149" customFormat="1" outlineLevel="2" x14ac:dyDescent="0.2">
      <c r="B1061" s="444" t="s">
        <v>3462</v>
      </c>
      <c r="C1061" s="438" t="s">
        <v>1441</v>
      </c>
      <c r="D1061" s="151" t="s">
        <v>299</v>
      </c>
      <c r="E1061" s="432"/>
      <c r="F1061" s="175"/>
    </row>
    <row r="1062" spans="2:6" s="149" customFormat="1" outlineLevel="2" x14ac:dyDescent="0.2">
      <c r="B1062" s="444" t="s">
        <v>3463</v>
      </c>
      <c r="C1062" s="438" t="s">
        <v>1442</v>
      </c>
      <c r="D1062" s="151" t="s">
        <v>299</v>
      </c>
      <c r="E1062" s="432"/>
      <c r="F1062" s="175"/>
    </row>
    <row r="1063" spans="2:6" s="149" customFormat="1" outlineLevel="2" x14ac:dyDescent="0.2">
      <c r="B1063" s="444" t="s">
        <v>3464</v>
      </c>
      <c r="C1063" s="438" t="s">
        <v>1443</v>
      </c>
      <c r="D1063" s="151" t="s">
        <v>299</v>
      </c>
      <c r="E1063" s="432"/>
      <c r="F1063" s="175"/>
    </row>
    <row r="1064" spans="2:6" s="149" customFormat="1" outlineLevel="2" x14ac:dyDescent="0.2">
      <c r="B1064" s="444" t="s">
        <v>3465</v>
      </c>
      <c r="C1064" s="438" t="s">
        <v>1444</v>
      </c>
      <c r="D1064" s="151" t="s">
        <v>299</v>
      </c>
      <c r="E1064" s="432"/>
      <c r="F1064" s="175"/>
    </row>
    <row r="1065" spans="2:6" s="149" customFormat="1" outlineLevel="2" x14ac:dyDescent="0.2">
      <c r="B1065" s="444" t="s">
        <v>3466</v>
      </c>
      <c r="C1065" s="438" t="s">
        <v>1445</v>
      </c>
      <c r="D1065" s="151" t="s">
        <v>299</v>
      </c>
      <c r="E1065" s="432"/>
      <c r="F1065" s="175"/>
    </row>
    <row r="1066" spans="2:6" s="149" customFormat="1" outlineLevel="2" x14ac:dyDescent="0.2">
      <c r="B1066" s="444" t="s">
        <v>3467</v>
      </c>
      <c r="C1066" s="438" t="s">
        <v>1446</v>
      </c>
      <c r="D1066" s="151" t="s">
        <v>299</v>
      </c>
      <c r="E1066" s="432"/>
      <c r="F1066" s="175"/>
    </row>
    <row r="1067" spans="2:6" s="149" customFormat="1" outlineLevel="2" x14ac:dyDescent="0.2">
      <c r="B1067" s="444" t="s">
        <v>3468</v>
      </c>
      <c r="C1067" s="438" t="s">
        <v>1447</v>
      </c>
      <c r="D1067" s="151" t="s">
        <v>299</v>
      </c>
      <c r="E1067" s="432"/>
      <c r="F1067" s="175"/>
    </row>
    <row r="1068" spans="2:6" s="149" customFormat="1" outlineLevel="2" x14ac:dyDescent="0.2">
      <c r="B1068" s="444" t="s">
        <v>3469</v>
      </c>
      <c r="C1068" s="438" t="s">
        <v>1448</v>
      </c>
      <c r="D1068" s="151" t="s">
        <v>299</v>
      </c>
      <c r="E1068" s="432"/>
      <c r="F1068" s="175"/>
    </row>
    <row r="1069" spans="2:6" s="149" customFormat="1" outlineLevel="2" x14ac:dyDescent="0.2">
      <c r="B1069" s="444" t="s">
        <v>3470</v>
      </c>
      <c r="C1069" s="438" t="s">
        <v>1449</v>
      </c>
      <c r="D1069" s="151" t="s">
        <v>299</v>
      </c>
      <c r="E1069" s="432"/>
      <c r="F1069" s="175"/>
    </row>
    <row r="1070" spans="2:6" s="149" customFormat="1" outlineLevel="2" x14ac:dyDescent="0.2">
      <c r="B1070" s="444" t="s">
        <v>3471</v>
      </c>
      <c r="C1070" s="438" t="s">
        <v>1450</v>
      </c>
      <c r="D1070" s="151" t="s">
        <v>299</v>
      </c>
      <c r="E1070" s="432"/>
      <c r="F1070" s="175"/>
    </row>
    <row r="1071" spans="2:6" s="149" customFormat="1" outlineLevel="2" x14ac:dyDescent="0.2">
      <c r="B1071" s="444" t="s">
        <v>3472</v>
      </c>
      <c r="C1071" s="438" t="s">
        <v>1451</v>
      </c>
      <c r="D1071" s="151" t="s">
        <v>299</v>
      </c>
      <c r="E1071" s="432"/>
      <c r="F1071" s="175"/>
    </row>
    <row r="1072" spans="2:6" s="149" customFormat="1" outlineLevel="2" x14ac:dyDescent="0.2">
      <c r="B1072" s="444" t="s">
        <v>3473</v>
      </c>
      <c r="C1072" s="438" t="s">
        <v>1452</v>
      </c>
      <c r="D1072" s="151" t="s">
        <v>299</v>
      </c>
      <c r="E1072" s="432"/>
      <c r="F1072" s="175"/>
    </row>
    <row r="1073" spans="2:6" s="149" customFormat="1" outlineLevel="2" x14ac:dyDescent="0.2">
      <c r="B1073" s="444" t="s">
        <v>3474</v>
      </c>
      <c r="C1073" s="438" t="s">
        <v>1453</v>
      </c>
      <c r="D1073" s="151" t="s">
        <v>299</v>
      </c>
      <c r="E1073" s="432"/>
      <c r="F1073" s="175"/>
    </row>
    <row r="1074" spans="2:6" s="149" customFormat="1" outlineLevel="2" x14ac:dyDescent="0.2">
      <c r="B1074" s="444" t="s">
        <v>3475</v>
      </c>
      <c r="C1074" s="438" t="s">
        <v>1454</v>
      </c>
      <c r="D1074" s="151" t="s">
        <v>299</v>
      </c>
      <c r="E1074" s="432"/>
      <c r="F1074" s="175"/>
    </row>
    <row r="1075" spans="2:6" s="149" customFormat="1" outlineLevel="2" x14ac:dyDescent="0.2">
      <c r="B1075" s="444" t="s">
        <v>3476</v>
      </c>
      <c r="C1075" s="438" t="s">
        <v>1455</v>
      </c>
      <c r="D1075" s="151" t="s">
        <v>299</v>
      </c>
      <c r="E1075" s="432"/>
      <c r="F1075" s="175"/>
    </row>
    <row r="1076" spans="2:6" s="149" customFormat="1" outlineLevel="2" x14ac:dyDescent="0.2">
      <c r="B1076" s="444" t="s">
        <v>3477</v>
      </c>
      <c r="C1076" s="438" t="s">
        <v>1456</v>
      </c>
      <c r="D1076" s="151" t="s">
        <v>299</v>
      </c>
      <c r="E1076" s="432"/>
      <c r="F1076" s="175"/>
    </row>
    <row r="1077" spans="2:6" s="149" customFormat="1" outlineLevel="2" x14ac:dyDescent="0.2">
      <c r="B1077" s="444" t="s">
        <v>3478</v>
      </c>
      <c r="C1077" s="438" t="s">
        <v>1457</v>
      </c>
      <c r="D1077" s="151" t="s">
        <v>299</v>
      </c>
      <c r="E1077" s="432"/>
      <c r="F1077" s="175"/>
    </row>
    <row r="1078" spans="2:6" s="30" customFormat="1" outlineLevel="1" x14ac:dyDescent="0.2">
      <c r="B1078" s="444" t="s">
        <v>3479</v>
      </c>
      <c r="C1078" s="437" t="s">
        <v>383</v>
      </c>
      <c r="D1078" s="147" t="s">
        <v>4657</v>
      </c>
      <c r="E1078" s="433">
        <f>SUM(E1079:E1098)</f>
        <v>0</v>
      </c>
      <c r="F1078" s="92">
        <f>SUM(F1079:F1098)</f>
        <v>0</v>
      </c>
    </row>
    <row r="1079" spans="2:6" s="149" customFormat="1" outlineLevel="2" x14ac:dyDescent="0.2">
      <c r="B1079" s="444" t="s">
        <v>3480</v>
      </c>
      <c r="C1079" s="438" t="s">
        <v>1458</v>
      </c>
      <c r="D1079" s="151" t="s">
        <v>299</v>
      </c>
      <c r="E1079" s="432"/>
      <c r="F1079" s="175"/>
    </row>
    <row r="1080" spans="2:6" s="149" customFormat="1" outlineLevel="2" x14ac:dyDescent="0.2">
      <c r="B1080" s="444" t="s">
        <v>3481</v>
      </c>
      <c r="C1080" s="438" t="s">
        <v>1459</v>
      </c>
      <c r="D1080" s="151" t="s">
        <v>299</v>
      </c>
      <c r="E1080" s="432"/>
      <c r="F1080" s="175"/>
    </row>
    <row r="1081" spans="2:6" s="149" customFormat="1" outlineLevel="2" x14ac:dyDescent="0.2">
      <c r="B1081" s="444" t="s">
        <v>3482</v>
      </c>
      <c r="C1081" s="438" t="s">
        <v>1460</v>
      </c>
      <c r="D1081" s="151" t="s">
        <v>299</v>
      </c>
      <c r="E1081" s="432"/>
      <c r="F1081" s="175"/>
    </row>
    <row r="1082" spans="2:6" s="149" customFormat="1" outlineLevel="2" x14ac:dyDescent="0.2">
      <c r="B1082" s="444" t="s">
        <v>3483</v>
      </c>
      <c r="C1082" s="438" t="s">
        <v>1461</v>
      </c>
      <c r="D1082" s="151" t="s">
        <v>299</v>
      </c>
      <c r="E1082" s="432"/>
      <c r="F1082" s="175"/>
    </row>
    <row r="1083" spans="2:6" s="149" customFormat="1" outlineLevel="2" x14ac:dyDescent="0.2">
      <c r="B1083" s="444" t="s">
        <v>3484</v>
      </c>
      <c r="C1083" s="438" t="s">
        <v>1462</v>
      </c>
      <c r="D1083" s="151" t="s">
        <v>299</v>
      </c>
      <c r="E1083" s="432"/>
      <c r="F1083" s="175"/>
    </row>
    <row r="1084" spans="2:6" s="149" customFormat="1" outlineLevel="2" x14ac:dyDescent="0.2">
      <c r="B1084" s="444" t="s">
        <v>3485</v>
      </c>
      <c r="C1084" s="438" t="s">
        <v>1463</v>
      </c>
      <c r="D1084" s="151" t="s">
        <v>299</v>
      </c>
      <c r="E1084" s="432"/>
      <c r="F1084" s="175"/>
    </row>
    <row r="1085" spans="2:6" s="149" customFormat="1" outlineLevel="2" x14ac:dyDescent="0.2">
      <c r="B1085" s="444" t="s">
        <v>3486</v>
      </c>
      <c r="C1085" s="438" t="s">
        <v>1464</v>
      </c>
      <c r="D1085" s="151" t="s">
        <v>299</v>
      </c>
      <c r="E1085" s="432"/>
      <c r="F1085" s="175"/>
    </row>
    <row r="1086" spans="2:6" s="149" customFormat="1" outlineLevel="2" x14ac:dyDescent="0.2">
      <c r="B1086" s="444" t="s">
        <v>3487</v>
      </c>
      <c r="C1086" s="438" t="s">
        <v>1465</v>
      </c>
      <c r="D1086" s="151" t="s">
        <v>299</v>
      </c>
      <c r="E1086" s="432"/>
      <c r="F1086" s="175"/>
    </row>
    <row r="1087" spans="2:6" s="149" customFormat="1" outlineLevel="2" x14ac:dyDescent="0.2">
      <c r="B1087" s="444" t="s">
        <v>3488</v>
      </c>
      <c r="C1087" s="438" t="s">
        <v>1466</v>
      </c>
      <c r="D1087" s="151" t="s">
        <v>299</v>
      </c>
      <c r="E1087" s="432"/>
      <c r="F1087" s="175"/>
    </row>
    <row r="1088" spans="2:6" s="149" customFormat="1" outlineLevel="2" x14ac:dyDescent="0.2">
      <c r="B1088" s="444" t="s">
        <v>3489</v>
      </c>
      <c r="C1088" s="438" t="s">
        <v>1467</v>
      </c>
      <c r="D1088" s="151" t="s">
        <v>299</v>
      </c>
      <c r="E1088" s="432"/>
      <c r="F1088" s="175"/>
    </row>
    <row r="1089" spans="2:6" s="149" customFormat="1" outlineLevel="2" x14ac:dyDescent="0.2">
      <c r="B1089" s="444" t="s">
        <v>3490</v>
      </c>
      <c r="C1089" s="438" t="s">
        <v>1468</v>
      </c>
      <c r="D1089" s="151" t="s">
        <v>299</v>
      </c>
      <c r="E1089" s="432"/>
      <c r="F1089" s="175"/>
    </row>
    <row r="1090" spans="2:6" s="149" customFormat="1" outlineLevel="2" x14ac:dyDescent="0.2">
      <c r="B1090" s="444" t="s">
        <v>3491</v>
      </c>
      <c r="C1090" s="438" t="s">
        <v>1469</v>
      </c>
      <c r="D1090" s="151" t="s">
        <v>299</v>
      </c>
      <c r="E1090" s="432"/>
      <c r="F1090" s="175"/>
    </row>
    <row r="1091" spans="2:6" s="149" customFormat="1" outlineLevel="2" x14ac:dyDescent="0.2">
      <c r="B1091" s="444" t="s">
        <v>3492</v>
      </c>
      <c r="C1091" s="438" t="s">
        <v>1470</v>
      </c>
      <c r="D1091" s="151" t="s">
        <v>299</v>
      </c>
      <c r="E1091" s="432"/>
      <c r="F1091" s="175"/>
    </row>
    <row r="1092" spans="2:6" s="149" customFormat="1" outlineLevel="2" x14ac:dyDescent="0.2">
      <c r="B1092" s="444" t="s">
        <v>3493</v>
      </c>
      <c r="C1092" s="438" t="s">
        <v>1471</v>
      </c>
      <c r="D1092" s="151" t="s">
        <v>299</v>
      </c>
      <c r="E1092" s="432"/>
      <c r="F1092" s="175"/>
    </row>
    <row r="1093" spans="2:6" s="149" customFormat="1" outlineLevel="2" x14ac:dyDescent="0.2">
      <c r="B1093" s="444" t="s">
        <v>3494</v>
      </c>
      <c r="C1093" s="438" t="s">
        <v>1472</v>
      </c>
      <c r="D1093" s="151" t="s">
        <v>299</v>
      </c>
      <c r="E1093" s="432"/>
      <c r="F1093" s="175"/>
    </row>
    <row r="1094" spans="2:6" s="149" customFormat="1" outlineLevel="2" x14ac:dyDescent="0.2">
      <c r="B1094" s="444" t="s">
        <v>3495</v>
      </c>
      <c r="C1094" s="438" t="s">
        <v>1473</v>
      </c>
      <c r="D1094" s="151" t="s">
        <v>299</v>
      </c>
      <c r="E1094" s="432"/>
      <c r="F1094" s="175"/>
    </row>
    <row r="1095" spans="2:6" s="149" customFormat="1" outlineLevel="2" x14ac:dyDescent="0.2">
      <c r="B1095" s="444" t="s">
        <v>3496</v>
      </c>
      <c r="C1095" s="438" t="s">
        <v>1474</v>
      </c>
      <c r="D1095" s="151" t="s">
        <v>299</v>
      </c>
      <c r="E1095" s="432"/>
      <c r="F1095" s="175"/>
    </row>
    <row r="1096" spans="2:6" s="149" customFormat="1" outlineLevel="2" x14ac:dyDescent="0.2">
      <c r="B1096" s="444" t="s">
        <v>3497</v>
      </c>
      <c r="C1096" s="438" t="s">
        <v>1475</v>
      </c>
      <c r="D1096" s="151" t="s">
        <v>299</v>
      </c>
      <c r="E1096" s="432"/>
      <c r="F1096" s="175"/>
    </row>
    <row r="1097" spans="2:6" s="149" customFormat="1" outlineLevel="2" x14ac:dyDescent="0.2">
      <c r="B1097" s="444" t="s">
        <v>3498</v>
      </c>
      <c r="C1097" s="438" t="s">
        <v>1476</v>
      </c>
      <c r="D1097" s="151" t="s">
        <v>299</v>
      </c>
      <c r="E1097" s="432"/>
      <c r="F1097" s="175"/>
    </row>
    <row r="1098" spans="2:6" s="149" customFormat="1" outlineLevel="2" x14ac:dyDescent="0.2">
      <c r="B1098" s="444" t="s">
        <v>3499</v>
      </c>
      <c r="C1098" s="438" t="s">
        <v>1477</v>
      </c>
      <c r="D1098" s="151" t="s">
        <v>299</v>
      </c>
      <c r="E1098" s="432"/>
      <c r="F1098" s="175"/>
    </row>
    <row r="1099" spans="2:6" s="149" customFormat="1" x14ac:dyDescent="0.2">
      <c r="B1099" s="444" t="s">
        <v>3500</v>
      </c>
      <c r="C1099" s="436">
        <v>10.4</v>
      </c>
      <c r="D1099" s="227" t="s">
        <v>283</v>
      </c>
      <c r="E1099" s="431">
        <f>E1100+E1121+E1142+E1163</f>
        <v>0</v>
      </c>
      <c r="F1099" s="209">
        <f>F1100+F1121+F1142+F1163</f>
        <v>0</v>
      </c>
    </row>
    <row r="1100" spans="2:6" s="30" customFormat="1" outlineLevel="1" x14ac:dyDescent="0.2">
      <c r="B1100" s="444" t="s">
        <v>3501</v>
      </c>
      <c r="C1100" s="437" t="s">
        <v>1478</v>
      </c>
      <c r="D1100" s="147" t="s">
        <v>288</v>
      </c>
      <c r="E1100" s="433">
        <f>SUM(E1101:E1120)</f>
        <v>0</v>
      </c>
      <c r="F1100" s="92">
        <f>SUM(F1101:F1120)</f>
        <v>0</v>
      </c>
    </row>
    <row r="1101" spans="2:6" s="149" customFormat="1" outlineLevel="2" x14ac:dyDescent="0.2">
      <c r="B1101" s="444" t="s">
        <v>3502</v>
      </c>
      <c r="C1101" s="438" t="s">
        <v>1479</v>
      </c>
      <c r="D1101" s="151" t="s">
        <v>299</v>
      </c>
      <c r="E1101" s="432"/>
      <c r="F1101" s="175"/>
    </row>
    <row r="1102" spans="2:6" s="149" customFormat="1" outlineLevel="2" x14ac:dyDescent="0.2">
      <c r="B1102" s="444" t="s">
        <v>3503</v>
      </c>
      <c r="C1102" s="438" t="s">
        <v>1480</v>
      </c>
      <c r="D1102" s="151" t="s">
        <v>299</v>
      </c>
      <c r="E1102" s="432"/>
      <c r="F1102" s="175"/>
    </row>
    <row r="1103" spans="2:6" s="149" customFormat="1" outlineLevel="2" x14ac:dyDescent="0.2">
      <c r="B1103" s="444" t="s">
        <v>3504</v>
      </c>
      <c r="C1103" s="438" t="s">
        <v>1481</v>
      </c>
      <c r="D1103" s="151" t="s">
        <v>299</v>
      </c>
      <c r="E1103" s="432"/>
      <c r="F1103" s="175"/>
    </row>
    <row r="1104" spans="2:6" s="149" customFormat="1" outlineLevel="2" x14ac:dyDescent="0.2">
      <c r="B1104" s="444" t="s">
        <v>3505</v>
      </c>
      <c r="C1104" s="438" t="s">
        <v>1482</v>
      </c>
      <c r="D1104" s="151" t="s">
        <v>299</v>
      </c>
      <c r="E1104" s="432"/>
      <c r="F1104" s="175"/>
    </row>
    <row r="1105" spans="2:6" s="149" customFormat="1" outlineLevel="2" x14ac:dyDescent="0.2">
      <c r="B1105" s="444" t="s">
        <v>3506</v>
      </c>
      <c r="C1105" s="438" t="s">
        <v>1483</v>
      </c>
      <c r="D1105" s="151" t="s">
        <v>299</v>
      </c>
      <c r="E1105" s="432"/>
      <c r="F1105" s="175"/>
    </row>
    <row r="1106" spans="2:6" s="149" customFormat="1" outlineLevel="2" x14ac:dyDescent="0.2">
      <c r="B1106" s="444" t="s">
        <v>3507</v>
      </c>
      <c r="C1106" s="438" t="s">
        <v>1484</v>
      </c>
      <c r="D1106" s="151" t="s">
        <v>299</v>
      </c>
      <c r="E1106" s="432"/>
      <c r="F1106" s="175"/>
    </row>
    <row r="1107" spans="2:6" s="149" customFormat="1" outlineLevel="2" x14ac:dyDescent="0.2">
      <c r="B1107" s="444" t="s">
        <v>3508</v>
      </c>
      <c r="C1107" s="438" t="s">
        <v>1485</v>
      </c>
      <c r="D1107" s="151" t="s">
        <v>299</v>
      </c>
      <c r="E1107" s="432"/>
      <c r="F1107" s="175"/>
    </row>
    <row r="1108" spans="2:6" s="149" customFormat="1" outlineLevel="2" x14ac:dyDescent="0.2">
      <c r="B1108" s="444" t="s">
        <v>3509</v>
      </c>
      <c r="C1108" s="438" t="s">
        <v>1486</v>
      </c>
      <c r="D1108" s="151" t="s">
        <v>299</v>
      </c>
      <c r="E1108" s="432"/>
      <c r="F1108" s="175"/>
    </row>
    <row r="1109" spans="2:6" s="149" customFormat="1" outlineLevel="2" x14ac:dyDescent="0.2">
      <c r="B1109" s="444" t="s">
        <v>3510</v>
      </c>
      <c r="C1109" s="438" t="s">
        <v>1487</v>
      </c>
      <c r="D1109" s="151" t="s">
        <v>299</v>
      </c>
      <c r="E1109" s="432"/>
      <c r="F1109" s="175"/>
    </row>
    <row r="1110" spans="2:6" s="149" customFormat="1" outlineLevel="2" x14ac:dyDescent="0.2">
      <c r="B1110" s="444" t="s">
        <v>3511</v>
      </c>
      <c r="C1110" s="438" t="s">
        <v>1488</v>
      </c>
      <c r="D1110" s="151" t="s">
        <v>299</v>
      </c>
      <c r="E1110" s="432"/>
      <c r="F1110" s="175"/>
    </row>
    <row r="1111" spans="2:6" s="149" customFormat="1" outlineLevel="2" x14ac:dyDescent="0.2">
      <c r="B1111" s="444" t="s">
        <v>3512</v>
      </c>
      <c r="C1111" s="438" t="s">
        <v>1489</v>
      </c>
      <c r="D1111" s="151" t="s">
        <v>299</v>
      </c>
      <c r="E1111" s="432"/>
      <c r="F1111" s="175"/>
    </row>
    <row r="1112" spans="2:6" s="149" customFormat="1" outlineLevel="2" x14ac:dyDescent="0.2">
      <c r="B1112" s="444" t="s">
        <v>3513</v>
      </c>
      <c r="C1112" s="438" t="s">
        <v>1490</v>
      </c>
      <c r="D1112" s="151" t="s">
        <v>299</v>
      </c>
      <c r="E1112" s="432"/>
      <c r="F1112" s="175"/>
    </row>
    <row r="1113" spans="2:6" s="149" customFormat="1" outlineLevel="2" x14ac:dyDescent="0.2">
      <c r="B1113" s="444" t="s">
        <v>3514</v>
      </c>
      <c r="C1113" s="438" t="s">
        <v>1491</v>
      </c>
      <c r="D1113" s="151" t="s">
        <v>299</v>
      </c>
      <c r="E1113" s="432"/>
      <c r="F1113" s="175"/>
    </row>
    <row r="1114" spans="2:6" s="149" customFormat="1" outlineLevel="2" x14ac:dyDescent="0.2">
      <c r="B1114" s="444" t="s">
        <v>3515</v>
      </c>
      <c r="C1114" s="438" t="s">
        <v>1492</v>
      </c>
      <c r="D1114" s="151" t="s">
        <v>299</v>
      </c>
      <c r="E1114" s="432"/>
      <c r="F1114" s="175"/>
    </row>
    <row r="1115" spans="2:6" s="149" customFormat="1" outlineLevel="2" x14ac:dyDescent="0.2">
      <c r="B1115" s="444" t="s">
        <v>3516</v>
      </c>
      <c r="C1115" s="438" t="s">
        <v>1493</v>
      </c>
      <c r="D1115" s="151" t="s">
        <v>299</v>
      </c>
      <c r="E1115" s="432"/>
      <c r="F1115" s="175"/>
    </row>
    <row r="1116" spans="2:6" s="149" customFormat="1" outlineLevel="2" x14ac:dyDescent="0.2">
      <c r="B1116" s="444" t="s">
        <v>3517</v>
      </c>
      <c r="C1116" s="438" t="s">
        <v>1494</v>
      </c>
      <c r="D1116" s="151" t="s">
        <v>299</v>
      </c>
      <c r="E1116" s="432"/>
      <c r="F1116" s="175"/>
    </row>
    <row r="1117" spans="2:6" s="149" customFormat="1" outlineLevel="2" x14ac:dyDescent="0.2">
      <c r="B1117" s="444" t="s">
        <v>3518</v>
      </c>
      <c r="C1117" s="438" t="s">
        <v>1495</v>
      </c>
      <c r="D1117" s="151" t="s">
        <v>299</v>
      </c>
      <c r="E1117" s="432"/>
      <c r="F1117" s="175"/>
    </row>
    <row r="1118" spans="2:6" s="149" customFormat="1" outlineLevel="2" x14ac:dyDescent="0.2">
      <c r="B1118" s="444" t="s">
        <v>3519</v>
      </c>
      <c r="C1118" s="438" t="s">
        <v>1496</v>
      </c>
      <c r="D1118" s="151" t="s">
        <v>299</v>
      </c>
      <c r="E1118" s="432"/>
      <c r="F1118" s="175"/>
    </row>
    <row r="1119" spans="2:6" s="149" customFormat="1" outlineLevel="2" x14ac:dyDescent="0.2">
      <c r="B1119" s="444" t="s">
        <v>3520</v>
      </c>
      <c r="C1119" s="438" t="s">
        <v>1497</v>
      </c>
      <c r="D1119" s="151" t="s">
        <v>299</v>
      </c>
      <c r="E1119" s="432"/>
      <c r="F1119" s="175"/>
    </row>
    <row r="1120" spans="2:6" s="149" customFormat="1" outlineLevel="2" x14ac:dyDescent="0.2">
      <c r="B1120" s="444" t="s">
        <v>3521</v>
      </c>
      <c r="C1120" s="438" t="s">
        <v>1498</v>
      </c>
      <c r="D1120" s="151" t="s">
        <v>299</v>
      </c>
      <c r="E1120" s="432"/>
      <c r="F1120" s="175"/>
    </row>
    <row r="1121" spans="2:6" s="30" customFormat="1" outlineLevel="1" x14ac:dyDescent="0.2">
      <c r="B1121" s="444" t="s">
        <v>3522</v>
      </c>
      <c r="C1121" s="437" t="s">
        <v>1499</v>
      </c>
      <c r="D1121" s="147" t="s">
        <v>4658</v>
      </c>
      <c r="E1121" s="433">
        <f>SUM(E1122:E1141)</f>
        <v>0</v>
      </c>
      <c r="F1121" s="92">
        <f>SUM(F1122:F1141)</f>
        <v>0</v>
      </c>
    </row>
    <row r="1122" spans="2:6" s="149" customFormat="1" outlineLevel="2" x14ac:dyDescent="0.2">
      <c r="B1122" s="444" t="s">
        <v>3523</v>
      </c>
      <c r="C1122" s="438" t="s">
        <v>1500</v>
      </c>
      <c r="D1122" s="151" t="s">
        <v>299</v>
      </c>
      <c r="E1122" s="432"/>
      <c r="F1122" s="175"/>
    </row>
    <row r="1123" spans="2:6" s="149" customFormat="1" outlineLevel="2" x14ac:dyDescent="0.2">
      <c r="B1123" s="444" t="s">
        <v>3524</v>
      </c>
      <c r="C1123" s="438" t="s">
        <v>1501</v>
      </c>
      <c r="D1123" s="151" t="s">
        <v>299</v>
      </c>
      <c r="E1123" s="432"/>
      <c r="F1123" s="175"/>
    </row>
    <row r="1124" spans="2:6" s="149" customFormat="1" outlineLevel="2" x14ac:dyDescent="0.2">
      <c r="B1124" s="444" t="s">
        <v>3525</v>
      </c>
      <c r="C1124" s="438" t="s">
        <v>1502</v>
      </c>
      <c r="D1124" s="151" t="s">
        <v>299</v>
      </c>
      <c r="E1124" s="432"/>
      <c r="F1124" s="175"/>
    </row>
    <row r="1125" spans="2:6" s="149" customFormat="1" outlineLevel="2" x14ac:dyDescent="0.2">
      <c r="B1125" s="444" t="s">
        <v>3526</v>
      </c>
      <c r="C1125" s="438" t="s">
        <v>1503</v>
      </c>
      <c r="D1125" s="151" t="s">
        <v>299</v>
      </c>
      <c r="E1125" s="432"/>
      <c r="F1125" s="175"/>
    </row>
    <row r="1126" spans="2:6" s="149" customFormat="1" outlineLevel="2" x14ac:dyDescent="0.2">
      <c r="B1126" s="444" t="s">
        <v>3527</v>
      </c>
      <c r="C1126" s="438" t="s">
        <v>1504</v>
      </c>
      <c r="D1126" s="151" t="s">
        <v>299</v>
      </c>
      <c r="E1126" s="432"/>
      <c r="F1126" s="175"/>
    </row>
    <row r="1127" spans="2:6" s="149" customFormat="1" outlineLevel="2" x14ac:dyDescent="0.2">
      <c r="B1127" s="444" t="s">
        <v>3528</v>
      </c>
      <c r="C1127" s="438" t="s">
        <v>1505</v>
      </c>
      <c r="D1127" s="151" t="s">
        <v>299</v>
      </c>
      <c r="E1127" s="432"/>
      <c r="F1127" s="175"/>
    </row>
    <row r="1128" spans="2:6" s="149" customFormat="1" outlineLevel="2" x14ac:dyDescent="0.2">
      <c r="B1128" s="444" t="s">
        <v>3529</v>
      </c>
      <c r="C1128" s="438" t="s">
        <v>1506</v>
      </c>
      <c r="D1128" s="151" t="s">
        <v>299</v>
      </c>
      <c r="E1128" s="432"/>
      <c r="F1128" s="175"/>
    </row>
    <row r="1129" spans="2:6" s="149" customFormat="1" outlineLevel="2" x14ac:dyDescent="0.2">
      <c r="B1129" s="444" t="s">
        <v>3530</v>
      </c>
      <c r="C1129" s="438" t="s">
        <v>1507</v>
      </c>
      <c r="D1129" s="151" t="s">
        <v>299</v>
      </c>
      <c r="E1129" s="432"/>
      <c r="F1129" s="175"/>
    </row>
    <row r="1130" spans="2:6" s="149" customFormat="1" outlineLevel="2" x14ac:dyDescent="0.2">
      <c r="B1130" s="444" t="s">
        <v>3531</v>
      </c>
      <c r="C1130" s="438" t="s">
        <v>1508</v>
      </c>
      <c r="D1130" s="151" t="s">
        <v>299</v>
      </c>
      <c r="E1130" s="432"/>
      <c r="F1130" s="175"/>
    </row>
    <row r="1131" spans="2:6" s="149" customFormat="1" outlineLevel="2" x14ac:dyDescent="0.2">
      <c r="B1131" s="444" t="s">
        <v>3532</v>
      </c>
      <c r="C1131" s="438" t="s">
        <v>1509</v>
      </c>
      <c r="D1131" s="151" t="s">
        <v>299</v>
      </c>
      <c r="E1131" s="432"/>
      <c r="F1131" s="175"/>
    </row>
    <row r="1132" spans="2:6" s="149" customFormat="1" outlineLevel="2" x14ac:dyDescent="0.2">
      <c r="B1132" s="444" t="s">
        <v>3533</v>
      </c>
      <c r="C1132" s="438" t="s">
        <v>1510</v>
      </c>
      <c r="D1132" s="151" t="s">
        <v>299</v>
      </c>
      <c r="E1132" s="432"/>
      <c r="F1132" s="175"/>
    </row>
    <row r="1133" spans="2:6" s="149" customFormat="1" outlineLevel="2" x14ac:dyDescent="0.2">
      <c r="B1133" s="444" t="s">
        <v>3534</v>
      </c>
      <c r="C1133" s="438" t="s">
        <v>1511</v>
      </c>
      <c r="D1133" s="151" t="s">
        <v>299</v>
      </c>
      <c r="E1133" s="432"/>
      <c r="F1133" s="175"/>
    </row>
    <row r="1134" spans="2:6" s="149" customFormat="1" outlineLevel="2" x14ac:dyDescent="0.2">
      <c r="B1134" s="444" t="s">
        <v>3535</v>
      </c>
      <c r="C1134" s="438" t="s">
        <v>1512</v>
      </c>
      <c r="D1134" s="151" t="s">
        <v>299</v>
      </c>
      <c r="E1134" s="432"/>
      <c r="F1134" s="175"/>
    </row>
    <row r="1135" spans="2:6" s="149" customFormat="1" outlineLevel="2" x14ac:dyDescent="0.2">
      <c r="B1135" s="444" t="s">
        <v>3536</v>
      </c>
      <c r="C1135" s="438" t="s">
        <v>1513</v>
      </c>
      <c r="D1135" s="151" t="s">
        <v>299</v>
      </c>
      <c r="E1135" s="432"/>
      <c r="F1135" s="175"/>
    </row>
    <row r="1136" spans="2:6" s="149" customFormat="1" outlineLevel="2" x14ac:dyDescent="0.2">
      <c r="B1136" s="444" t="s">
        <v>3537</v>
      </c>
      <c r="C1136" s="438" t="s">
        <v>1514</v>
      </c>
      <c r="D1136" s="151" t="s">
        <v>299</v>
      </c>
      <c r="E1136" s="432"/>
      <c r="F1136" s="175"/>
    </row>
    <row r="1137" spans="2:6" s="149" customFormat="1" outlineLevel="2" x14ac:dyDescent="0.2">
      <c r="B1137" s="444" t="s">
        <v>3538</v>
      </c>
      <c r="C1137" s="438" t="s">
        <v>1515</v>
      </c>
      <c r="D1137" s="151" t="s">
        <v>299</v>
      </c>
      <c r="E1137" s="432"/>
      <c r="F1137" s="175"/>
    </row>
    <row r="1138" spans="2:6" s="149" customFormat="1" outlineLevel="2" x14ac:dyDescent="0.2">
      <c r="B1138" s="444" t="s">
        <v>3539</v>
      </c>
      <c r="C1138" s="438" t="s">
        <v>1516</v>
      </c>
      <c r="D1138" s="151" t="s">
        <v>299</v>
      </c>
      <c r="E1138" s="432"/>
      <c r="F1138" s="175"/>
    </row>
    <row r="1139" spans="2:6" s="149" customFormat="1" outlineLevel="2" x14ac:dyDescent="0.2">
      <c r="B1139" s="444" t="s">
        <v>3540</v>
      </c>
      <c r="C1139" s="438" t="s">
        <v>1517</v>
      </c>
      <c r="D1139" s="151" t="s">
        <v>299</v>
      </c>
      <c r="E1139" s="432"/>
      <c r="F1139" s="175"/>
    </row>
    <row r="1140" spans="2:6" s="149" customFormat="1" outlineLevel="2" x14ac:dyDescent="0.2">
      <c r="B1140" s="444" t="s">
        <v>3541</v>
      </c>
      <c r="C1140" s="438" t="s">
        <v>1518</v>
      </c>
      <c r="D1140" s="151" t="s">
        <v>299</v>
      </c>
      <c r="E1140" s="432"/>
      <c r="F1140" s="175"/>
    </row>
    <row r="1141" spans="2:6" s="149" customFormat="1" outlineLevel="2" x14ac:dyDescent="0.2">
      <c r="B1141" s="444" t="s">
        <v>3542</v>
      </c>
      <c r="C1141" s="438" t="s">
        <v>1519</v>
      </c>
      <c r="D1141" s="151" t="s">
        <v>299</v>
      </c>
      <c r="E1141" s="432"/>
      <c r="F1141" s="175"/>
    </row>
    <row r="1142" spans="2:6" s="30" customFormat="1" outlineLevel="1" x14ac:dyDescent="0.2">
      <c r="B1142" s="444" t="s">
        <v>3543</v>
      </c>
      <c r="C1142" s="437" t="s">
        <v>1520</v>
      </c>
      <c r="D1142" s="147" t="s">
        <v>289</v>
      </c>
      <c r="E1142" s="433">
        <f>SUM(E1143:E1162)</f>
        <v>0</v>
      </c>
      <c r="F1142" s="92">
        <f>SUM(F1143:F1162)</f>
        <v>0</v>
      </c>
    </row>
    <row r="1143" spans="2:6" s="149" customFormat="1" outlineLevel="2" x14ac:dyDescent="0.2">
      <c r="B1143" s="444" t="s">
        <v>3544</v>
      </c>
      <c r="C1143" s="438" t="s">
        <v>1521</v>
      </c>
      <c r="D1143" s="151" t="s">
        <v>299</v>
      </c>
      <c r="E1143" s="432"/>
      <c r="F1143" s="175"/>
    </row>
    <row r="1144" spans="2:6" s="149" customFormat="1" outlineLevel="2" x14ac:dyDescent="0.2">
      <c r="B1144" s="444" t="s">
        <v>3545</v>
      </c>
      <c r="C1144" s="438" t="s">
        <v>1522</v>
      </c>
      <c r="D1144" s="151" t="s">
        <v>299</v>
      </c>
      <c r="E1144" s="432"/>
      <c r="F1144" s="175"/>
    </row>
    <row r="1145" spans="2:6" s="149" customFormat="1" outlineLevel="2" x14ac:dyDescent="0.2">
      <c r="B1145" s="444" t="s">
        <v>3546</v>
      </c>
      <c r="C1145" s="438" t="s">
        <v>1523</v>
      </c>
      <c r="D1145" s="151" t="s">
        <v>299</v>
      </c>
      <c r="E1145" s="432"/>
      <c r="F1145" s="175"/>
    </row>
    <row r="1146" spans="2:6" s="149" customFormat="1" outlineLevel="2" x14ac:dyDescent="0.2">
      <c r="B1146" s="444" t="s">
        <v>3547</v>
      </c>
      <c r="C1146" s="438" t="s">
        <v>1524</v>
      </c>
      <c r="D1146" s="151" t="s">
        <v>299</v>
      </c>
      <c r="E1146" s="432"/>
      <c r="F1146" s="175"/>
    </row>
    <row r="1147" spans="2:6" s="149" customFormat="1" outlineLevel="2" x14ac:dyDescent="0.2">
      <c r="B1147" s="444" t="s">
        <v>3548</v>
      </c>
      <c r="C1147" s="438" t="s">
        <v>1525</v>
      </c>
      <c r="D1147" s="151" t="s">
        <v>299</v>
      </c>
      <c r="E1147" s="432"/>
      <c r="F1147" s="175"/>
    </row>
    <row r="1148" spans="2:6" s="149" customFormat="1" outlineLevel="2" x14ac:dyDescent="0.2">
      <c r="B1148" s="444" t="s">
        <v>3549</v>
      </c>
      <c r="C1148" s="438" t="s">
        <v>1526</v>
      </c>
      <c r="D1148" s="151" t="s">
        <v>299</v>
      </c>
      <c r="E1148" s="432"/>
      <c r="F1148" s="175"/>
    </row>
    <row r="1149" spans="2:6" s="149" customFormat="1" outlineLevel="2" x14ac:dyDescent="0.2">
      <c r="B1149" s="444" t="s">
        <v>3550</v>
      </c>
      <c r="C1149" s="438" t="s">
        <v>1527</v>
      </c>
      <c r="D1149" s="151" t="s">
        <v>299</v>
      </c>
      <c r="E1149" s="432"/>
      <c r="F1149" s="175"/>
    </row>
    <row r="1150" spans="2:6" s="149" customFormat="1" outlineLevel="2" x14ac:dyDescent="0.2">
      <c r="B1150" s="444" t="s">
        <v>3551</v>
      </c>
      <c r="C1150" s="438" t="s">
        <v>1528</v>
      </c>
      <c r="D1150" s="151" t="s">
        <v>299</v>
      </c>
      <c r="E1150" s="432"/>
      <c r="F1150" s="175"/>
    </row>
    <row r="1151" spans="2:6" s="149" customFormat="1" outlineLevel="2" x14ac:dyDescent="0.2">
      <c r="B1151" s="444" t="s">
        <v>3552</v>
      </c>
      <c r="C1151" s="438" t="s">
        <v>1529</v>
      </c>
      <c r="D1151" s="151" t="s">
        <v>299</v>
      </c>
      <c r="E1151" s="432"/>
      <c r="F1151" s="175"/>
    </row>
    <row r="1152" spans="2:6" s="149" customFormat="1" outlineLevel="2" x14ac:dyDescent="0.2">
      <c r="B1152" s="444" t="s">
        <v>3553</v>
      </c>
      <c r="C1152" s="438" t="s">
        <v>1530</v>
      </c>
      <c r="D1152" s="151" t="s">
        <v>299</v>
      </c>
      <c r="E1152" s="432"/>
      <c r="F1152" s="175"/>
    </row>
    <row r="1153" spans="2:6" s="149" customFormat="1" outlineLevel="2" x14ac:dyDescent="0.2">
      <c r="B1153" s="444" t="s">
        <v>3554</v>
      </c>
      <c r="C1153" s="438" t="s">
        <v>1531</v>
      </c>
      <c r="D1153" s="151" t="s">
        <v>299</v>
      </c>
      <c r="E1153" s="432"/>
      <c r="F1153" s="175"/>
    </row>
    <row r="1154" spans="2:6" s="149" customFormat="1" outlineLevel="2" x14ac:dyDescent="0.2">
      <c r="B1154" s="444" t="s">
        <v>3555</v>
      </c>
      <c r="C1154" s="438" t="s">
        <v>1532</v>
      </c>
      <c r="D1154" s="151" t="s">
        <v>299</v>
      </c>
      <c r="E1154" s="432"/>
      <c r="F1154" s="175"/>
    </row>
    <row r="1155" spans="2:6" s="149" customFormat="1" outlineLevel="2" x14ac:dyDescent="0.2">
      <c r="B1155" s="444" t="s">
        <v>3556</v>
      </c>
      <c r="C1155" s="438" t="s">
        <v>1533</v>
      </c>
      <c r="D1155" s="151" t="s">
        <v>299</v>
      </c>
      <c r="E1155" s="432"/>
      <c r="F1155" s="175"/>
    </row>
    <row r="1156" spans="2:6" s="149" customFormat="1" outlineLevel="2" x14ac:dyDescent="0.2">
      <c r="B1156" s="444" t="s">
        <v>3557</v>
      </c>
      <c r="C1156" s="438" t="s">
        <v>1534</v>
      </c>
      <c r="D1156" s="151" t="s">
        <v>299</v>
      </c>
      <c r="E1156" s="432"/>
      <c r="F1156" s="175"/>
    </row>
    <row r="1157" spans="2:6" s="149" customFormat="1" outlineLevel="2" x14ac:dyDescent="0.2">
      <c r="B1157" s="444" t="s">
        <v>3558</v>
      </c>
      <c r="C1157" s="438" t="s">
        <v>1535</v>
      </c>
      <c r="D1157" s="151" t="s">
        <v>299</v>
      </c>
      <c r="E1157" s="432"/>
      <c r="F1157" s="175"/>
    </row>
    <row r="1158" spans="2:6" s="149" customFormat="1" outlineLevel="2" x14ac:dyDescent="0.2">
      <c r="B1158" s="444" t="s">
        <v>3559</v>
      </c>
      <c r="C1158" s="438" t="s">
        <v>1536</v>
      </c>
      <c r="D1158" s="151" t="s">
        <v>299</v>
      </c>
      <c r="E1158" s="432"/>
      <c r="F1158" s="175"/>
    </row>
    <row r="1159" spans="2:6" s="149" customFormat="1" outlineLevel="2" x14ac:dyDescent="0.2">
      <c r="B1159" s="444" t="s">
        <v>3560</v>
      </c>
      <c r="C1159" s="438" t="s">
        <v>1537</v>
      </c>
      <c r="D1159" s="151" t="s">
        <v>299</v>
      </c>
      <c r="E1159" s="432"/>
      <c r="F1159" s="175"/>
    </row>
    <row r="1160" spans="2:6" s="149" customFormat="1" outlineLevel="2" x14ac:dyDescent="0.2">
      <c r="B1160" s="444" t="s">
        <v>3561</v>
      </c>
      <c r="C1160" s="438" t="s">
        <v>1538</v>
      </c>
      <c r="D1160" s="151" t="s">
        <v>299</v>
      </c>
      <c r="E1160" s="432"/>
      <c r="F1160" s="175"/>
    </row>
    <row r="1161" spans="2:6" s="149" customFormat="1" outlineLevel="2" x14ac:dyDescent="0.2">
      <c r="B1161" s="444" t="s">
        <v>3562</v>
      </c>
      <c r="C1161" s="438" t="s">
        <v>1539</v>
      </c>
      <c r="D1161" s="151" t="s">
        <v>299</v>
      </c>
      <c r="E1161" s="432"/>
      <c r="F1161" s="175"/>
    </row>
    <row r="1162" spans="2:6" s="149" customFormat="1" outlineLevel="2" x14ac:dyDescent="0.2">
      <c r="B1162" s="444" t="s">
        <v>3563</v>
      </c>
      <c r="C1162" s="438" t="s">
        <v>1540</v>
      </c>
      <c r="D1162" s="151" t="s">
        <v>299</v>
      </c>
      <c r="E1162" s="432"/>
      <c r="F1162" s="175"/>
    </row>
    <row r="1163" spans="2:6" s="30" customFormat="1" outlineLevel="1" x14ac:dyDescent="0.2">
      <c r="B1163" s="444" t="s">
        <v>3564</v>
      </c>
      <c r="C1163" s="437" t="s">
        <v>1541</v>
      </c>
      <c r="D1163" s="147" t="s">
        <v>4659</v>
      </c>
      <c r="E1163" s="433">
        <f>SUM(E1164:E1183)</f>
        <v>0</v>
      </c>
      <c r="F1163" s="92">
        <f>SUM(F1164:F1183)</f>
        <v>0</v>
      </c>
    </row>
    <row r="1164" spans="2:6" s="149" customFormat="1" outlineLevel="2" x14ac:dyDescent="0.2">
      <c r="B1164" s="444" t="s">
        <v>3565</v>
      </c>
      <c r="C1164" s="438" t="s">
        <v>1542</v>
      </c>
      <c r="D1164" s="151" t="s">
        <v>299</v>
      </c>
      <c r="E1164" s="432"/>
      <c r="F1164" s="175"/>
    </row>
    <row r="1165" spans="2:6" s="149" customFormat="1" outlineLevel="2" x14ac:dyDescent="0.2">
      <c r="B1165" s="444" t="s">
        <v>3566</v>
      </c>
      <c r="C1165" s="438" t="s">
        <v>1543</v>
      </c>
      <c r="D1165" s="151" t="s">
        <v>299</v>
      </c>
      <c r="E1165" s="432"/>
      <c r="F1165" s="175"/>
    </row>
    <row r="1166" spans="2:6" s="149" customFormat="1" outlineLevel="2" x14ac:dyDescent="0.2">
      <c r="B1166" s="444" t="s">
        <v>3567</v>
      </c>
      <c r="C1166" s="438" t="s">
        <v>1544</v>
      </c>
      <c r="D1166" s="151" t="s">
        <v>299</v>
      </c>
      <c r="E1166" s="432"/>
      <c r="F1166" s="175"/>
    </row>
    <row r="1167" spans="2:6" s="149" customFormat="1" outlineLevel="2" x14ac:dyDescent="0.2">
      <c r="B1167" s="444" t="s">
        <v>3568</v>
      </c>
      <c r="C1167" s="438" t="s">
        <v>1545</v>
      </c>
      <c r="D1167" s="151" t="s">
        <v>299</v>
      </c>
      <c r="E1167" s="432"/>
      <c r="F1167" s="175"/>
    </row>
    <row r="1168" spans="2:6" s="149" customFormat="1" outlineLevel="2" x14ac:dyDescent="0.2">
      <c r="B1168" s="444" t="s">
        <v>3569</v>
      </c>
      <c r="C1168" s="438" t="s">
        <v>1546</v>
      </c>
      <c r="D1168" s="151" t="s">
        <v>299</v>
      </c>
      <c r="E1168" s="432"/>
      <c r="F1168" s="175"/>
    </row>
    <row r="1169" spans="2:6" s="149" customFormat="1" outlineLevel="2" x14ac:dyDescent="0.2">
      <c r="B1169" s="444" t="s">
        <v>3570</v>
      </c>
      <c r="C1169" s="438" t="s">
        <v>1547</v>
      </c>
      <c r="D1169" s="151" t="s">
        <v>299</v>
      </c>
      <c r="E1169" s="432"/>
      <c r="F1169" s="175"/>
    </row>
    <row r="1170" spans="2:6" s="149" customFormat="1" outlineLevel="2" x14ac:dyDescent="0.2">
      <c r="B1170" s="444" t="s">
        <v>3571</v>
      </c>
      <c r="C1170" s="438" t="s">
        <v>1548</v>
      </c>
      <c r="D1170" s="151" t="s">
        <v>299</v>
      </c>
      <c r="E1170" s="432"/>
      <c r="F1170" s="175"/>
    </row>
    <row r="1171" spans="2:6" s="149" customFormat="1" outlineLevel="2" x14ac:dyDescent="0.2">
      <c r="B1171" s="444" t="s">
        <v>3572</v>
      </c>
      <c r="C1171" s="438" t="s">
        <v>1549</v>
      </c>
      <c r="D1171" s="151" t="s">
        <v>299</v>
      </c>
      <c r="E1171" s="432"/>
      <c r="F1171" s="175"/>
    </row>
    <row r="1172" spans="2:6" s="149" customFormat="1" outlineLevel="2" x14ac:dyDescent="0.2">
      <c r="B1172" s="444" t="s">
        <v>3573</v>
      </c>
      <c r="C1172" s="438" t="s">
        <v>1550</v>
      </c>
      <c r="D1172" s="151" t="s">
        <v>299</v>
      </c>
      <c r="E1172" s="432"/>
      <c r="F1172" s="175"/>
    </row>
    <row r="1173" spans="2:6" s="149" customFormat="1" outlineLevel="2" x14ac:dyDescent="0.2">
      <c r="B1173" s="444" t="s">
        <v>3574</v>
      </c>
      <c r="C1173" s="438" t="s">
        <v>1551</v>
      </c>
      <c r="D1173" s="151" t="s">
        <v>299</v>
      </c>
      <c r="E1173" s="432"/>
      <c r="F1173" s="175"/>
    </row>
    <row r="1174" spans="2:6" s="149" customFormat="1" outlineLevel="2" x14ac:dyDescent="0.2">
      <c r="B1174" s="444" t="s">
        <v>3575</v>
      </c>
      <c r="C1174" s="438" t="s">
        <v>1552</v>
      </c>
      <c r="D1174" s="151" t="s">
        <v>299</v>
      </c>
      <c r="E1174" s="432"/>
      <c r="F1174" s="175"/>
    </row>
    <row r="1175" spans="2:6" s="149" customFormat="1" outlineLevel="2" x14ac:dyDescent="0.2">
      <c r="B1175" s="444" t="s">
        <v>3576</v>
      </c>
      <c r="C1175" s="438" t="s">
        <v>1553</v>
      </c>
      <c r="D1175" s="151" t="s">
        <v>299</v>
      </c>
      <c r="E1175" s="432"/>
      <c r="F1175" s="175"/>
    </row>
    <row r="1176" spans="2:6" s="149" customFormat="1" outlineLevel="2" x14ac:dyDescent="0.2">
      <c r="B1176" s="444" t="s">
        <v>3577</v>
      </c>
      <c r="C1176" s="438" t="s">
        <v>1554</v>
      </c>
      <c r="D1176" s="151" t="s">
        <v>299</v>
      </c>
      <c r="E1176" s="432"/>
      <c r="F1176" s="175"/>
    </row>
    <row r="1177" spans="2:6" s="149" customFormat="1" outlineLevel="2" x14ac:dyDescent="0.2">
      <c r="B1177" s="444" t="s">
        <v>3578</v>
      </c>
      <c r="C1177" s="438" t="s">
        <v>1555</v>
      </c>
      <c r="D1177" s="151" t="s">
        <v>299</v>
      </c>
      <c r="E1177" s="432"/>
      <c r="F1177" s="175"/>
    </row>
    <row r="1178" spans="2:6" s="149" customFormat="1" outlineLevel="2" x14ac:dyDescent="0.2">
      <c r="B1178" s="444" t="s">
        <v>3579</v>
      </c>
      <c r="C1178" s="438" t="s">
        <v>1556</v>
      </c>
      <c r="D1178" s="151" t="s">
        <v>299</v>
      </c>
      <c r="E1178" s="432"/>
      <c r="F1178" s="175"/>
    </row>
    <row r="1179" spans="2:6" s="149" customFormat="1" outlineLevel="2" x14ac:dyDescent="0.2">
      <c r="B1179" s="444" t="s">
        <v>3580</v>
      </c>
      <c r="C1179" s="438" t="s">
        <v>1557</v>
      </c>
      <c r="D1179" s="151" t="s">
        <v>299</v>
      </c>
      <c r="E1179" s="432"/>
      <c r="F1179" s="175"/>
    </row>
    <row r="1180" spans="2:6" s="149" customFormat="1" outlineLevel="2" x14ac:dyDescent="0.2">
      <c r="B1180" s="444" t="s">
        <v>3581</v>
      </c>
      <c r="C1180" s="438" t="s">
        <v>1558</v>
      </c>
      <c r="D1180" s="151" t="s">
        <v>299</v>
      </c>
      <c r="E1180" s="432"/>
      <c r="F1180" s="175"/>
    </row>
    <row r="1181" spans="2:6" s="149" customFormat="1" outlineLevel="2" x14ac:dyDescent="0.2">
      <c r="B1181" s="444" t="s">
        <v>3582</v>
      </c>
      <c r="C1181" s="438" t="s">
        <v>1559</v>
      </c>
      <c r="D1181" s="151" t="s">
        <v>299</v>
      </c>
      <c r="E1181" s="432"/>
      <c r="F1181" s="175"/>
    </row>
    <row r="1182" spans="2:6" s="149" customFormat="1" outlineLevel="2" x14ac:dyDescent="0.2">
      <c r="B1182" s="444" t="s">
        <v>3583</v>
      </c>
      <c r="C1182" s="438" t="s">
        <v>1560</v>
      </c>
      <c r="D1182" s="151" t="s">
        <v>299</v>
      </c>
      <c r="E1182" s="432"/>
      <c r="F1182" s="175"/>
    </row>
    <row r="1183" spans="2:6" s="149" customFormat="1" outlineLevel="2" x14ac:dyDescent="0.2">
      <c r="B1183" s="444" t="s">
        <v>3584</v>
      </c>
      <c r="C1183" s="438" t="s">
        <v>1561</v>
      </c>
      <c r="D1183" s="151" t="s">
        <v>299</v>
      </c>
      <c r="E1183" s="432"/>
      <c r="F1183" s="175"/>
    </row>
    <row r="1184" spans="2:6" s="149" customFormat="1" x14ac:dyDescent="0.2">
      <c r="B1184" s="444" t="s">
        <v>3585</v>
      </c>
      <c r="C1184" s="436">
        <v>10.5</v>
      </c>
      <c r="D1184" s="227" t="s">
        <v>291</v>
      </c>
      <c r="E1184" s="431">
        <f>SUM(E1185:E1204)</f>
        <v>0</v>
      </c>
      <c r="F1184" s="209">
        <f>SUM(F1185:F1204)</f>
        <v>0</v>
      </c>
    </row>
    <row r="1185" spans="2:6" s="149" customFormat="1" outlineLevel="2" x14ac:dyDescent="0.2">
      <c r="B1185" s="444" t="s">
        <v>3586</v>
      </c>
      <c r="C1185" s="438" t="s">
        <v>1562</v>
      </c>
      <c r="D1185" s="151" t="s">
        <v>4662</v>
      </c>
      <c r="E1185" s="432"/>
      <c r="F1185" s="175"/>
    </row>
    <row r="1186" spans="2:6" s="149" customFormat="1" outlineLevel="2" x14ac:dyDescent="0.2">
      <c r="B1186" s="444" t="s">
        <v>3587</v>
      </c>
      <c r="C1186" s="438" t="s">
        <v>1563</v>
      </c>
      <c r="D1186" s="151" t="s">
        <v>300</v>
      </c>
      <c r="E1186" s="432"/>
      <c r="F1186" s="175"/>
    </row>
    <row r="1187" spans="2:6" s="149" customFormat="1" outlineLevel="2" x14ac:dyDescent="0.2">
      <c r="B1187" s="444" t="s">
        <v>3588</v>
      </c>
      <c r="C1187" s="438" t="s">
        <v>1564</v>
      </c>
      <c r="D1187" s="151" t="s">
        <v>300</v>
      </c>
      <c r="E1187" s="432"/>
      <c r="F1187" s="175"/>
    </row>
    <row r="1188" spans="2:6" s="149" customFormat="1" outlineLevel="2" x14ac:dyDescent="0.2">
      <c r="B1188" s="444" t="s">
        <v>3589</v>
      </c>
      <c r="C1188" s="438" t="s">
        <v>1565</v>
      </c>
      <c r="D1188" s="151" t="s">
        <v>300</v>
      </c>
      <c r="E1188" s="432"/>
      <c r="F1188" s="175"/>
    </row>
    <row r="1189" spans="2:6" s="149" customFormat="1" outlineLevel="2" x14ac:dyDescent="0.2">
      <c r="B1189" s="444" t="s">
        <v>3590</v>
      </c>
      <c r="C1189" s="438" t="s">
        <v>1566</v>
      </c>
      <c r="D1189" s="151" t="s">
        <v>300</v>
      </c>
      <c r="E1189" s="432"/>
      <c r="F1189" s="175"/>
    </row>
    <row r="1190" spans="2:6" s="149" customFormat="1" outlineLevel="2" x14ac:dyDescent="0.2">
      <c r="B1190" s="444" t="s">
        <v>3591</v>
      </c>
      <c r="C1190" s="438" t="s">
        <v>1567</v>
      </c>
      <c r="D1190" s="151" t="s">
        <v>300</v>
      </c>
      <c r="E1190" s="432"/>
      <c r="F1190" s="175"/>
    </row>
    <row r="1191" spans="2:6" s="149" customFormat="1" outlineLevel="2" x14ac:dyDescent="0.2">
      <c r="B1191" s="444" t="s">
        <v>3592</v>
      </c>
      <c r="C1191" s="438" t="s">
        <v>1568</v>
      </c>
      <c r="D1191" s="151" t="s">
        <v>300</v>
      </c>
      <c r="E1191" s="432"/>
      <c r="F1191" s="175"/>
    </row>
    <row r="1192" spans="2:6" s="149" customFormat="1" outlineLevel="2" x14ac:dyDescent="0.2">
      <c r="B1192" s="444" t="s">
        <v>3593</v>
      </c>
      <c r="C1192" s="438" t="s">
        <v>1569</v>
      </c>
      <c r="D1192" s="151" t="s">
        <v>300</v>
      </c>
      <c r="E1192" s="432"/>
      <c r="F1192" s="175"/>
    </row>
    <row r="1193" spans="2:6" s="149" customFormat="1" outlineLevel="2" x14ac:dyDescent="0.2">
      <c r="B1193" s="444" t="s">
        <v>3594</v>
      </c>
      <c r="C1193" s="438" t="s">
        <v>1570</v>
      </c>
      <c r="D1193" s="151" t="s">
        <v>300</v>
      </c>
      <c r="E1193" s="432"/>
      <c r="F1193" s="175"/>
    </row>
    <row r="1194" spans="2:6" s="149" customFormat="1" outlineLevel="2" x14ac:dyDescent="0.2">
      <c r="B1194" s="444" t="s">
        <v>3595</v>
      </c>
      <c r="C1194" s="438" t="s">
        <v>1571</v>
      </c>
      <c r="D1194" s="151" t="s">
        <v>300</v>
      </c>
      <c r="E1194" s="432"/>
      <c r="F1194" s="175"/>
    </row>
    <row r="1195" spans="2:6" s="149" customFormat="1" outlineLevel="2" x14ac:dyDescent="0.2">
      <c r="B1195" s="444" t="s">
        <v>3596</v>
      </c>
      <c r="C1195" s="438" t="s">
        <v>1572</v>
      </c>
      <c r="D1195" s="151" t="s">
        <v>300</v>
      </c>
      <c r="E1195" s="432"/>
      <c r="F1195" s="175"/>
    </row>
    <row r="1196" spans="2:6" s="149" customFormat="1" outlineLevel="2" x14ac:dyDescent="0.2">
      <c r="B1196" s="444" t="s">
        <v>3597</v>
      </c>
      <c r="C1196" s="438" t="s">
        <v>1573</v>
      </c>
      <c r="D1196" s="151" t="s">
        <v>300</v>
      </c>
      <c r="E1196" s="432"/>
      <c r="F1196" s="175"/>
    </row>
    <row r="1197" spans="2:6" s="149" customFormat="1" outlineLevel="2" x14ac:dyDescent="0.2">
      <c r="B1197" s="444" t="s">
        <v>3598</v>
      </c>
      <c r="C1197" s="438" t="s">
        <v>1574</v>
      </c>
      <c r="D1197" s="151" t="s">
        <v>300</v>
      </c>
      <c r="E1197" s="432"/>
      <c r="F1197" s="175"/>
    </row>
    <row r="1198" spans="2:6" s="149" customFormat="1" outlineLevel="2" x14ac:dyDescent="0.2">
      <c r="B1198" s="444" t="s">
        <v>3599</v>
      </c>
      <c r="C1198" s="438" t="s">
        <v>1575</v>
      </c>
      <c r="D1198" s="151" t="s">
        <v>300</v>
      </c>
      <c r="E1198" s="432"/>
      <c r="F1198" s="175"/>
    </row>
    <row r="1199" spans="2:6" s="149" customFormat="1" outlineLevel="2" x14ac:dyDescent="0.2">
      <c r="B1199" s="444" t="s">
        <v>3600</v>
      </c>
      <c r="C1199" s="438" t="s">
        <v>1576</v>
      </c>
      <c r="D1199" s="151" t="s">
        <v>300</v>
      </c>
      <c r="E1199" s="432"/>
      <c r="F1199" s="175"/>
    </row>
    <row r="1200" spans="2:6" s="149" customFormat="1" outlineLevel="2" x14ac:dyDescent="0.2">
      <c r="B1200" s="444" t="s">
        <v>3601</v>
      </c>
      <c r="C1200" s="438" t="s">
        <v>1577</v>
      </c>
      <c r="D1200" s="151" t="s">
        <v>300</v>
      </c>
      <c r="E1200" s="432"/>
      <c r="F1200" s="175"/>
    </row>
    <row r="1201" spans="2:6" s="149" customFormat="1" outlineLevel="2" x14ac:dyDescent="0.2">
      <c r="B1201" s="444" t="s">
        <v>3602</v>
      </c>
      <c r="C1201" s="438" t="s">
        <v>1578</v>
      </c>
      <c r="D1201" s="151" t="s">
        <v>300</v>
      </c>
      <c r="E1201" s="432"/>
      <c r="F1201" s="175"/>
    </row>
    <row r="1202" spans="2:6" s="149" customFormat="1" outlineLevel="2" x14ac:dyDescent="0.2">
      <c r="B1202" s="444" t="s">
        <v>3603</v>
      </c>
      <c r="C1202" s="438" t="s">
        <v>1579</v>
      </c>
      <c r="D1202" s="151" t="s">
        <v>300</v>
      </c>
      <c r="E1202" s="432"/>
      <c r="F1202" s="175"/>
    </row>
    <row r="1203" spans="2:6" s="149" customFormat="1" outlineLevel="2" x14ac:dyDescent="0.2">
      <c r="B1203" s="444" t="s">
        <v>3604</v>
      </c>
      <c r="C1203" s="438" t="s">
        <v>1580</v>
      </c>
      <c r="D1203" s="151" t="s">
        <v>300</v>
      </c>
      <c r="E1203" s="432"/>
      <c r="F1203" s="175"/>
    </row>
    <row r="1204" spans="2:6" s="149" customFormat="1" outlineLevel="2" x14ac:dyDescent="0.2">
      <c r="B1204" s="444" t="s">
        <v>3605</v>
      </c>
      <c r="C1204" s="438" t="s">
        <v>1581</v>
      </c>
      <c r="D1204" s="151" t="s">
        <v>300</v>
      </c>
      <c r="E1204" s="432"/>
      <c r="F1204" s="175"/>
    </row>
    <row r="1205" spans="2:6" s="149" customFormat="1" x14ac:dyDescent="0.2">
      <c r="B1205" s="444" t="s">
        <v>3606</v>
      </c>
      <c r="C1205" s="436">
        <v>10.6</v>
      </c>
      <c r="D1205" s="227" t="s">
        <v>296</v>
      </c>
      <c r="E1205" s="431">
        <f>SUM(E1206:E1225)</f>
        <v>0</v>
      </c>
      <c r="F1205" s="209">
        <f>SUM(F1206:F1225)</f>
        <v>0</v>
      </c>
    </row>
    <row r="1206" spans="2:6" s="149" customFormat="1" outlineLevel="2" x14ac:dyDescent="0.2">
      <c r="B1206" s="444" t="s">
        <v>3607</v>
      </c>
      <c r="C1206" s="438" t="s">
        <v>1582</v>
      </c>
      <c r="D1206" s="151" t="s">
        <v>301</v>
      </c>
      <c r="E1206" s="432"/>
      <c r="F1206" s="175"/>
    </row>
    <row r="1207" spans="2:6" s="149" customFormat="1" outlineLevel="2" x14ac:dyDescent="0.2">
      <c r="B1207" s="444" t="s">
        <v>3608</v>
      </c>
      <c r="C1207" s="438" t="s">
        <v>1583</v>
      </c>
      <c r="D1207" s="151" t="s">
        <v>301</v>
      </c>
      <c r="E1207" s="432"/>
      <c r="F1207" s="175"/>
    </row>
    <row r="1208" spans="2:6" s="149" customFormat="1" outlineLevel="2" x14ac:dyDescent="0.2">
      <c r="B1208" s="444" t="s">
        <v>3609</v>
      </c>
      <c r="C1208" s="438" t="s">
        <v>1584</v>
      </c>
      <c r="D1208" s="151" t="s">
        <v>301</v>
      </c>
      <c r="E1208" s="432"/>
      <c r="F1208" s="175"/>
    </row>
    <row r="1209" spans="2:6" s="149" customFormat="1" outlineLevel="2" x14ac:dyDescent="0.2">
      <c r="B1209" s="444" t="s">
        <v>3610</v>
      </c>
      <c r="C1209" s="438" t="s">
        <v>1585</v>
      </c>
      <c r="D1209" s="151" t="s">
        <v>301</v>
      </c>
      <c r="E1209" s="432"/>
      <c r="F1209" s="175"/>
    </row>
    <row r="1210" spans="2:6" s="149" customFormat="1" outlineLevel="2" x14ac:dyDescent="0.2">
      <c r="B1210" s="444" t="s">
        <v>3611</v>
      </c>
      <c r="C1210" s="438" t="s">
        <v>1586</v>
      </c>
      <c r="D1210" s="151" t="s">
        <v>301</v>
      </c>
      <c r="E1210" s="432"/>
      <c r="F1210" s="175"/>
    </row>
    <row r="1211" spans="2:6" s="149" customFormat="1" outlineLevel="2" x14ac:dyDescent="0.2">
      <c r="B1211" s="444" t="s">
        <v>3612</v>
      </c>
      <c r="C1211" s="438" t="s">
        <v>1587</v>
      </c>
      <c r="D1211" s="151" t="s">
        <v>301</v>
      </c>
      <c r="E1211" s="432"/>
      <c r="F1211" s="175"/>
    </row>
    <row r="1212" spans="2:6" s="149" customFormat="1" outlineLevel="2" x14ac:dyDescent="0.2">
      <c r="B1212" s="444" t="s">
        <v>3613</v>
      </c>
      <c r="C1212" s="438" t="s">
        <v>1588</v>
      </c>
      <c r="D1212" s="151" t="s">
        <v>301</v>
      </c>
      <c r="E1212" s="432"/>
      <c r="F1212" s="175"/>
    </row>
    <row r="1213" spans="2:6" s="149" customFormat="1" outlineLevel="2" x14ac:dyDescent="0.2">
      <c r="B1213" s="444" t="s">
        <v>3614</v>
      </c>
      <c r="C1213" s="438" t="s">
        <v>1589</v>
      </c>
      <c r="D1213" s="151" t="s">
        <v>301</v>
      </c>
      <c r="E1213" s="432"/>
      <c r="F1213" s="175"/>
    </row>
    <row r="1214" spans="2:6" s="149" customFormat="1" outlineLevel="2" x14ac:dyDescent="0.2">
      <c r="B1214" s="444" t="s">
        <v>3615</v>
      </c>
      <c r="C1214" s="438" t="s">
        <v>1590</v>
      </c>
      <c r="D1214" s="151" t="s">
        <v>301</v>
      </c>
      <c r="E1214" s="432"/>
      <c r="F1214" s="175"/>
    </row>
    <row r="1215" spans="2:6" s="149" customFormat="1" outlineLevel="2" x14ac:dyDescent="0.2">
      <c r="B1215" s="444" t="s">
        <v>3616</v>
      </c>
      <c r="C1215" s="438" t="s">
        <v>1591</v>
      </c>
      <c r="D1215" s="151" t="s">
        <v>301</v>
      </c>
      <c r="E1215" s="432"/>
      <c r="F1215" s="175"/>
    </row>
    <row r="1216" spans="2:6" s="149" customFormat="1" outlineLevel="2" x14ac:dyDescent="0.2">
      <c r="B1216" s="444" t="s">
        <v>3617</v>
      </c>
      <c r="C1216" s="438" t="s">
        <v>1592</v>
      </c>
      <c r="D1216" s="151" t="s">
        <v>301</v>
      </c>
      <c r="E1216" s="432"/>
      <c r="F1216" s="175"/>
    </row>
    <row r="1217" spans="2:6" s="149" customFormat="1" outlineLevel="2" x14ac:dyDescent="0.2">
      <c r="B1217" s="444" t="s">
        <v>3618</v>
      </c>
      <c r="C1217" s="438" t="s">
        <v>1593</v>
      </c>
      <c r="D1217" s="151" t="s">
        <v>301</v>
      </c>
      <c r="E1217" s="432"/>
      <c r="F1217" s="175"/>
    </row>
    <row r="1218" spans="2:6" s="149" customFormat="1" outlineLevel="2" x14ac:dyDescent="0.2">
      <c r="B1218" s="444" t="s">
        <v>3619</v>
      </c>
      <c r="C1218" s="438" t="s">
        <v>1594</v>
      </c>
      <c r="D1218" s="151" t="s">
        <v>301</v>
      </c>
      <c r="E1218" s="432"/>
      <c r="F1218" s="175"/>
    </row>
    <row r="1219" spans="2:6" s="149" customFormat="1" outlineLevel="2" x14ac:dyDescent="0.2">
      <c r="B1219" s="444" t="s">
        <v>3620</v>
      </c>
      <c r="C1219" s="438" t="s">
        <v>1595</v>
      </c>
      <c r="D1219" s="151" t="s">
        <v>301</v>
      </c>
      <c r="E1219" s="432"/>
      <c r="F1219" s="175"/>
    </row>
    <row r="1220" spans="2:6" s="149" customFormat="1" outlineLevel="2" x14ac:dyDescent="0.2">
      <c r="B1220" s="444" t="s">
        <v>3621</v>
      </c>
      <c r="C1220" s="438" t="s">
        <v>1596</v>
      </c>
      <c r="D1220" s="151" t="s">
        <v>301</v>
      </c>
      <c r="E1220" s="432"/>
      <c r="F1220" s="175"/>
    </row>
    <row r="1221" spans="2:6" s="149" customFormat="1" outlineLevel="2" x14ac:dyDescent="0.2">
      <c r="B1221" s="444" t="s">
        <v>3622</v>
      </c>
      <c r="C1221" s="438" t="s">
        <v>1597</v>
      </c>
      <c r="D1221" s="151" t="s">
        <v>301</v>
      </c>
      <c r="E1221" s="432"/>
      <c r="F1221" s="175"/>
    </row>
    <row r="1222" spans="2:6" s="149" customFormat="1" outlineLevel="2" x14ac:dyDescent="0.2">
      <c r="B1222" s="444" t="s">
        <v>3623</v>
      </c>
      <c r="C1222" s="438" t="s">
        <v>1598</v>
      </c>
      <c r="D1222" s="151" t="s">
        <v>301</v>
      </c>
      <c r="E1222" s="432"/>
      <c r="F1222" s="175"/>
    </row>
    <row r="1223" spans="2:6" s="149" customFormat="1" outlineLevel="2" x14ac:dyDescent="0.2">
      <c r="B1223" s="444" t="s">
        <v>3624</v>
      </c>
      <c r="C1223" s="438" t="s">
        <v>1599</v>
      </c>
      <c r="D1223" s="151" t="s">
        <v>301</v>
      </c>
      <c r="E1223" s="432"/>
      <c r="F1223" s="175"/>
    </row>
    <row r="1224" spans="2:6" s="149" customFormat="1" outlineLevel="2" x14ac:dyDescent="0.2">
      <c r="B1224" s="444" t="s">
        <v>3625</v>
      </c>
      <c r="C1224" s="438" t="s">
        <v>1600</v>
      </c>
      <c r="D1224" s="151" t="s">
        <v>301</v>
      </c>
      <c r="E1224" s="432"/>
      <c r="F1224" s="175"/>
    </row>
    <row r="1225" spans="2:6" s="149" customFormat="1" outlineLevel="2" x14ac:dyDescent="0.2">
      <c r="B1225" s="444" t="s">
        <v>3626</v>
      </c>
      <c r="C1225" s="438" t="s">
        <v>1601</v>
      </c>
      <c r="D1225" s="151" t="s">
        <v>301</v>
      </c>
      <c r="E1225" s="432"/>
      <c r="F1225" s="175"/>
    </row>
    <row r="1226" spans="2:6" s="30" customFormat="1" ht="15" customHeight="1" thickBot="1" x14ac:dyDescent="0.25">
      <c r="B1226" s="446" t="s">
        <v>3627</v>
      </c>
      <c r="C1226" s="796" t="s">
        <v>3367</v>
      </c>
      <c r="D1226" s="797"/>
      <c r="E1226" s="630">
        <f>E30+E329+E628+E927</f>
        <v>0</v>
      </c>
      <c r="F1226" s="242">
        <f>F30+F329+F628+F927</f>
        <v>0</v>
      </c>
    </row>
    <row r="1227" spans="2:6" s="30" customFormat="1" ht="15" customHeight="1" x14ac:dyDescent="0.2">
      <c r="B1227" s="132"/>
    </row>
    <row r="1228" spans="2:6" s="30" customFormat="1" ht="15" customHeight="1" x14ac:dyDescent="0.2">
      <c r="B1228" s="132"/>
    </row>
    <row r="1229" spans="2:6" s="30" customFormat="1" x14ac:dyDescent="0.3">
      <c r="B1229" s="132"/>
      <c r="C1229" s="782"/>
      <c r="D1229" s="782"/>
      <c r="E1229" s="782"/>
      <c r="F1229" s="782"/>
    </row>
    <row r="1230" spans="2:6" x14ac:dyDescent="0.3">
      <c r="C1230" s="785"/>
      <c r="D1230" s="785"/>
      <c r="E1230" s="785"/>
      <c r="F1230" s="785"/>
    </row>
    <row r="1231" spans="2:6" s="30" customFormat="1" x14ac:dyDescent="0.3">
      <c r="B1231" s="132"/>
      <c r="C1231" s="782"/>
      <c r="D1231" s="782"/>
      <c r="E1231" s="782"/>
      <c r="F1231" s="782"/>
    </row>
    <row r="1232" spans="2:6" x14ac:dyDescent="0.3">
      <c r="C1232" s="785"/>
      <c r="D1232" s="785"/>
      <c r="E1232" s="785"/>
      <c r="F1232" s="785"/>
    </row>
    <row r="1233" spans="2:6" s="30" customFormat="1" x14ac:dyDescent="0.3">
      <c r="B1233" s="132"/>
      <c r="C1233" s="782"/>
      <c r="D1233" s="782"/>
      <c r="E1233" s="782"/>
      <c r="F1233" s="782"/>
    </row>
    <row r="1234" spans="2:6" x14ac:dyDescent="0.3">
      <c r="C1234" s="785"/>
      <c r="D1234" s="785"/>
      <c r="E1234" s="785"/>
      <c r="F1234" s="785"/>
    </row>
  </sheetData>
  <customSheetViews>
    <customSheetView guid="{F18E25A1-ACAC-4BA2-9084-15C64EADD71F}" fitToPage="1" topLeftCell="A10">
      <selection activeCell="C18" sqref="C18"/>
      <pageMargins left="0.31496062992125984" right="0.39370078740157483" top="0.78" bottom="0.98425196850393704" header="0.51181102362204722" footer="0.51181102362204722"/>
      <pageSetup paperSize="9" scale="95" fitToHeight="2" orientation="portrait" horizontalDpi="300" verticalDpi="300" r:id="rId1"/>
      <headerFooter alignWithMargins="0"/>
    </customSheetView>
    <customSheetView guid="{42441662-3193-455A-AAAC-E0697E2ED236}" showPageBreaks="1" fitToPage="1">
      <selection activeCell="C17" sqref="C17"/>
      <pageMargins left="0.31496062992125984" right="0.39370078740157483" top="0.78" bottom="0.98425196850393704" header="0.51181102362204722" footer="0.51181102362204722"/>
      <pageSetup paperSize="9" scale="95" fitToHeight="2" orientation="portrait" horizontalDpi="300" verticalDpi="300" r:id="rId2"/>
      <headerFooter alignWithMargins="0"/>
    </customSheetView>
    <customSheetView guid="{AB1DC9E9-A3E4-4BE0-8A49-B02D340E9D12}" fitToPage="1">
      <selection activeCell="B5" sqref="B5"/>
      <pageMargins left="0.31496062992125984" right="0.39370078740157483" top="0.78" bottom="0.98425196850393704" header="0.51181102362204722" footer="0.51181102362204722"/>
      <pageSetup paperSize="9" scale="95" fitToHeight="2" orientation="portrait" horizontalDpi="300" verticalDpi="300" r:id="rId3"/>
      <headerFooter alignWithMargins="0"/>
    </customSheetView>
    <customSheetView guid="{BC7A4191-54CC-4009-AB21-42ED557A5091}" showPageBreaks="1" fitToPage="1" showRuler="0">
      <selection activeCell="C1" sqref="C1:D1"/>
      <pageMargins left="0.31496062992125984" right="0.39370078740157483" top="0.78" bottom="0.98425196850393704" header="0.51181102362204722" footer="0.51181102362204722"/>
      <pageSetup paperSize="9" scale="95" fitToHeight="2" orientation="portrait" horizontalDpi="300" verticalDpi="300" r:id="rId4"/>
      <headerFooter alignWithMargins="0"/>
    </customSheetView>
  </customSheetViews>
  <mergeCells count="14">
    <mergeCell ref="C1234:F1234"/>
    <mergeCell ref="E1:F1"/>
    <mergeCell ref="B1:C1"/>
    <mergeCell ref="C27:D27"/>
    <mergeCell ref="D4:F4"/>
    <mergeCell ref="C1226:D1226"/>
    <mergeCell ref="C8:D8"/>
    <mergeCell ref="C29:D29"/>
    <mergeCell ref="B2:F2"/>
    <mergeCell ref="C1229:F1229"/>
    <mergeCell ref="C1230:F1230"/>
    <mergeCell ref="C1231:F1231"/>
    <mergeCell ref="C1232:F1232"/>
    <mergeCell ref="C1233:F1233"/>
  </mergeCells>
  <phoneticPr fontId="3" type="noConversion"/>
  <printOptions horizontalCentered="1"/>
  <pageMargins left="0.19" right="0.19" top="0.26" bottom="0.31" header="0.17" footer="0.22"/>
  <pageSetup paperSize="9" scale="77" fitToHeight="2" orientation="portrait" horizontalDpi="300" verticalDpi="300" r:id="rId5"/>
  <headerFooter alignWithMargins="0"/>
  <ignoredErrors>
    <ignoredError sqref="E10:F10" formula="1"/>
    <ignoredError sqref="B9:B122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ummaryRight="0"/>
  </sheetPr>
  <dimension ref="B1:P1042"/>
  <sheetViews>
    <sheetView showGridLines="0" zoomScale="90" zoomScaleNormal="90" workbookViewId="0">
      <pane ySplit="6" topLeftCell="A349" activePane="bottomLeft" state="frozen"/>
      <selection activeCell="C120" sqref="C120"/>
      <selection pane="bottomLeft" activeCell="H364" sqref="H364"/>
    </sheetView>
  </sheetViews>
  <sheetFormatPr defaultColWidth="9.140625" defaultRowHeight="15" outlineLevelRow="2" x14ac:dyDescent="0.3"/>
  <cols>
    <col min="1" max="1" width="2" style="5" customWidth="1"/>
    <col min="2" max="2" width="11" style="5" customWidth="1"/>
    <col min="3" max="3" width="6.7109375" style="6" customWidth="1"/>
    <col min="4" max="4" width="67.28515625" style="5" customWidth="1"/>
    <col min="5" max="6" width="16.140625" style="5" customWidth="1"/>
    <col min="7" max="16384" width="9.140625" style="5"/>
  </cols>
  <sheetData>
    <row r="1" spans="2:16" x14ac:dyDescent="0.3">
      <c r="B1" s="799" t="s">
        <v>315</v>
      </c>
      <c r="C1" s="799"/>
      <c r="D1" s="52"/>
      <c r="E1" s="792" t="s">
        <v>1213</v>
      </c>
      <c r="F1" s="792"/>
    </row>
    <row r="2" spans="2:16" x14ac:dyDescent="0.3">
      <c r="B2" s="799" t="s">
        <v>1209</v>
      </c>
      <c r="C2" s="799"/>
      <c r="D2" s="799"/>
      <c r="E2" s="799"/>
      <c r="F2" s="799"/>
    </row>
    <row r="4" spans="2:16" s="51" customFormat="1" ht="18" x14ac:dyDescent="0.2">
      <c r="B4" s="90"/>
      <c r="D4" s="795" t="s">
        <v>306</v>
      </c>
      <c r="E4" s="795"/>
      <c r="F4" s="795"/>
    </row>
    <row r="5" spans="2:16" ht="15.75" thickBot="1" x14ac:dyDescent="0.35">
      <c r="D5" s="48" t="s">
        <v>669</v>
      </c>
      <c r="E5" s="802" t="s">
        <v>323</v>
      </c>
      <c r="F5" s="802"/>
    </row>
    <row r="6" spans="2:16" s="80" customFormat="1" ht="45.75" thickBot="1" x14ac:dyDescent="0.25">
      <c r="B6" s="400" t="s">
        <v>4627</v>
      </c>
      <c r="C6" s="422" t="s">
        <v>1211</v>
      </c>
      <c r="D6" s="447" t="s">
        <v>2850</v>
      </c>
      <c r="E6" s="416" t="s">
        <v>322</v>
      </c>
      <c r="F6" s="417" t="s">
        <v>333</v>
      </c>
    </row>
    <row r="7" spans="2:16" s="4" customFormat="1" ht="6" customHeight="1" thickBot="1" x14ac:dyDescent="0.35">
      <c r="C7" s="78"/>
      <c r="D7" s="79"/>
      <c r="E7" s="53"/>
      <c r="F7" s="53"/>
    </row>
    <row r="8" spans="2:16" s="14" customFormat="1" x14ac:dyDescent="0.3">
      <c r="B8" s="632" t="s">
        <v>3628</v>
      </c>
      <c r="C8" s="464">
        <v>1</v>
      </c>
      <c r="D8" s="451" t="s">
        <v>4652</v>
      </c>
      <c r="E8" s="450">
        <f>E9+E94+E179+E264</f>
        <v>0</v>
      </c>
      <c r="F8" s="443">
        <f>F9+F94+F179+F264</f>
        <v>0</v>
      </c>
      <c r="H8" s="48"/>
      <c r="I8" s="48"/>
      <c r="J8" s="48"/>
      <c r="K8" s="48"/>
      <c r="L8" s="48"/>
      <c r="M8" s="48"/>
      <c r="N8" s="48"/>
      <c r="O8" s="48"/>
      <c r="P8" s="48"/>
    </row>
    <row r="9" spans="2:16" s="82" customFormat="1" x14ac:dyDescent="0.3">
      <c r="B9" s="444" t="s">
        <v>3629</v>
      </c>
      <c r="C9" s="458">
        <v>2</v>
      </c>
      <c r="D9" s="452" t="s">
        <v>281</v>
      </c>
      <c r="E9" s="70">
        <f>E10+E31+E52+E73</f>
        <v>0</v>
      </c>
      <c r="F9" s="73">
        <f>F10+F31+F52+F73</f>
        <v>0</v>
      </c>
    </row>
    <row r="10" spans="2:16" s="10" customFormat="1" outlineLevel="1" x14ac:dyDescent="0.3">
      <c r="B10" s="444" t="s">
        <v>3630</v>
      </c>
      <c r="C10" s="459">
        <v>2.1</v>
      </c>
      <c r="D10" s="453" t="s">
        <v>303</v>
      </c>
      <c r="E10" s="71">
        <f>SUM(E11:E30)</f>
        <v>0</v>
      </c>
      <c r="F10" s="74">
        <f>SUM(F11:F30)</f>
        <v>0</v>
      </c>
    </row>
    <row r="11" spans="2:16" s="82" customFormat="1" outlineLevel="2" x14ac:dyDescent="0.3">
      <c r="B11" s="444" t="s">
        <v>3631</v>
      </c>
      <c r="C11" s="460" t="s">
        <v>448</v>
      </c>
      <c r="D11" s="454" t="s">
        <v>299</v>
      </c>
      <c r="E11" s="72"/>
      <c r="F11" s="75"/>
    </row>
    <row r="12" spans="2:16" s="82" customFormat="1" outlineLevel="2" x14ac:dyDescent="0.3">
      <c r="B12" s="444" t="s">
        <v>3632</v>
      </c>
      <c r="C12" s="460" t="s">
        <v>449</v>
      </c>
      <c r="D12" s="454" t="s">
        <v>299</v>
      </c>
      <c r="E12" s="72"/>
      <c r="F12" s="75"/>
    </row>
    <row r="13" spans="2:16" s="82" customFormat="1" outlineLevel="2" x14ac:dyDescent="0.3">
      <c r="B13" s="444" t="s">
        <v>3633</v>
      </c>
      <c r="C13" s="460" t="s">
        <v>562</v>
      </c>
      <c r="D13" s="454" t="s">
        <v>299</v>
      </c>
      <c r="E13" s="72"/>
      <c r="F13" s="75"/>
    </row>
    <row r="14" spans="2:16" s="82" customFormat="1" outlineLevel="2" x14ac:dyDescent="0.3">
      <c r="B14" s="444" t="s">
        <v>3634</v>
      </c>
      <c r="C14" s="460" t="s">
        <v>563</v>
      </c>
      <c r="D14" s="454" t="s">
        <v>299</v>
      </c>
      <c r="E14" s="72"/>
      <c r="F14" s="75"/>
    </row>
    <row r="15" spans="2:16" s="82" customFormat="1" outlineLevel="2" x14ac:dyDescent="0.3">
      <c r="B15" s="444" t="s">
        <v>3635</v>
      </c>
      <c r="C15" s="460" t="s">
        <v>564</v>
      </c>
      <c r="D15" s="454" t="s">
        <v>299</v>
      </c>
      <c r="E15" s="72"/>
      <c r="F15" s="75"/>
    </row>
    <row r="16" spans="2:16" s="82" customFormat="1" outlineLevel="2" x14ac:dyDescent="0.3">
      <c r="B16" s="444" t="s">
        <v>3636</v>
      </c>
      <c r="C16" s="460" t="s">
        <v>565</v>
      </c>
      <c r="D16" s="454" t="s">
        <v>299</v>
      </c>
      <c r="E16" s="72"/>
      <c r="F16" s="75"/>
    </row>
    <row r="17" spans="2:6" s="82" customFormat="1" outlineLevel="2" x14ac:dyDescent="0.3">
      <c r="B17" s="444" t="s">
        <v>3637</v>
      </c>
      <c r="C17" s="460" t="s">
        <v>566</v>
      </c>
      <c r="D17" s="454" t="s">
        <v>299</v>
      </c>
      <c r="E17" s="72"/>
      <c r="F17" s="75"/>
    </row>
    <row r="18" spans="2:6" s="82" customFormat="1" outlineLevel="2" x14ac:dyDescent="0.3">
      <c r="B18" s="444" t="s">
        <v>3638</v>
      </c>
      <c r="C18" s="460" t="s">
        <v>567</v>
      </c>
      <c r="D18" s="454" t="s">
        <v>299</v>
      </c>
      <c r="E18" s="72"/>
      <c r="F18" s="75"/>
    </row>
    <row r="19" spans="2:6" s="82" customFormat="1" outlineLevel="2" x14ac:dyDescent="0.3">
      <c r="B19" s="444" t="s">
        <v>3639</v>
      </c>
      <c r="C19" s="460" t="s">
        <v>568</v>
      </c>
      <c r="D19" s="454" t="s">
        <v>299</v>
      </c>
      <c r="E19" s="72"/>
      <c r="F19" s="75"/>
    </row>
    <row r="20" spans="2:6" s="82" customFormat="1" outlineLevel="2" x14ac:dyDescent="0.3">
      <c r="B20" s="444" t="s">
        <v>3640</v>
      </c>
      <c r="C20" s="460" t="s">
        <v>569</v>
      </c>
      <c r="D20" s="454" t="s">
        <v>299</v>
      </c>
      <c r="E20" s="72"/>
      <c r="F20" s="75"/>
    </row>
    <row r="21" spans="2:6" s="82" customFormat="1" outlineLevel="2" x14ac:dyDescent="0.3">
      <c r="B21" s="444" t="s">
        <v>3641</v>
      </c>
      <c r="C21" s="460" t="s">
        <v>570</v>
      </c>
      <c r="D21" s="454" t="s">
        <v>299</v>
      </c>
      <c r="E21" s="72"/>
      <c r="F21" s="75"/>
    </row>
    <row r="22" spans="2:6" s="82" customFormat="1" outlineLevel="2" x14ac:dyDescent="0.3">
      <c r="B22" s="444" t="s">
        <v>3642</v>
      </c>
      <c r="C22" s="460" t="s">
        <v>571</v>
      </c>
      <c r="D22" s="454" t="s">
        <v>299</v>
      </c>
      <c r="E22" s="72"/>
      <c r="F22" s="75"/>
    </row>
    <row r="23" spans="2:6" s="82" customFormat="1" outlineLevel="2" x14ac:dyDescent="0.3">
      <c r="B23" s="444" t="s">
        <v>3643</v>
      </c>
      <c r="C23" s="460" t="s">
        <v>572</v>
      </c>
      <c r="D23" s="454" t="s">
        <v>299</v>
      </c>
      <c r="E23" s="72"/>
      <c r="F23" s="75"/>
    </row>
    <row r="24" spans="2:6" s="82" customFormat="1" outlineLevel="2" x14ac:dyDescent="0.3">
      <c r="B24" s="444" t="s">
        <v>3644</v>
      </c>
      <c r="C24" s="460" t="s">
        <v>573</v>
      </c>
      <c r="D24" s="454" t="s">
        <v>299</v>
      </c>
      <c r="E24" s="72"/>
      <c r="F24" s="75"/>
    </row>
    <row r="25" spans="2:6" s="82" customFormat="1" outlineLevel="2" x14ac:dyDescent="0.3">
      <c r="B25" s="444" t="s">
        <v>3645</v>
      </c>
      <c r="C25" s="460" t="s">
        <v>574</v>
      </c>
      <c r="D25" s="454" t="s">
        <v>299</v>
      </c>
      <c r="E25" s="72"/>
      <c r="F25" s="75"/>
    </row>
    <row r="26" spans="2:6" s="82" customFormat="1" outlineLevel="2" x14ac:dyDescent="0.3">
      <c r="B26" s="444" t="s">
        <v>3646</v>
      </c>
      <c r="C26" s="460" t="s">
        <v>575</v>
      </c>
      <c r="D26" s="454" t="s">
        <v>299</v>
      </c>
      <c r="E26" s="72"/>
      <c r="F26" s="75"/>
    </row>
    <row r="27" spans="2:6" s="82" customFormat="1" outlineLevel="2" x14ac:dyDescent="0.3">
      <c r="B27" s="444" t="s">
        <v>3647</v>
      </c>
      <c r="C27" s="460" t="s">
        <v>576</v>
      </c>
      <c r="D27" s="454" t="s">
        <v>299</v>
      </c>
      <c r="E27" s="72"/>
      <c r="F27" s="75"/>
    </row>
    <row r="28" spans="2:6" s="82" customFormat="1" outlineLevel="2" x14ac:dyDescent="0.3">
      <c r="B28" s="444" t="s">
        <v>3648</v>
      </c>
      <c r="C28" s="460" t="s">
        <v>577</v>
      </c>
      <c r="D28" s="454" t="s">
        <v>299</v>
      </c>
      <c r="E28" s="72"/>
      <c r="F28" s="75"/>
    </row>
    <row r="29" spans="2:6" s="82" customFormat="1" outlineLevel="2" x14ac:dyDescent="0.3">
      <c r="B29" s="444" t="s">
        <v>3649</v>
      </c>
      <c r="C29" s="460" t="s">
        <v>578</v>
      </c>
      <c r="D29" s="454" t="s">
        <v>299</v>
      </c>
      <c r="E29" s="72"/>
      <c r="F29" s="75"/>
    </row>
    <row r="30" spans="2:6" s="82" customFormat="1" outlineLevel="2" x14ac:dyDescent="0.3">
      <c r="B30" s="444" t="s">
        <v>3650</v>
      </c>
      <c r="C30" s="460" t="s">
        <v>579</v>
      </c>
      <c r="D30" s="454" t="s">
        <v>299</v>
      </c>
      <c r="E30" s="72"/>
      <c r="F30" s="75"/>
    </row>
    <row r="31" spans="2:6" s="10" customFormat="1" outlineLevel="1" x14ac:dyDescent="0.3">
      <c r="B31" s="444" t="s">
        <v>3651</v>
      </c>
      <c r="C31" s="459">
        <v>2.2000000000000002</v>
      </c>
      <c r="D31" s="644" t="s">
        <v>4660</v>
      </c>
      <c r="E31" s="71">
        <f>SUM(E32:E51)</f>
        <v>0</v>
      </c>
      <c r="F31" s="74">
        <f>SUM(F32:F51)</f>
        <v>0</v>
      </c>
    </row>
    <row r="32" spans="2:6" s="82" customFormat="1" outlineLevel="2" x14ac:dyDescent="0.3">
      <c r="B32" s="444" t="s">
        <v>3652</v>
      </c>
      <c r="C32" s="460" t="s">
        <v>580</v>
      </c>
      <c r="D32" s="454" t="s">
        <v>299</v>
      </c>
      <c r="E32" s="85"/>
      <c r="F32" s="86"/>
    </row>
    <row r="33" spans="2:6" s="82" customFormat="1" outlineLevel="2" x14ac:dyDescent="0.3">
      <c r="B33" s="444" t="s">
        <v>3653</v>
      </c>
      <c r="C33" s="460" t="s">
        <v>581</v>
      </c>
      <c r="D33" s="454" t="s">
        <v>299</v>
      </c>
      <c r="E33" s="85"/>
      <c r="F33" s="86"/>
    </row>
    <row r="34" spans="2:6" s="82" customFormat="1" outlineLevel="2" x14ac:dyDescent="0.3">
      <c r="B34" s="444" t="s">
        <v>3654</v>
      </c>
      <c r="C34" s="460" t="s">
        <v>582</v>
      </c>
      <c r="D34" s="454" t="s">
        <v>299</v>
      </c>
      <c r="E34" s="85"/>
      <c r="F34" s="86"/>
    </row>
    <row r="35" spans="2:6" s="82" customFormat="1" outlineLevel="2" x14ac:dyDescent="0.3">
      <c r="B35" s="444" t="s">
        <v>3655</v>
      </c>
      <c r="C35" s="460" t="s">
        <v>583</v>
      </c>
      <c r="D35" s="454" t="s">
        <v>299</v>
      </c>
      <c r="E35" s="85"/>
      <c r="F35" s="86"/>
    </row>
    <row r="36" spans="2:6" s="82" customFormat="1" outlineLevel="2" x14ac:dyDescent="0.3">
      <c r="B36" s="444" t="s">
        <v>3656</v>
      </c>
      <c r="C36" s="460" t="s">
        <v>584</v>
      </c>
      <c r="D36" s="454" t="s">
        <v>299</v>
      </c>
      <c r="E36" s="85"/>
      <c r="F36" s="86"/>
    </row>
    <row r="37" spans="2:6" s="82" customFormat="1" outlineLevel="2" x14ac:dyDescent="0.3">
      <c r="B37" s="444" t="s">
        <v>3657</v>
      </c>
      <c r="C37" s="460" t="s">
        <v>585</v>
      </c>
      <c r="D37" s="454" t="s">
        <v>299</v>
      </c>
      <c r="E37" s="85"/>
      <c r="F37" s="86"/>
    </row>
    <row r="38" spans="2:6" s="82" customFormat="1" outlineLevel="2" x14ac:dyDescent="0.3">
      <c r="B38" s="444" t="s">
        <v>3658</v>
      </c>
      <c r="C38" s="460" t="s">
        <v>586</v>
      </c>
      <c r="D38" s="454" t="s">
        <v>299</v>
      </c>
      <c r="E38" s="85"/>
      <c r="F38" s="86"/>
    </row>
    <row r="39" spans="2:6" s="82" customFormat="1" outlineLevel="2" x14ac:dyDescent="0.3">
      <c r="B39" s="444" t="s">
        <v>3659</v>
      </c>
      <c r="C39" s="460" t="s">
        <v>587</v>
      </c>
      <c r="D39" s="454" t="s">
        <v>299</v>
      </c>
      <c r="E39" s="85"/>
      <c r="F39" s="86"/>
    </row>
    <row r="40" spans="2:6" s="82" customFormat="1" outlineLevel="2" x14ac:dyDescent="0.3">
      <c r="B40" s="444" t="s">
        <v>3660</v>
      </c>
      <c r="C40" s="460" t="s">
        <v>588</v>
      </c>
      <c r="D40" s="454" t="s">
        <v>299</v>
      </c>
      <c r="E40" s="85"/>
      <c r="F40" s="86"/>
    </row>
    <row r="41" spans="2:6" s="82" customFormat="1" outlineLevel="2" x14ac:dyDescent="0.3">
      <c r="B41" s="444" t="s">
        <v>3661</v>
      </c>
      <c r="C41" s="460" t="s">
        <v>589</v>
      </c>
      <c r="D41" s="454" t="s">
        <v>299</v>
      </c>
      <c r="E41" s="85"/>
      <c r="F41" s="86"/>
    </row>
    <row r="42" spans="2:6" s="82" customFormat="1" outlineLevel="2" x14ac:dyDescent="0.3">
      <c r="B42" s="444" t="s">
        <v>3662</v>
      </c>
      <c r="C42" s="460" t="s">
        <v>590</v>
      </c>
      <c r="D42" s="454" t="s">
        <v>299</v>
      </c>
      <c r="E42" s="85"/>
      <c r="F42" s="86"/>
    </row>
    <row r="43" spans="2:6" s="82" customFormat="1" outlineLevel="2" x14ac:dyDescent="0.3">
      <c r="B43" s="444" t="s">
        <v>3663</v>
      </c>
      <c r="C43" s="460" t="s">
        <v>591</v>
      </c>
      <c r="D43" s="454" t="s">
        <v>299</v>
      </c>
      <c r="E43" s="85"/>
      <c r="F43" s="86"/>
    </row>
    <row r="44" spans="2:6" s="82" customFormat="1" outlineLevel="2" x14ac:dyDescent="0.3">
      <c r="B44" s="444" t="s">
        <v>3664</v>
      </c>
      <c r="C44" s="460" t="s">
        <v>592</v>
      </c>
      <c r="D44" s="454" t="s">
        <v>299</v>
      </c>
      <c r="E44" s="85"/>
      <c r="F44" s="86"/>
    </row>
    <row r="45" spans="2:6" s="82" customFormat="1" outlineLevel="2" x14ac:dyDescent="0.3">
      <c r="B45" s="444" t="s">
        <v>3665</v>
      </c>
      <c r="C45" s="460" t="s">
        <v>593</v>
      </c>
      <c r="D45" s="454" t="s">
        <v>299</v>
      </c>
      <c r="E45" s="85"/>
      <c r="F45" s="86"/>
    </row>
    <row r="46" spans="2:6" s="82" customFormat="1" outlineLevel="2" x14ac:dyDescent="0.3">
      <c r="B46" s="444" t="s">
        <v>3666</v>
      </c>
      <c r="C46" s="460" t="s">
        <v>594</v>
      </c>
      <c r="D46" s="454" t="s">
        <v>299</v>
      </c>
      <c r="E46" s="85"/>
      <c r="F46" s="86"/>
    </row>
    <row r="47" spans="2:6" s="82" customFormat="1" outlineLevel="2" x14ac:dyDescent="0.3">
      <c r="B47" s="444" t="s">
        <v>3667</v>
      </c>
      <c r="C47" s="460" t="s">
        <v>595</v>
      </c>
      <c r="D47" s="454" t="s">
        <v>299</v>
      </c>
      <c r="E47" s="85"/>
      <c r="F47" s="86"/>
    </row>
    <row r="48" spans="2:6" s="82" customFormat="1" outlineLevel="2" x14ac:dyDescent="0.3">
      <c r="B48" s="444" t="s">
        <v>3668</v>
      </c>
      <c r="C48" s="460" t="s">
        <v>596</v>
      </c>
      <c r="D48" s="454" t="s">
        <v>299</v>
      </c>
      <c r="E48" s="85"/>
      <c r="F48" s="86"/>
    </row>
    <row r="49" spans="2:6" s="82" customFormat="1" outlineLevel="2" x14ac:dyDescent="0.3">
      <c r="B49" s="444" t="s">
        <v>3669</v>
      </c>
      <c r="C49" s="460" t="s">
        <v>597</v>
      </c>
      <c r="D49" s="454" t="s">
        <v>299</v>
      </c>
      <c r="E49" s="85"/>
      <c r="F49" s="86"/>
    </row>
    <row r="50" spans="2:6" s="82" customFormat="1" outlineLevel="2" x14ac:dyDescent="0.3">
      <c r="B50" s="444" t="s">
        <v>3670</v>
      </c>
      <c r="C50" s="460" t="s">
        <v>598</v>
      </c>
      <c r="D50" s="454" t="s">
        <v>299</v>
      </c>
      <c r="E50" s="85"/>
      <c r="F50" s="86"/>
    </row>
    <row r="51" spans="2:6" s="82" customFormat="1" outlineLevel="2" x14ac:dyDescent="0.3">
      <c r="B51" s="444" t="s">
        <v>3671</v>
      </c>
      <c r="C51" s="460" t="s">
        <v>599</v>
      </c>
      <c r="D51" s="454" t="s">
        <v>299</v>
      </c>
      <c r="E51" s="85"/>
      <c r="F51" s="86"/>
    </row>
    <row r="52" spans="2:6" s="10" customFormat="1" outlineLevel="1" x14ac:dyDescent="0.3">
      <c r="B52" s="444" t="s">
        <v>3672</v>
      </c>
      <c r="C52" s="459">
        <v>2.2999999999999998</v>
      </c>
      <c r="D52" s="453" t="s">
        <v>304</v>
      </c>
      <c r="E52" s="71">
        <f>SUM(E53:E72)</f>
        <v>0</v>
      </c>
      <c r="F52" s="74">
        <f>SUM(F53:F72)</f>
        <v>0</v>
      </c>
    </row>
    <row r="53" spans="2:6" s="82" customFormat="1" outlineLevel="2" x14ac:dyDescent="0.3">
      <c r="B53" s="444" t="s">
        <v>3673</v>
      </c>
      <c r="C53" s="460" t="s">
        <v>1604</v>
      </c>
      <c r="D53" s="454" t="s">
        <v>299</v>
      </c>
      <c r="E53" s="72"/>
      <c r="F53" s="75"/>
    </row>
    <row r="54" spans="2:6" s="82" customFormat="1" outlineLevel="2" x14ac:dyDescent="0.3">
      <c r="B54" s="444" t="s">
        <v>3674</v>
      </c>
      <c r="C54" s="460" t="s">
        <v>1605</v>
      </c>
      <c r="D54" s="454" t="s">
        <v>299</v>
      </c>
      <c r="E54" s="72"/>
      <c r="F54" s="75"/>
    </row>
    <row r="55" spans="2:6" s="82" customFormat="1" outlineLevel="2" x14ac:dyDescent="0.3">
      <c r="B55" s="444" t="s">
        <v>3675</v>
      </c>
      <c r="C55" s="460" t="s">
        <v>1606</v>
      </c>
      <c r="D55" s="454" t="s">
        <v>299</v>
      </c>
      <c r="E55" s="72"/>
      <c r="F55" s="75"/>
    </row>
    <row r="56" spans="2:6" s="82" customFormat="1" outlineLevel="2" x14ac:dyDescent="0.3">
      <c r="B56" s="444" t="s">
        <v>3676</v>
      </c>
      <c r="C56" s="460" t="s">
        <v>1607</v>
      </c>
      <c r="D56" s="454" t="s">
        <v>299</v>
      </c>
      <c r="E56" s="72"/>
      <c r="F56" s="75"/>
    </row>
    <row r="57" spans="2:6" s="82" customFormat="1" outlineLevel="2" x14ac:dyDescent="0.3">
      <c r="B57" s="444" t="s">
        <v>3677</v>
      </c>
      <c r="C57" s="460" t="s">
        <v>1608</v>
      </c>
      <c r="D57" s="454" t="s">
        <v>299</v>
      </c>
      <c r="E57" s="72"/>
      <c r="F57" s="75"/>
    </row>
    <row r="58" spans="2:6" s="82" customFormat="1" outlineLevel="2" x14ac:dyDescent="0.3">
      <c r="B58" s="444" t="s">
        <v>3678</v>
      </c>
      <c r="C58" s="460" t="s">
        <v>1609</v>
      </c>
      <c r="D58" s="454" t="s">
        <v>299</v>
      </c>
      <c r="E58" s="72"/>
      <c r="F58" s="75"/>
    </row>
    <row r="59" spans="2:6" s="82" customFormat="1" outlineLevel="2" x14ac:dyDescent="0.3">
      <c r="B59" s="444" t="s">
        <v>3679</v>
      </c>
      <c r="C59" s="460" t="s">
        <v>1610</v>
      </c>
      <c r="D59" s="454" t="s">
        <v>299</v>
      </c>
      <c r="E59" s="72"/>
      <c r="F59" s="75"/>
    </row>
    <row r="60" spans="2:6" s="82" customFormat="1" outlineLevel="2" x14ac:dyDescent="0.3">
      <c r="B60" s="444" t="s">
        <v>3680</v>
      </c>
      <c r="C60" s="460" t="s">
        <v>1611</v>
      </c>
      <c r="D60" s="454" t="s">
        <v>299</v>
      </c>
      <c r="E60" s="72"/>
      <c r="F60" s="75"/>
    </row>
    <row r="61" spans="2:6" s="82" customFormat="1" outlineLevel="2" x14ac:dyDescent="0.3">
      <c r="B61" s="444" t="s">
        <v>3681</v>
      </c>
      <c r="C61" s="460" t="s">
        <v>1612</v>
      </c>
      <c r="D61" s="454" t="s">
        <v>299</v>
      </c>
      <c r="E61" s="72"/>
      <c r="F61" s="75"/>
    </row>
    <row r="62" spans="2:6" s="82" customFormat="1" outlineLevel="2" x14ac:dyDescent="0.3">
      <c r="B62" s="444" t="s">
        <v>3682</v>
      </c>
      <c r="C62" s="460" t="s">
        <v>1613</v>
      </c>
      <c r="D62" s="454" t="s">
        <v>299</v>
      </c>
      <c r="E62" s="72"/>
      <c r="F62" s="75"/>
    </row>
    <row r="63" spans="2:6" s="82" customFormat="1" outlineLevel="2" x14ac:dyDescent="0.3">
      <c r="B63" s="444" t="s">
        <v>3683</v>
      </c>
      <c r="C63" s="460" t="s">
        <v>1614</v>
      </c>
      <c r="D63" s="454" t="s">
        <v>299</v>
      </c>
      <c r="E63" s="72"/>
      <c r="F63" s="75"/>
    </row>
    <row r="64" spans="2:6" s="82" customFormat="1" outlineLevel="2" x14ac:dyDescent="0.3">
      <c r="B64" s="444" t="s">
        <v>3684</v>
      </c>
      <c r="C64" s="460" t="s">
        <v>1615</v>
      </c>
      <c r="D64" s="454" t="s">
        <v>299</v>
      </c>
      <c r="E64" s="72"/>
      <c r="F64" s="75"/>
    </row>
    <row r="65" spans="2:6" s="82" customFormat="1" outlineLevel="2" x14ac:dyDescent="0.3">
      <c r="B65" s="444" t="s">
        <v>3685</v>
      </c>
      <c r="C65" s="460" t="s">
        <v>1616</v>
      </c>
      <c r="D65" s="454" t="s">
        <v>299</v>
      </c>
      <c r="E65" s="72"/>
      <c r="F65" s="75"/>
    </row>
    <row r="66" spans="2:6" s="82" customFormat="1" outlineLevel="2" x14ac:dyDescent="0.3">
      <c r="B66" s="444" t="s">
        <v>3686</v>
      </c>
      <c r="C66" s="460" t="s">
        <v>1617</v>
      </c>
      <c r="D66" s="454" t="s">
        <v>299</v>
      </c>
      <c r="E66" s="72"/>
      <c r="F66" s="75"/>
    </row>
    <row r="67" spans="2:6" s="82" customFormat="1" outlineLevel="2" x14ac:dyDescent="0.3">
      <c r="B67" s="444" t="s">
        <v>3687</v>
      </c>
      <c r="C67" s="460" t="s">
        <v>1618</v>
      </c>
      <c r="D67" s="454" t="s">
        <v>299</v>
      </c>
      <c r="E67" s="72"/>
      <c r="F67" s="75"/>
    </row>
    <row r="68" spans="2:6" s="82" customFormat="1" outlineLevel="2" x14ac:dyDescent="0.3">
      <c r="B68" s="444" t="s">
        <v>3688</v>
      </c>
      <c r="C68" s="460" t="s">
        <v>1619</v>
      </c>
      <c r="D68" s="454" t="s">
        <v>299</v>
      </c>
      <c r="E68" s="72"/>
      <c r="F68" s="75"/>
    </row>
    <row r="69" spans="2:6" s="82" customFormat="1" outlineLevel="2" x14ac:dyDescent="0.3">
      <c r="B69" s="444" t="s">
        <v>3689</v>
      </c>
      <c r="C69" s="460" t="s">
        <v>1620</v>
      </c>
      <c r="D69" s="454" t="s">
        <v>299</v>
      </c>
      <c r="E69" s="72"/>
      <c r="F69" s="75"/>
    </row>
    <row r="70" spans="2:6" s="82" customFormat="1" outlineLevel="2" x14ac:dyDescent="0.3">
      <c r="B70" s="444" t="s">
        <v>3690</v>
      </c>
      <c r="C70" s="460" t="s">
        <v>1621</v>
      </c>
      <c r="D70" s="454" t="s">
        <v>299</v>
      </c>
      <c r="E70" s="72"/>
      <c r="F70" s="75"/>
    </row>
    <row r="71" spans="2:6" s="82" customFormat="1" outlineLevel="2" x14ac:dyDescent="0.3">
      <c r="B71" s="444" t="s">
        <v>3691</v>
      </c>
      <c r="C71" s="460" t="s">
        <v>1622</v>
      </c>
      <c r="D71" s="454" t="s">
        <v>299</v>
      </c>
      <c r="E71" s="72"/>
      <c r="F71" s="75"/>
    </row>
    <row r="72" spans="2:6" s="82" customFormat="1" outlineLevel="2" x14ac:dyDescent="0.3">
      <c r="B72" s="444" t="s">
        <v>3692</v>
      </c>
      <c r="C72" s="460" t="s">
        <v>1623</v>
      </c>
      <c r="D72" s="454" t="s">
        <v>299</v>
      </c>
      <c r="E72" s="72"/>
      <c r="F72" s="75"/>
    </row>
    <row r="73" spans="2:6" s="10" customFormat="1" outlineLevel="1" x14ac:dyDescent="0.3">
      <c r="B73" s="444" t="s">
        <v>3693</v>
      </c>
      <c r="C73" s="459">
        <v>2.4</v>
      </c>
      <c r="D73" s="453" t="s">
        <v>4661</v>
      </c>
      <c r="E73" s="71">
        <f>SUM(E74:E93)</f>
        <v>0</v>
      </c>
      <c r="F73" s="74">
        <f>SUM(F74:F93)</f>
        <v>0</v>
      </c>
    </row>
    <row r="74" spans="2:6" s="82" customFormat="1" outlineLevel="2" x14ac:dyDescent="0.3">
      <c r="B74" s="444" t="s">
        <v>3694</v>
      </c>
      <c r="C74" s="460" t="s">
        <v>1624</v>
      </c>
      <c r="D74" s="454" t="s">
        <v>299</v>
      </c>
      <c r="E74" s="85"/>
      <c r="F74" s="86"/>
    </row>
    <row r="75" spans="2:6" s="82" customFormat="1" outlineLevel="2" x14ac:dyDescent="0.3">
      <c r="B75" s="444" t="s">
        <v>3695</v>
      </c>
      <c r="C75" s="460" t="s">
        <v>1625</v>
      </c>
      <c r="D75" s="454" t="s">
        <v>299</v>
      </c>
      <c r="E75" s="85"/>
      <c r="F75" s="86"/>
    </row>
    <row r="76" spans="2:6" s="82" customFormat="1" outlineLevel="2" x14ac:dyDescent="0.3">
      <c r="B76" s="444" t="s">
        <v>3696</v>
      </c>
      <c r="C76" s="460" t="s">
        <v>1626</v>
      </c>
      <c r="D76" s="454" t="s">
        <v>299</v>
      </c>
      <c r="E76" s="85"/>
      <c r="F76" s="86"/>
    </row>
    <row r="77" spans="2:6" s="82" customFormat="1" outlineLevel="2" x14ac:dyDescent="0.3">
      <c r="B77" s="444" t="s">
        <v>3697</v>
      </c>
      <c r="C77" s="460" t="s">
        <v>1627</v>
      </c>
      <c r="D77" s="454" t="s">
        <v>299</v>
      </c>
      <c r="E77" s="85"/>
      <c r="F77" s="86"/>
    </row>
    <row r="78" spans="2:6" s="82" customFormat="1" outlineLevel="2" x14ac:dyDescent="0.3">
      <c r="B78" s="444" t="s">
        <v>3698</v>
      </c>
      <c r="C78" s="460" t="s">
        <v>1628</v>
      </c>
      <c r="D78" s="454" t="s">
        <v>299</v>
      </c>
      <c r="E78" s="85"/>
      <c r="F78" s="86"/>
    </row>
    <row r="79" spans="2:6" s="82" customFormat="1" outlineLevel="2" x14ac:dyDescent="0.3">
      <c r="B79" s="444" t="s">
        <v>3699</v>
      </c>
      <c r="C79" s="460" t="s">
        <v>1629</v>
      </c>
      <c r="D79" s="454" t="s">
        <v>299</v>
      </c>
      <c r="E79" s="85"/>
      <c r="F79" s="86"/>
    </row>
    <row r="80" spans="2:6" s="82" customFormat="1" outlineLevel="2" x14ac:dyDescent="0.3">
      <c r="B80" s="444" t="s">
        <v>3700</v>
      </c>
      <c r="C80" s="460" t="s">
        <v>1630</v>
      </c>
      <c r="D80" s="454" t="s">
        <v>299</v>
      </c>
      <c r="E80" s="85"/>
      <c r="F80" s="86"/>
    </row>
    <row r="81" spans="2:6" s="82" customFormat="1" outlineLevel="2" x14ac:dyDescent="0.3">
      <c r="B81" s="444" t="s">
        <v>3701</v>
      </c>
      <c r="C81" s="460" t="s">
        <v>1631</v>
      </c>
      <c r="D81" s="454" t="s">
        <v>299</v>
      </c>
      <c r="E81" s="85"/>
      <c r="F81" s="86"/>
    </row>
    <row r="82" spans="2:6" s="82" customFormat="1" outlineLevel="2" x14ac:dyDescent="0.3">
      <c r="B82" s="444" t="s">
        <v>3702</v>
      </c>
      <c r="C82" s="460" t="s">
        <v>1632</v>
      </c>
      <c r="D82" s="454" t="s">
        <v>299</v>
      </c>
      <c r="E82" s="85"/>
      <c r="F82" s="86"/>
    </row>
    <row r="83" spans="2:6" s="82" customFormat="1" outlineLevel="2" x14ac:dyDescent="0.3">
      <c r="B83" s="444" t="s">
        <v>3703</v>
      </c>
      <c r="C83" s="460" t="s">
        <v>1633</v>
      </c>
      <c r="D83" s="454" t="s">
        <v>299</v>
      </c>
      <c r="E83" s="85"/>
      <c r="F83" s="86"/>
    </row>
    <row r="84" spans="2:6" s="82" customFormat="1" outlineLevel="2" x14ac:dyDescent="0.3">
      <c r="B84" s="444" t="s">
        <v>3704</v>
      </c>
      <c r="C84" s="460" t="s">
        <v>1634</v>
      </c>
      <c r="D84" s="454" t="s">
        <v>299</v>
      </c>
      <c r="E84" s="85"/>
      <c r="F84" s="86"/>
    </row>
    <row r="85" spans="2:6" s="82" customFormat="1" outlineLevel="2" x14ac:dyDescent="0.3">
      <c r="B85" s="444" t="s">
        <v>3705</v>
      </c>
      <c r="C85" s="460" t="s">
        <v>1635</v>
      </c>
      <c r="D85" s="454" t="s">
        <v>299</v>
      </c>
      <c r="E85" s="85"/>
      <c r="F85" s="86"/>
    </row>
    <row r="86" spans="2:6" s="82" customFormat="1" outlineLevel="2" x14ac:dyDescent="0.3">
      <c r="B86" s="444" t="s">
        <v>3706</v>
      </c>
      <c r="C86" s="460" t="s">
        <v>1636</v>
      </c>
      <c r="D86" s="454" t="s">
        <v>299</v>
      </c>
      <c r="E86" s="85"/>
      <c r="F86" s="86"/>
    </row>
    <row r="87" spans="2:6" s="82" customFormat="1" outlineLevel="2" x14ac:dyDescent="0.3">
      <c r="B87" s="444" t="s">
        <v>3707</v>
      </c>
      <c r="C87" s="460" t="s">
        <v>1637</v>
      </c>
      <c r="D87" s="454" t="s">
        <v>299</v>
      </c>
      <c r="E87" s="85"/>
      <c r="F87" s="86"/>
    </row>
    <row r="88" spans="2:6" s="82" customFormat="1" outlineLevel="2" x14ac:dyDescent="0.3">
      <c r="B88" s="444" t="s">
        <v>3708</v>
      </c>
      <c r="C88" s="460" t="s">
        <v>1638</v>
      </c>
      <c r="D88" s="454" t="s">
        <v>299</v>
      </c>
      <c r="E88" s="85"/>
      <c r="F88" s="86"/>
    </row>
    <row r="89" spans="2:6" s="82" customFormat="1" outlineLevel="2" x14ac:dyDescent="0.3">
      <c r="B89" s="444" t="s">
        <v>3709</v>
      </c>
      <c r="C89" s="460" t="s">
        <v>1639</v>
      </c>
      <c r="D89" s="454" t="s">
        <v>299</v>
      </c>
      <c r="E89" s="85"/>
      <c r="F89" s="86"/>
    </row>
    <row r="90" spans="2:6" s="82" customFormat="1" outlineLevel="2" x14ac:dyDescent="0.3">
      <c r="B90" s="444" t="s">
        <v>3710</v>
      </c>
      <c r="C90" s="460" t="s">
        <v>1640</v>
      </c>
      <c r="D90" s="454" t="s">
        <v>299</v>
      </c>
      <c r="E90" s="85"/>
      <c r="F90" s="86"/>
    </row>
    <row r="91" spans="2:6" s="82" customFormat="1" outlineLevel="2" x14ac:dyDescent="0.3">
      <c r="B91" s="444" t="s">
        <v>3711</v>
      </c>
      <c r="C91" s="460" t="s">
        <v>1641</v>
      </c>
      <c r="D91" s="454" t="s">
        <v>299</v>
      </c>
      <c r="E91" s="85"/>
      <c r="F91" s="86"/>
    </row>
    <row r="92" spans="2:6" s="82" customFormat="1" outlineLevel="2" x14ac:dyDescent="0.3">
      <c r="B92" s="444" t="s">
        <v>3712</v>
      </c>
      <c r="C92" s="460" t="s">
        <v>1642</v>
      </c>
      <c r="D92" s="454" t="s">
        <v>299</v>
      </c>
      <c r="E92" s="85"/>
      <c r="F92" s="86"/>
    </row>
    <row r="93" spans="2:6" s="82" customFormat="1" outlineLevel="2" x14ac:dyDescent="0.3">
      <c r="B93" s="444" t="s">
        <v>3713</v>
      </c>
      <c r="C93" s="460" t="s">
        <v>1643</v>
      </c>
      <c r="D93" s="454" t="s">
        <v>299</v>
      </c>
      <c r="E93" s="85"/>
      <c r="F93" s="86"/>
    </row>
    <row r="94" spans="2:6" s="81" customFormat="1" x14ac:dyDescent="0.3">
      <c r="B94" s="444" t="s">
        <v>3714</v>
      </c>
      <c r="C94" s="461">
        <v>3</v>
      </c>
      <c r="D94" s="455" t="s">
        <v>290</v>
      </c>
      <c r="E94" s="70">
        <f>E95+E116+E137+E158</f>
        <v>0</v>
      </c>
      <c r="F94" s="73">
        <f>F95+F116+F137+F158</f>
        <v>0</v>
      </c>
    </row>
    <row r="95" spans="2:6" s="10" customFormat="1" outlineLevel="1" x14ac:dyDescent="0.3">
      <c r="B95" s="444" t="s">
        <v>3715</v>
      </c>
      <c r="C95" s="459">
        <v>3.1</v>
      </c>
      <c r="D95" s="453" t="s">
        <v>303</v>
      </c>
      <c r="E95" s="71">
        <f>SUM(E96:E115)</f>
        <v>0</v>
      </c>
      <c r="F95" s="74">
        <f>SUM(F96:F115)</f>
        <v>0</v>
      </c>
    </row>
    <row r="96" spans="2:6" s="82" customFormat="1" outlineLevel="2" x14ac:dyDescent="0.3">
      <c r="B96" s="444" t="s">
        <v>3716</v>
      </c>
      <c r="C96" s="460" t="s">
        <v>450</v>
      </c>
      <c r="D96" s="454" t="s">
        <v>299</v>
      </c>
      <c r="E96" s="72"/>
      <c r="F96" s="75"/>
    </row>
    <row r="97" spans="2:6" s="82" customFormat="1" outlineLevel="2" x14ac:dyDescent="0.3">
      <c r="B97" s="444" t="s">
        <v>3717</v>
      </c>
      <c r="C97" s="460" t="s">
        <v>451</v>
      </c>
      <c r="D97" s="454" t="s">
        <v>299</v>
      </c>
      <c r="E97" s="72"/>
      <c r="F97" s="75"/>
    </row>
    <row r="98" spans="2:6" s="82" customFormat="1" outlineLevel="2" x14ac:dyDescent="0.3">
      <c r="B98" s="444" t="s">
        <v>3718</v>
      </c>
      <c r="C98" s="460" t="s">
        <v>458</v>
      </c>
      <c r="D98" s="454" t="s">
        <v>299</v>
      </c>
      <c r="E98" s="72"/>
      <c r="F98" s="75"/>
    </row>
    <row r="99" spans="2:6" s="82" customFormat="1" outlineLevel="2" x14ac:dyDescent="0.3">
      <c r="B99" s="444" t="s">
        <v>3719</v>
      </c>
      <c r="C99" s="460" t="s">
        <v>600</v>
      </c>
      <c r="D99" s="454" t="s">
        <v>299</v>
      </c>
      <c r="E99" s="72"/>
      <c r="F99" s="75"/>
    </row>
    <row r="100" spans="2:6" s="82" customFormat="1" outlineLevel="2" x14ac:dyDescent="0.3">
      <c r="B100" s="444" t="s">
        <v>3720</v>
      </c>
      <c r="C100" s="460" t="s">
        <v>601</v>
      </c>
      <c r="D100" s="454" t="s">
        <v>299</v>
      </c>
      <c r="E100" s="72"/>
      <c r="F100" s="75"/>
    </row>
    <row r="101" spans="2:6" s="82" customFormat="1" outlineLevel="2" x14ac:dyDescent="0.3">
      <c r="B101" s="444" t="s">
        <v>3721</v>
      </c>
      <c r="C101" s="460" t="s">
        <v>602</v>
      </c>
      <c r="D101" s="454" t="s">
        <v>299</v>
      </c>
      <c r="E101" s="72"/>
      <c r="F101" s="75"/>
    </row>
    <row r="102" spans="2:6" s="82" customFormat="1" outlineLevel="2" x14ac:dyDescent="0.3">
      <c r="B102" s="444" t="s">
        <v>3722</v>
      </c>
      <c r="C102" s="460" t="s">
        <v>603</v>
      </c>
      <c r="D102" s="454" t="s">
        <v>299</v>
      </c>
      <c r="E102" s="72"/>
      <c r="F102" s="75"/>
    </row>
    <row r="103" spans="2:6" s="82" customFormat="1" outlineLevel="2" x14ac:dyDescent="0.3">
      <c r="B103" s="444" t="s">
        <v>3723</v>
      </c>
      <c r="C103" s="460" t="s">
        <v>604</v>
      </c>
      <c r="D103" s="454" t="s">
        <v>299</v>
      </c>
      <c r="E103" s="72"/>
      <c r="F103" s="75"/>
    </row>
    <row r="104" spans="2:6" s="82" customFormat="1" outlineLevel="2" x14ac:dyDescent="0.3">
      <c r="B104" s="444" t="s">
        <v>3724</v>
      </c>
      <c r="C104" s="460" t="s">
        <v>605</v>
      </c>
      <c r="D104" s="454" t="s">
        <v>299</v>
      </c>
      <c r="E104" s="72"/>
      <c r="F104" s="75"/>
    </row>
    <row r="105" spans="2:6" s="82" customFormat="1" outlineLevel="2" x14ac:dyDescent="0.3">
      <c r="B105" s="444" t="s">
        <v>3725</v>
      </c>
      <c r="C105" s="460" t="s">
        <v>606</v>
      </c>
      <c r="D105" s="454" t="s">
        <v>299</v>
      </c>
      <c r="E105" s="72"/>
      <c r="F105" s="75"/>
    </row>
    <row r="106" spans="2:6" s="82" customFormat="1" outlineLevel="2" x14ac:dyDescent="0.3">
      <c r="B106" s="444" t="s">
        <v>3726</v>
      </c>
      <c r="C106" s="460" t="s">
        <v>607</v>
      </c>
      <c r="D106" s="454" t="s">
        <v>299</v>
      </c>
      <c r="E106" s="72"/>
      <c r="F106" s="75"/>
    </row>
    <row r="107" spans="2:6" s="82" customFormat="1" outlineLevel="2" x14ac:dyDescent="0.3">
      <c r="B107" s="444" t="s">
        <v>3727</v>
      </c>
      <c r="C107" s="460" t="s">
        <v>608</v>
      </c>
      <c r="D107" s="454" t="s">
        <v>299</v>
      </c>
      <c r="E107" s="72"/>
      <c r="F107" s="75"/>
    </row>
    <row r="108" spans="2:6" s="82" customFormat="1" outlineLevel="2" x14ac:dyDescent="0.3">
      <c r="B108" s="444" t="s">
        <v>3728</v>
      </c>
      <c r="C108" s="460" t="s">
        <v>609</v>
      </c>
      <c r="D108" s="454" t="s">
        <v>299</v>
      </c>
      <c r="E108" s="72"/>
      <c r="F108" s="75"/>
    </row>
    <row r="109" spans="2:6" s="82" customFormat="1" outlineLevel="2" x14ac:dyDescent="0.3">
      <c r="B109" s="444" t="s">
        <v>3729</v>
      </c>
      <c r="C109" s="460" t="s">
        <v>610</v>
      </c>
      <c r="D109" s="454" t="s">
        <v>299</v>
      </c>
      <c r="E109" s="72"/>
      <c r="F109" s="75"/>
    </row>
    <row r="110" spans="2:6" s="82" customFormat="1" outlineLevel="2" x14ac:dyDescent="0.3">
      <c r="B110" s="444" t="s">
        <v>3730</v>
      </c>
      <c r="C110" s="460" t="s">
        <v>611</v>
      </c>
      <c r="D110" s="454" t="s">
        <v>299</v>
      </c>
      <c r="E110" s="72"/>
      <c r="F110" s="75"/>
    </row>
    <row r="111" spans="2:6" s="82" customFormat="1" outlineLevel="2" x14ac:dyDescent="0.3">
      <c r="B111" s="444" t="s">
        <v>3731</v>
      </c>
      <c r="C111" s="460" t="s">
        <v>612</v>
      </c>
      <c r="D111" s="454" t="s">
        <v>299</v>
      </c>
      <c r="E111" s="72"/>
      <c r="F111" s="75"/>
    </row>
    <row r="112" spans="2:6" s="82" customFormat="1" outlineLevel="2" x14ac:dyDescent="0.3">
      <c r="B112" s="444" t="s">
        <v>3732</v>
      </c>
      <c r="C112" s="460" t="s">
        <v>613</v>
      </c>
      <c r="D112" s="454" t="s">
        <v>299</v>
      </c>
      <c r="E112" s="72"/>
      <c r="F112" s="75"/>
    </row>
    <row r="113" spans="2:6" s="82" customFormat="1" outlineLevel="2" x14ac:dyDescent="0.3">
      <c r="B113" s="444" t="s">
        <v>3733</v>
      </c>
      <c r="C113" s="460" t="s">
        <v>614</v>
      </c>
      <c r="D113" s="454" t="s">
        <v>299</v>
      </c>
      <c r="E113" s="72"/>
      <c r="F113" s="75"/>
    </row>
    <row r="114" spans="2:6" s="82" customFormat="1" outlineLevel="2" x14ac:dyDescent="0.3">
      <c r="B114" s="444" t="s">
        <v>3734</v>
      </c>
      <c r="C114" s="460" t="s">
        <v>615</v>
      </c>
      <c r="D114" s="454" t="s">
        <v>299</v>
      </c>
      <c r="E114" s="72"/>
      <c r="F114" s="75"/>
    </row>
    <row r="115" spans="2:6" s="82" customFormat="1" outlineLevel="2" x14ac:dyDescent="0.3">
      <c r="B115" s="444" t="s">
        <v>3735</v>
      </c>
      <c r="C115" s="460" t="s">
        <v>616</v>
      </c>
      <c r="D115" s="454" t="s">
        <v>299</v>
      </c>
      <c r="E115" s="72"/>
      <c r="F115" s="75"/>
    </row>
    <row r="116" spans="2:6" s="10" customFormat="1" outlineLevel="1" x14ac:dyDescent="0.3">
      <c r="B116" s="444" t="s">
        <v>3736</v>
      </c>
      <c r="C116" s="459">
        <v>3.2</v>
      </c>
      <c r="D116" s="453" t="s">
        <v>4660</v>
      </c>
      <c r="E116" s="71">
        <f>SUM(E117:E136)</f>
        <v>0</v>
      </c>
      <c r="F116" s="74">
        <f>SUM(F117:F136)</f>
        <v>0</v>
      </c>
    </row>
    <row r="117" spans="2:6" s="82" customFormat="1" outlineLevel="2" x14ac:dyDescent="0.3">
      <c r="B117" s="444" t="s">
        <v>3737</v>
      </c>
      <c r="C117" s="460" t="s">
        <v>454</v>
      </c>
      <c r="D117" s="454" t="s">
        <v>299</v>
      </c>
      <c r="E117" s="85"/>
      <c r="F117" s="86"/>
    </row>
    <row r="118" spans="2:6" s="82" customFormat="1" outlineLevel="2" x14ac:dyDescent="0.3">
      <c r="B118" s="444" t="s">
        <v>3738</v>
      </c>
      <c r="C118" s="460" t="s">
        <v>455</v>
      </c>
      <c r="D118" s="454" t="s">
        <v>299</v>
      </c>
      <c r="E118" s="85"/>
      <c r="F118" s="86"/>
    </row>
    <row r="119" spans="2:6" s="82" customFormat="1" outlineLevel="2" x14ac:dyDescent="0.3">
      <c r="B119" s="444" t="s">
        <v>3739</v>
      </c>
      <c r="C119" s="460" t="s">
        <v>459</v>
      </c>
      <c r="D119" s="454" t="s">
        <v>299</v>
      </c>
      <c r="E119" s="85"/>
      <c r="F119" s="86"/>
    </row>
    <row r="120" spans="2:6" s="82" customFormat="1" outlineLevel="2" x14ac:dyDescent="0.3">
      <c r="B120" s="444" t="s">
        <v>3740</v>
      </c>
      <c r="C120" s="460" t="s">
        <v>617</v>
      </c>
      <c r="D120" s="454" t="s">
        <v>299</v>
      </c>
      <c r="E120" s="85"/>
      <c r="F120" s="86"/>
    </row>
    <row r="121" spans="2:6" s="82" customFormat="1" outlineLevel="2" x14ac:dyDescent="0.3">
      <c r="B121" s="444" t="s">
        <v>3741</v>
      </c>
      <c r="C121" s="460" t="s">
        <v>618</v>
      </c>
      <c r="D121" s="454" t="s">
        <v>299</v>
      </c>
      <c r="E121" s="85"/>
      <c r="F121" s="86"/>
    </row>
    <row r="122" spans="2:6" s="82" customFormat="1" outlineLevel="2" x14ac:dyDescent="0.3">
      <c r="B122" s="444" t="s">
        <v>3742</v>
      </c>
      <c r="C122" s="460" t="s">
        <v>619</v>
      </c>
      <c r="D122" s="454" t="s">
        <v>299</v>
      </c>
      <c r="E122" s="85"/>
      <c r="F122" s="86"/>
    </row>
    <row r="123" spans="2:6" s="82" customFormat="1" outlineLevel="2" x14ac:dyDescent="0.3">
      <c r="B123" s="444" t="s">
        <v>3743</v>
      </c>
      <c r="C123" s="460" t="s">
        <v>620</v>
      </c>
      <c r="D123" s="454" t="s">
        <v>299</v>
      </c>
      <c r="E123" s="85"/>
      <c r="F123" s="86"/>
    </row>
    <row r="124" spans="2:6" s="82" customFormat="1" outlineLevel="2" x14ac:dyDescent="0.3">
      <c r="B124" s="444" t="s">
        <v>3744</v>
      </c>
      <c r="C124" s="460" t="s">
        <v>621</v>
      </c>
      <c r="D124" s="454" t="s">
        <v>299</v>
      </c>
      <c r="E124" s="85"/>
      <c r="F124" s="86"/>
    </row>
    <row r="125" spans="2:6" s="82" customFormat="1" outlineLevel="2" x14ac:dyDescent="0.3">
      <c r="B125" s="444" t="s">
        <v>3745</v>
      </c>
      <c r="C125" s="460" t="s">
        <v>622</v>
      </c>
      <c r="D125" s="454" t="s">
        <v>299</v>
      </c>
      <c r="E125" s="85"/>
      <c r="F125" s="86"/>
    </row>
    <row r="126" spans="2:6" s="82" customFormat="1" outlineLevel="2" x14ac:dyDescent="0.3">
      <c r="B126" s="444" t="s">
        <v>3746</v>
      </c>
      <c r="C126" s="460" t="s">
        <v>623</v>
      </c>
      <c r="D126" s="454" t="s">
        <v>299</v>
      </c>
      <c r="E126" s="85"/>
      <c r="F126" s="86"/>
    </row>
    <row r="127" spans="2:6" s="82" customFormat="1" outlineLevel="2" x14ac:dyDescent="0.3">
      <c r="B127" s="444" t="s">
        <v>3747</v>
      </c>
      <c r="C127" s="460" t="s">
        <v>624</v>
      </c>
      <c r="D127" s="454" t="s">
        <v>299</v>
      </c>
      <c r="E127" s="85"/>
      <c r="F127" s="86"/>
    </row>
    <row r="128" spans="2:6" s="82" customFormat="1" outlineLevel="2" x14ac:dyDescent="0.3">
      <c r="B128" s="444" t="s">
        <v>3748</v>
      </c>
      <c r="C128" s="460" t="s">
        <v>625</v>
      </c>
      <c r="D128" s="454" t="s">
        <v>299</v>
      </c>
      <c r="E128" s="85"/>
      <c r="F128" s="86"/>
    </row>
    <row r="129" spans="2:6" s="82" customFormat="1" outlineLevel="2" x14ac:dyDescent="0.3">
      <c r="B129" s="444" t="s">
        <v>3749</v>
      </c>
      <c r="C129" s="460" t="s">
        <v>626</v>
      </c>
      <c r="D129" s="454" t="s">
        <v>299</v>
      </c>
      <c r="E129" s="85"/>
      <c r="F129" s="86"/>
    </row>
    <row r="130" spans="2:6" s="82" customFormat="1" outlineLevel="2" x14ac:dyDescent="0.3">
      <c r="B130" s="444" t="s">
        <v>3750</v>
      </c>
      <c r="C130" s="460" t="s">
        <v>627</v>
      </c>
      <c r="D130" s="454" t="s">
        <v>299</v>
      </c>
      <c r="E130" s="85"/>
      <c r="F130" s="86"/>
    </row>
    <row r="131" spans="2:6" s="82" customFormat="1" outlineLevel="2" x14ac:dyDescent="0.3">
      <c r="B131" s="444" t="s">
        <v>3751</v>
      </c>
      <c r="C131" s="460" t="s">
        <v>628</v>
      </c>
      <c r="D131" s="454" t="s">
        <v>299</v>
      </c>
      <c r="E131" s="85"/>
      <c r="F131" s="86"/>
    </row>
    <row r="132" spans="2:6" s="82" customFormat="1" outlineLevel="2" x14ac:dyDescent="0.3">
      <c r="B132" s="444" t="s">
        <v>3752</v>
      </c>
      <c r="C132" s="460" t="s">
        <v>629</v>
      </c>
      <c r="D132" s="454" t="s">
        <v>299</v>
      </c>
      <c r="E132" s="85"/>
      <c r="F132" s="86"/>
    </row>
    <row r="133" spans="2:6" s="82" customFormat="1" outlineLevel="2" x14ac:dyDescent="0.3">
      <c r="B133" s="444" t="s">
        <v>3753</v>
      </c>
      <c r="C133" s="460" t="s">
        <v>630</v>
      </c>
      <c r="D133" s="454" t="s">
        <v>299</v>
      </c>
      <c r="E133" s="85"/>
      <c r="F133" s="86"/>
    </row>
    <row r="134" spans="2:6" s="82" customFormat="1" outlineLevel="2" x14ac:dyDescent="0.3">
      <c r="B134" s="444" t="s">
        <v>3754</v>
      </c>
      <c r="C134" s="460" t="s">
        <v>631</v>
      </c>
      <c r="D134" s="454" t="s">
        <v>299</v>
      </c>
      <c r="E134" s="85"/>
      <c r="F134" s="86"/>
    </row>
    <row r="135" spans="2:6" s="82" customFormat="1" outlineLevel="2" x14ac:dyDescent="0.3">
      <c r="B135" s="444" t="s">
        <v>3755</v>
      </c>
      <c r="C135" s="460" t="s">
        <v>632</v>
      </c>
      <c r="D135" s="454" t="s">
        <v>299</v>
      </c>
      <c r="E135" s="85"/>
      <c r="F135" s="86"/>
    </row>
    <row r="136" spans="2:6" s="82" customFormat="1" outlineLevel="2" x14ac:dyDescent="0.3">
      <c r="B136" s="444" t="s">
        <v>3756</v>
      </c>
      <c r="C136" s="460" t="s">
        <v>633</v>
      </c>
      <c r="D136" s="454" t="s">
        <v>299</v>
      </c>
      <c r="E136" s="85"/>
      <c r="F136" s="86"/>
    </row>
    <row r="137" spans="2:6" s="10" customFormat="1" outlineLevel="1" x14ac:dyDescent="0.3">
      <c r="B137" s="444" t="s">
        <v>3757</v>
      </c>
      <c r="C137" s="459">
        <v>3.3</v>
      </c>
      <c r="D137" s="453" t="s">
        <v>304</v>
      </c>
      <c r="E137" s="71">
        <f>SUM(E138:E157)</f>
        <v>0</v>
      </c>
      <c r="F137" s="74">
        <f>SUM(F138:F157)</f>
        <v>0</v>
      </c>
    </row>
    <row r="138" spans="2:6" s="82" customFormat="1" outlineLevel="2" x14ac:dyDescent="0.3">
      <c r="B138" s="444" t="s">
        <v>3758</v>
      </c>
      <c r="C138" s="460" t="s">
        <v>1644</v>
      </c>
      <c r="D138" s="454" t="s">
        <v>299</v>
      </c>
      <c r="E138" s="72"/>
      <c r="F138" s="75"/>
    </row>
    <row r="139" spans="2:6" s="82" customFormat="1" outlineLevel="2" x14ac:dyDescent="0.3">
      <c r="B139" s="444" t="s">
        <v>3759</v>
      </c>
      <c r="C139" s="460" t="s">
        <v>1645</v>
      </c>
      <c r="D139" s="454" t="s">
        <v>299</v>
      </c>
      <c r="E139" s="72"/>
      <c r="F139" s="75"/>
    </row>
    <row r="140" spans="2:6" s="82" customFormat="1" outlineLevel="2" x14ac:dyDescent="0.3">
      <c r="B140" s="444" t="s">
        <v>3760</v>
      </c>
      <c r="C140" s="460" t="s">
        <v>1646</v>
      </c>
      <c r="D140" s="454" t="s">
        <v>299</v>
      </c>
      <c r="E140" s="72"/>
      <c r="F140" s="75"/>
    </row>
    <row r="141" spans="2:6" s="82" customFormat="1" outlineLevel="2" x14ac:dyDescent="0.3">
      <c r="B141" s="444" t="s">
        <v>3761</v>
      </c>
      <c r="C141" s="460" t="s">
        <v>1647</v>
      </c>
      <c r="D141" s="454" t="s">
        <v>299</v>
      </c>
      <c r="E141" s="72"/>
      <c r="F141" s="75"/>
    </row>
    <row r="142" spans="2:6" s="82" customFormat="1" outlineLevel="2" x14ac:dyDescent="0.3">
      <c r="B142" s="444" t="s">
        <v>3762</v>
      </c>
      <c r="C142" s="460" t="s">
        <v>1648</v>
      </c>
      <c r="D142" s="454" t="s">
        <v>299</v>
      </c>
      <c r="E142" s="72"/>
      <c r="F142" s="75"/>
    </row>
    <row r="143" spans="2:6" s="82" customFormat="1" outlineLevel="2" x14ac:dyDescent="0.3">
      <c r="B143" s="444" t="s">
        <v>3763</v>
      </c>
      <c r="C143" s="460" t="s">
        <v>1649</v>
      </c>
      <c r="D143" s="454" t="s">
        <v>299</v>
      </c>
      <c r="E143" s="72"/>
      <c r="F143" s="75"/>
    </row>
    <row r="144" spans="2:6" s="82" customFormat="1" outlineLevel="2" x14ac:dyDescent="0.3">
      <c r="B144" s="444" t="s">
        <v>3764</v>
      </c>
      <c r="C144" s="460" t="s">
        <v>1650</v>
      </c>
      <c r="D144" s="454" t="s">
        <v>299</v>
      </c>
      <c r="E144" s="72"/>
      <c r="F144" s="75"/>
    </row>
    <row r="145" spans="2:6" s="82" customFormat="1" outlineLevel="2" x14ac:dyDescent="0.3">
      <c r="B145" s="444" t="s">
        <v>3765</v>
      </c>
      <c r="C145" s="460" t="s">
        <v>1651</v>
      </c>
      <c r="D145" s="454" t="s">
        <v>299</v>
      </c>
      <c r="E145" s="72"/>
      <c r="F145" s="75"/>
    </row>
    <row r="146" spans="2:6" s="82" customFormat="1" outlineLevel="2" x14ac:dyDescent="0.3">
      <c r="B146" s="444" t="s">
        <v>3766</v>
      </c>
      <c r="C146" s="460" t="s">
        <v>1652</v>
      </c>
      <c r="D146" s="454" t="s">
        <v>299</v>
      </c>
      <c r="E146" s="72"/>
      <c r="F146" s="75"/>
    </row>
    <row r="147" spans="2:6" s="82" customFormat="1" outlineLevel="2" x14ac:dyDescent="0.3">
      <c r="B147" s="444" t="s">
        <v>3767</v>
      </c>
      <c r="C147" s="460" t="s">
        <v>1653</v>
      </c>
      <c r="D147" s="454" t="s">
        <v>299</v>
      </c>
      <c r="E147" s="72"/>
      <c r="F147" s="75"/>
    </row>
    <row r="148" spans="2:6" s="82" customFormat="1" outlineLevel="2" x14ac:dyDescent="0.3">
      <c r="B148" s="444" t="s">
        <v>3768</v>
      </c>
      <c r="C148" s="460" t="s">
        <v>1654</v>
      </c>
      <c r="D148" s="454" t="s">
        <v>299</v>
      </c>
      <c r="E148" s="72"/>
      <c r="F148" s="75"/>
    </row>
    <row r="149" spans="2:6" s="82" customFormat="1" outlineLevel="2" x14ac:dyDescent="0.3">
      <c r="B149" s="444" t="s">
        <v>3769</v>
      </c>
      <c r="C149" s="460" t="s">
        <v>1655</v>
      </c>
      <c r="D149" s="454" t="s">
        <v>299</v>
      </c>
      <c r="E149" s="72"/>
      <c r="F149" s="75"/>
    </row>
    <row r="150" spans="2:6" s="82" customFormat="1" outlineLevel="2" x14ac:dyDescent="0.3">
      <c r="B150" s="444" t="s">
        <v>3770</v>
      </c>
      <c r="C150" s="460" t="s">
        <v>1656</v>
      </c>
      <c r="D150" s="454" t="s">
        <v>299</v>
      </c>
      <c r="E150" s="72"/>
      <c r="F150" s="75"/>
    </row>
    <row r="151" spans="2:6" s="82" customFormat="1" outlineLevel="2" x14ac:dyDescent="0.3">
      <c r="B151" s="444" t="s">
        <v>3771</v>
      </c>
      <c r="C151" s="460" t="s">
        <v>1657</v>
      </c>
      <c r="D151" s="454" t="s">
        <v>299</v>
      </c>
      <c r="E151" s="72"/>
      <c r="F151" s="75"/>
    </row>
    <row r="152" spans="2:6" s="82" customFormat="1" outlineLevel="2" x14ac:dyDescent="0.3">
      <c r="B152" s="444" t="s">
        <v>3772</v>
      </c>
      <c r="C152" s="460" t="s">
        <v>1658</v>
      </c>
      <c r="D152" s="454" t="s">
        <v>299</v>
      </c>
      <c r="E152" s="72"/>
      <c r="F152" s="75"/>
    </row>
    <row r="153" spans="2:6" s="82" customFormat="1" outlineLevel="2" x14ac:dyDescent="0.3">
      <c r="B153" s="444" t="s">
        <v>3773</v>
      </c>
      <c r="C153" s="460" t="s">
        <v>1659</v>
      </c>
      <c r="D153" s="454" t="s">
        <v>299</v>
      </c>
      <c r="E153" s="72"/>
      <c r="F153" s="75"/>
    </row>
    <row r="154" spans="2:6" s="82" customFormat="1" outlineLevel="2" x14ac:dyDescent="0.3">
      <c r="B154" s="444" t="s">
        <v>3774</v>
      </c>
      <c r="C154" s="460" t="s">
        <v>1660</v>
      </c>
      <c r="D154" s="454" t="s">
        <v>299</v>
      </c>
      <c r="E154" s="72"/>
      <c r="F154" s="75"/>
    </row>
    <row r="155" spans="2:6" s="82" customFormat="1" outlineLevel="2" x14ac:dyDescent="0.3">
      <c r="B155" s="444" t="s">
        <v>3775</v>
      </c>
      <c r="C155" s="460" t="s">
        <v>1661</v>
      </c>
      <c r="D155" s="454" t="s">
        <v>299</v>
      </c>
      <c r="E155" s="72"/>
      <c r="F155" s="75"/>
    </row>
    <row r="156" spans="2:6" s="82" customFormat="1" outlineLevel="2" x14ac:dyDescent="0.3">
      <c r="B156" s="444" t="s">
        <v>3776</v>
      </c>
      <c r="C156" s="460" t="s">
        <v>1662</v>
      </c>
      <c r="D156" s="454" t="s">
        <v>299</v>
      </c>
      <c r="E156" s="72"/>
      <c r="F156" s="75"/>
    </row>
    <row r="157" spans="2:6" s="82" customFormat="1" outlineLevel="2" x14ac:dyDescent="0.3">
      <c r="B157" s="444" t="s">
        <v>3777</v>
      </c>
      <c r="C157" s="460" t="s">
        <v>1663</v>
      </c>
      <c r="D157" s="454" t="s">
        <v>299</v>
      </c>
      <c r="E157" s="72"/>
      <c r="F157" s="75"/>
    </row>
    <row r="158" spans="2:6" s="10" customFormat="1" outlineLevel="1" x14ac:dyDescent="0.3">
      <c r="B158" s="444" t="s">
        <v>3778</v>
      </c>
      <c r="C158" s="459">
        <v>3.4</v>
      </c>
      <c r="D158" s="453" t="s">
        <v>4661</v>
      </c>
      <c r="E158" s="71">
        <f>SUM(E159:E178)</f>
        <v>0</v>
      </c>
      <c r="F158" s="74">
        <f>SUM(F159:F178)</f>
        <v>0</v>
      </c>
    </row>
    <row r="159" spans="2:6" s="82" customFormat="1" outlineLevel="2" x14ac:dyDescent="0.3">
      <c r="B159" s="444" t="s">
        <v>3779</v>
      </c>
      <c r="C159" s="460" t="s">
        <v>1664</v>
      </c>
      <c r="D159" s="454" t="s">
        <v>299</v>
      </c>
      <c r="E159" s="85"/>
      <c r="F159" s="86"/>
    </row>
    <row r="160" spans="2:6" s="82" customFormat="1" outlineLevel="2" x14ac:dyDescent="0.3">
      <c r="B160" s="444" t="s">
        <v>3780</v>
      </c>
      <c r="C160" s="460" t="s">
        <v>1665</v>
      </c>
      <c r="D160" s="454" t="s">
        <v>299</v>
      </c>
      <c r="E160" s="85"/>
      <c r="F160" s="86"/>
    </row>
    <row r="161" spans="2:6" s="82" customFormat="1" outlineLevel="2" x14ac:dyDescent="0.3">
      <c r="B161" s="444" t="s">
        <v>3781</v>
      </c>
      <c r="C161" s="460" t="s">
        <v>1666</v>
      </c>
      <c r="D161" s="454" t="s">
        <v>299</v>
      </c>
      <c r="E161" s="85"/>
      <c r="F161" s="86"/>
    </row>
    <row r="162" spans="2:6" s="82" customFormat="1" outlineLevel="2" x14ac:dyDescent="0.3">
      <c r="B162" s="444" t="s">
        <v>3782</v>
      </c>
      <c r="C162" s="460" t="s">
        <v>1667</v>
      </c>
      <c r="D162" s="454" t="s">
        <v>299</v>
      </c>
      <c r="E162" s="85"/>
      <c r="F162" s="86"/>
    </row>
    <row r="163" spans="2:6" s="82" customFormat="1" outlineLevel="2" x14ac:dyDescent="0.3">
      <c r="B163" s="444" t="s">
        <v>3783</v>
      </c>
      <c r="C163" s="460" t="s">
        <v>1668</v>
      </c>
      <c r="D163" s="454" t="s">
        <v>299</v>
      </c>
      <c r="E163" s="85"/>
      <c r="F163" s="86"/>
    </row>
    <row r="164" spans="2:6" s="82" customFormat="1" outlineLevel="2" x14ac:dyDescent="0.3">
      <c r="B164" s="444" t="s">
        <v>3784</v>
      </c>
      <c r="C164" s="460" t="s">
        <v>1669</v>
      </c>
      <c r="D164" s="454" t="s">
        <v>299</v>
      </c>
      <c r="E164" s="85"/>
      <c r="F164" s="86"/>
    </row>
    <row r="165" spans="2:6" s="82" customFormat="1" outlineLevel="2" x14ac:dyDescent="0.3">
      <c r="B165" s="444" t="s">
        <v>3785</v>
      </c>
      <c r="C165" s="460" t="s">
        <v>1670</v>
      </c>
      <c r="D165" s="454" t="s">
        <v>299</v>
      </c>
      <c r="E165" s="85"/>
      <c r="F165" s="86"/>
    </row>
    <row r="166" spans="2:6" s="82" customFormat="1" outlineLevel="2" x14ac:dyDescent="0.3">
      <c r="B166" s="444" t="s">
        <v>3786</v>
      </c>
      <c r="C166" s="460" t="s">
        <v>1671</v>
      </c>
      <c r="D166" s="454" t="s">
        <v>299</v>
      </c>
      <c r="E166" s="85"/>
      <c r="F166" s="86"/>
    </row>
    <row r="167" spans="2:6" s="82" customFormat="1" outlineLevel="2" x14ac:dyDescent="0.3">
      <c r="B167" s="444" t="s">
        <v>3787</v>
      </c>
      <c r="C167" s="460" t="s">
        <v>1672</v>
      </c>
      <c r="D167" s="454" t="s">
        <v>299</v>
      </c>
      <c r="E167" s="85"/>
      <c r="F167" s="86"/>
    </row>
    <row r="168" spans="2:6" s="82" customFormat="1" outlineLevel="2" x14ac:dyDescent="0.3">
      <c r="B168" s="444" t="s">
        <v>3788</v>
      </c>
      <c r="C168" s="460" t="s">
        <v>1673</v>
      </c>
      <c r="D168" s="454" t="s">
        <v>299</v>
      </c>
      <c r="E168" s="85"/>
      <c r="F168" s="86"/>
    </row>
    <row r="169" spans="2:6" s="82" customFormat="1" outlineLevel="2" x14ac:dyDescent="0.3">
      <c r="B169" s="444" t="s">
        <v>3789</v>
      </c>
      <c r="C169" s="460" t="s">
        <v>1674</v>
      </c>
      <c r="D169" s="454" t="s">
        <v>299</v>
      </c>
      <c r="E169" s="85"/>
      <c r="F169" s="86"/>
    </row>
    <row r="170" spans="2:6" s="82" customFormat="1" outlineLevel="2" x14ac:dyDescent="0.3">
      <c r="B170" s="444" t="s">
        <v>3790</v>
      </c>
      <c r="C170" s="460" t="s">
        <v>1675</v>
      </c>
      <c r="D170" s="454" t="s">
        <v>299</v>
      </c>
      <c r="E170" s="85"/>
      <c r="F170" s="86"/>
    </row>
    <row r="171" spans="2:6" s="82" customFormat="1" outlineLevel="2" x14ac:dyDescent="0.3">
      <c r="B171" s="444" t="s">
        <v>3791</v>
      </c>
      <c r="C171" s="460" t="s">
        <v>1676</v>
      </c>
      <c r="D171" s="454" t="s">
        <v>299</v>
      </c>
      <c r="E171" s="85"/>
      <c r="F171" s="86"/>
    </row>
    <row r="172" spans="2:6" s="82" customFormat="1" outlineLevel="2" x14ac:dyDescent="0.3">
      <c r="B172" s="444" t="s">
        <v>3792</v>
      </c>
      <c r="C172" s="460" t="s">
        <v>1677</v>
      </c>
      <c r="D172" s="454" t="s">
        <v>299</v>
      </c>
      <c r="E172" s="85"/>
      <c r="F172" s="86"/>
    </row>
    <row r="173" spans="2:6" s="82" customFormat="1" outlineLevel="2" x14ac:dyDescent="0.3">
      <c r="B173" s="444" t="s">
        <v>3793</v>
      </c>
      <c r="C173" s="460" t="s">
        <v>1678</v>
      </c>
      <c r="D173" s="454" t="s">
        <v>299</v>
      </c>
      <c r="E173" s="85"/>
      <c r="F173" s="86"/>
    </row>
    <row r="174" spans="2:6" s="82" customFormat="1" outlineLevel="2" x14ac:dyDescent="0.3">
      <c r="B174" s="444" t="s">
        <v>3794</v>
      </c>
      <c r="C174" s="460" t="s">
        <v>1679</v>
      </c>
      <c r="D174" s="454" t="s">
        <v>299</v>
      </c>
      <c r="E174" s="85"/>
      <c r="F174" s="86"/>
    </row>
    <row r="175" spans="2:6" s="82" customFormat="1" outlineLevel="2" x14ac:dyDescent="0.3">
      <c r="B175" s="444" t="s">
        <v>3795</v>
      </c>
      <c r="C175" s="460" t="s">
        <v>1680</v>
      </c>
      <c r="D175" s="454" t="s">
        <v>299</v>
      </c>
      <c r="E175" s="85"/>
      <c r="F175" s="86"/>
    </row>
    <row r="176" spans="2:6" s="82" customFormat="1" outlineLevel="2" x14ac:dyDescent="0.3">
      <c r="B176" s="444" t="s">
        <v>3796</v>
      </c>
      <c r="C176" s="460" t="s">
        <v>1681</v>
      </c>
      <c r="D176" s="454" t="s">
        <v>299</v>
      </c>
      <c r="E176" s="85"/>
      <c r="F176" s="86"/>
    </row>
    <row r="177" spans="2:6" s="82" customFormat="1" outlineLevel="2" x14ac:dyDescent="0.3">
      <c r="B177" s="444" t="s">
        <v>3797</v>
      </c>
      <c r="C177" s="460" t="s">
        <v>1682</v>
      </c>
      <c r="D177" s="454" t="s">
        <v>299</v>
      </c>
      <c r="E177" s="85"/>
      <c r="F177" s="86"/>
    </row>
    <row r="178" spans="2:6" s="82" customFormat="1" outlineLevel="2" x14ac:dyDescent="0.3">
      <c r="B178" s="444" t="s">
        <v>3798</v>
      </c>
      <c r="C178" s="460" t="s">
        <v>1683</v>
      </c>
      <c r="D178" s="454" t="s">
        <v>299</v>
      </c>
      <c r="E178" s="85"/>
      <c r="F178" s="86"/>
    </row>
    <row r="179" spans="2:6" s="82" customFormat="1" x14ac:dyDescent="0.3">
      <c r="B179" s="444" t="s">
        <v>3799</v>
      </c>
      <c r="C179" s="461">
        <v>4</v>
      </c>
      <c r="D179" s="455" t="s">
        <v>282</v>
      </c>
      <c r="E179" s="70">
        <f>E180+E201+E222+E243</f>
        <v>0</v>
      </c>
      <c r="F179" s="73">
        <f>F180+F201+F222+F243</f>
        <v>0</v>
      </c>
    </row>
    <row r="180" spans="2:6" s="10" customFormat="1" outlineLevel="1" x14ac:dyDescent="0.3">
      <c r="B180" s="444" t="s">
        <v>3800</v>
      </c>
      <c r="C180" s="459">
        <v>4.0999999999999996</v>
      </c>
      <c r="D180" s="453" t="s">
        <v>303</v>
      </c>
      <c r="E180" s="71">
        <f>SUM(E181:E200)</f>
        <v>0</v>
      </c>
      <c r="F180" s="74">
        <f>SUM(F181:F200)</f>
        <v>0</v>
      </c>
    </row>
    <row r="181" spans="2:6" s="82" customFormat="1" outlineLevel="2" x14ac:dyDescent="0.3">
      <c r="B181" s="444" t="s">
        <v>3801</v>
      </c>
      <c r="C181" s="460" t="s">
        <v>443</v>
      </c>
      <c r="D181" s="454" t="s">
        <v>299</v>
      </c>
      <c r="E181" s="72"/>
      <c r="F181" s="75"/>
    </row>
    <row r="182" spans="2:6" s="82" customFormat="1" outlineLevel="2" x14ac:dyDescent="0.3">
      <c r="B182" s="444" t="s">
        <v>3802</v>
      </c>
      <c r="C182" s="460" t="s">
        <v>442</v>
      </c>
      <c r="D182" s="454" t="s">
        <v>299</v>
      </c>
      <c r="E182" s="72"/>
      <c r="F182" s="75"/>
    </row>
    <row r="183" spans="2:6" s="82" customFormat="1" outlineLevel="2" x14ac:dyDescent="0.3">
      <c r="B183" s="444" t="s">
        <v>3803</v>
      </c>
      <c r="C183" s="460" t="s">
        <v>460</v>
      </c>
      <c r="D183" s="454" t="s">
        <v>299</v>
      </c>
      <c r="E183" s="72"/>
      <c r="F183" s="75"/>
    </row>
    <row r="184" spans="2:6" s="82" customFormat="1" outlineLevel="2" x14ac:dyDescent="0.3">
      <c r="B184" s="444" t="s">
        <v>3804</v>
      </c>
      <c r="C184" s="460" t="s">
        <v>634</v>
      </c>
      <c r="D184" s="454" t="s">
        <v>299</v>
      </c>
      <c r="E184" s="72"/>
      <c r="F184" s="75"/>
    </row>
    <row r="185" spans="2:6" s="82" customFormat="1" outlineLevel="2" x14ac:dyDescent="0.3">
      <c r="B185" s="444" t="s">
        <v>3805</v>
      </c>
      <c r="C185" s="460" t="s">
        <v>635</v>
      </c>
      <c r="D185" s="454" t="s">
        <v>299</v>
      </c>
      <c r="E185" s="72"/>
      <c r="F185" s="75"/>
    </row>
    <row r="186" spans="2:6" s="82" customFormat="1" outlineLevel="2" x14ac:dyDescent="0.3">
      <c r="B186" s="444" t="s">
        <v>3806</v>
      </c>
      <c r="C186" s="460" t="s">
        <v>636</v>
      </c>
      <c r="D186" s="454" t="s">
        <v>299</v>
      </c>
      <c r="E186" s="72"/>
      <c r="F186" s="75"/>
    </row>
    <row r="187" spans="2:6" s="82" customFormat="1" outlineLevel="2" x14ac:dyDescent="0.3">
      <c r="B187" s="444" t="s">
        <v>3807</v>
      </c>
      <c r="C187" s="460" t="s">
        <v>637</v>
      </c>
      <c r="D187" s="454" t="s">
        <v>299</v>
      </c>
      <c r="E187" s="72"/>
      <c r="F187" s="75"/>
    </row>
    <row r="188" spans="2:6" s="82" customFormat="1" outlineLevel="2" x14ac:dyDescent="0.3">
      <c r="B188" s="444" t="s">
        <v>3808</v>
      </c>
      <c r="C188" s="460" t="s">
        <v>638</v>
      </c>
      <c r="D188" s="454" t="s">
        <v>299</v>
      </c>
      <c r="E188" s="72"/>
      <c r="F188" s="75"/>
    </row>
    <row r="189" spans="2:6" s="82" customFormat="1" outlineLevel="2" x14ac:dyDescent="0.3">
      <c r="B189" s="444" t="s">
        <v>3809</v>
      </c>
      <c r="C189" s="460" t="s">
        <v>639</v>
      </c>
      <c r="D189" s="454" t="s">
        <v>299</v>
      </c>
      <c r="E189" s="72"/>
      <c r="F189" s="75"/>
    </row>
    <row r="190" spans="2:6" s="82" customFormat="1" outlineLevel="2" x14ac:dyDescent="0.3">
      <c r="B190" s="444" t="s">
        <v>3810</v>
      </c>
      <c r="C190" s="460" t="s">
        <v>640</v>
      </c>
      <c r="D190" s="454" t="s">
        <v>299</v>
      </c>
      <c r="E190" s="72"/>
      <c r="F190" s="75"/>
    </row>
    <row r="191" spans="2:6" s="82" customFormat="1" outlineLevel="2" x14ac:dyDescent="0.3">
      <c r="B191" s="444" t="s">
        <v>3811</v>
      </c>
      <c r="C191" s="460" t="s">
        <v>641</v>
      </c>
      <c r="D191" s="454" t="s">
        <v>299</v>
      </c>
      <c r="E191" s="72"/>
      <c r="F191" s="75"/>
    </row>
    <row r="192" spans="2:6" s="82" customFormat="1" outlineLevel="2" x14ac:dyDescent="0.3">
      <c r="B192" s="444" t="s">
        <v>3812</v>
      </c>
      <c r="C192" s="460" t="s">
        <v>642</v>
      </c>
      <c r="D192" s="454" t="s">
        <v>299</v>
      </c>
      <c r="E192" s="72"/>
      <c r="F192" s="75"/>
    </row>
    <row r="193" spans="2:6" s="82" customFormat="1" outlineLevel="2" x14ac:dyDescent="0.3">
      <c r="B193" s="444" t="s">
        <v>3813</v>
      </c>
      <c r="C193" s="460" t="s">
        <v>643</v>
      </c>
      <c r="D193" s="454" t="s">
        <v>299</v>
      </c>
      <c r="E193" s="72"/>
      <c r="F193" s="75"/>
    </row>
    <row r="194" spans="2:6" s="82" customFormat="1" outlineLevel="2" x14ac:dyDescent="0.3">
      <c r="B194" s="444" t="s">
        <v>3814</v>
      </c>
      <c r="C194" s="460" t="s">
        <v>644</v>
      </c>
      <c r="D194" s="454" t="s">
        <v>299</v>
      </c>
      <c r="E194" s="72"/>
      <c r="F194" s="75"/>
    </row>
    <row r="195" spans="2:6" s="82" customFormat="1" outlineLevel="2" x14ac:dyDescent="0.3">
      <c r="B195" s="444" t="s">
        <v>3815</v>
      </c>
      <c r="C195" s="460" t="s">
        <v>645</v>
      </c>
      <c r="D195" s="454" t="s">
        <v>299</v>
      </c>
      <c r="E195" s="72"/>
      <c r="F195" s="75"/>
    </row>
    <row r="196" spans="2:6" s="82" customFormat="1" outlineLevel="2" x14ac:dyDescent="0.3">
      <c r="B196" s="444" t="s">
        <v>3816</v>
      </c>
      <c r="C196" s="460" t="s">
        <v>646</v>
      </c>
      <c r="D196" s="454" t="s">
        <v>299</v>
      </c>
      <c r="E196" s="72"/>
      <c r="F196" s="75"/>
    </row>
    <row r="197" spans="2:6" s="82" customFormat="1" outlineLevel="2" x14ac:dyDescent="0.3">
      <c r="B197" s="444" t="s">
        <v>3817</v>
      </c>
      <c r="C197" s="460" t="s">
        <v>647</v>
      </c>
      <c r="D197" s="454" t="s">
        <v>299</v>
      </c>
      <c r="E197" s="72"/>
      <c r="F197" s="75"/>
    </row>
    <row r="198" spans="2:6" s="82" customFormat="1" outlineLevel="2" x14ac:dyDescent="0.3">
      <c r="B198" s="444" t="s">
        <v>3818</v>
      </c>
      <c r="C198" s="460" t="s">
        <v>648</v>
      </c>
      <c r="D198" s="454" t="s">
        <v>299</v>
      </c>
      <c r="E198" s="72"/>
      <c r="F198" s="75"/>
    </row>
    <row r="199" spans="2:6" s="82" customFormat="1" outlineLevel="2" x14ac:dyDescent="0.3">
      <c r="B199" s="444" t="s">
        <v>3819</v>
      </c>
      <c r="C199" s="460" t="s">
        <v>649</v>
      </c>
      <c r="D199" s="454" t="s">
        <v>299</v>
      </c>
      <c r="E199" s="72"/>
      <c r="F199" s="75"/>
    </row>
    <row r="200" spans="2:6" s="82" customFormat="1" outlineLevel="2" x14ac:dyDescent="0.3">
      <c r="B200" s="444" t="s">
        <v>3820</v>
      </c>
      <c r="C200" s="460" t="s">
        <v>650</v>
      </c>
      <c r="D200" s="454" t="s">
        <v>299</v>
      </c>
      <c r="E200" s="72"/>
      <c r="F200" s="75"/>
    </row>
    <row r="201" spans="2:6" s="10" customFormat="1" outlineLevel="1" x14ac:dyDescent="0.3">
      <c r="B201" s="444" t="s">
        <v>3821</v>
      </c>
      <c r="C201" s="459">
        <v>4.2</v>
      </c>
      <c r="D201" s="453" t="s">
        <v>4660</v>
      </c>
      <c r="E201" s="71">
        <f>SUM(E202:E221)</f>
        <v>0</v>
      </c>
      <c r="F201" s="74">
        <f>SUM(F202:F221)</f>
        <v>0</v>
      </c>
    </row>
    <row r="202" spans="2:6" s="82" customFormat="1" outlineLevel="2" x14ac:dyDescent="0.3">
      <c r="B202" s="444" t="s">
        <v>3822</v>
      </c>
      <c r="C202" s="460" t="s">
        <v>444</v>
      </c>
      <c r="D202" s="454" t="s">
        <v>299</v>
      </c>
      <c r="E202" s="85"/>
      <c r="F202" s="86"/>
    </row>
    <row r="203" spans="2:6" s="82" customFormat="1" outlineLevel="2" x14ac:dyDescent="0.3">
      <c r="B203" s="444" t="s">
        <v>3823</v>
      </c>
      <c r="C203" s="460" t="s">
        <v>445</v>
      </c>
      <c r="D203" s="454" t="s">
        <v>299</v>
      </c>
      <c r="E203" s="85"/>
      <c r="F203" s="86"/>
    </row>
    <row r="204" spans="2:6" s="82" customFormat="1" outlineLevel="2" x14ac:dyDescent="0.3">
      <c r="B204" s="444" t="s">
        <v>3824</v>
      </c>
      <c r="C204" s="460" t="s">
        <v>461</v>
      </c>
      <c r="D204" s="454" t="s">
        <v>299</v>
      </c>
      <c r="E204" s="85"/>
      <c r="F204" s="86"/>
    </row>
    <row r="205" spans="2:6" s="82" customFormat="1" outlineLevel="2" x14ac:dyDescent="0.3">
      <c r="B205" s="444" t="s">
        <v>3825</v>
      </c>
      <c r="C205" s="460" t="s">
        <v>651</v>
      </c>
      <c r="D205" s="454" t="s">
        <v>299</v>
      </c>
      <c r="E205" s="85"/>
      <c r="F205" s="86"/>
    </row>
    <row r="206" spans="2:6" s="82" customFormat="1" outlineLevel="2" x14ac:dyDescent="0.3">
      <c r="B206" s="444" t="s">
        <v>3826</v>
      </c>
      <c r="C206" s="460" t="s">
        <v>652</v>
      </c>
      <c r="D206" s="454" t="s">
        <v>299</v>
      </c>
      <c r="E206" s="85"/>
      <c r="F206" s="86"/>
    </row>
    <row r="207" spans="2:6" s="82" customFormat="1" outlineLevel="2" x14ac:dyDescent="0.3">
      <c r="B207" s="444" t="s">
        <v>3827</v>
      </c>
      <c r="C207" s="460" t="s">
        <v>653</v>
      </c>
      <c r="D207" s="454" t="s">
        <v>299</v>
      </c>
      <c r="E207" s="85"/>
      <c r="F207" s="86"/>
    </row>
    <row r="208" spans="2:6" s="82" customFormat="1" outlineLevel="2" x14ac:dyDescent="0.3">
      <c r="B208" s="444" t="s">
        <v>3828</v>
      </c>
      <c r="C208" s="460" t="s">
        <v>654</v>
      </c>
      <c r="D208" s="454" t="s">
        <v>299</v>
      </c>
      <c r="E208" s="85"/>
      <c r="F208" s="86"/>
    </row>
    <row r="209" spans="2:6" s="82" customFormat="1" outlineLevel="2" x14ac:dyDescent="0.3">
      <c r="B209" s="444" t="s">
        <v>3829</v>
      </c>
      <c r="C209" s="460" t="s">
        <v>655</v>
      </c>
      <c r="D209" s="454" t="s">
        <v>299</v>
      </c>
      <c r="E209" s="85"/>
      <c r="F209" s="86"/>
    </row>
    <row r="210" spans="2:6" s="82" customFormat="1" outlineLevel="2" x14ac:dyDescent="0.3">
      <c r="B210" s="444" t="s">
        <v>3830</v>
      </c>
      <c r="C210" s="460" t="s">
        <v>656</v>
      </c>
      <c r="D210" s="454" t="s">
        <v>299</v>
      </c>
      <c r="E210" s="85"/>
      <c r="F210" s="86"/>
    </row>
    <row r="211" spans="2:6" s="82" customFormat="1" outlineLevel="2" x14ac:dyDescent="0.3">
      <c r="B211" s="444" t="s">
        <v>3831</v>
      </c>
      <c r="C211" s="460" t="s">
        <v>657</v>
      </c>
      <c r="D211" s="454" t="s">
        <v>299</v>
      </c>
      <c r="E211" s="85"/>
      <c r="F211" s="86"/>
    </row>
    <row r="212" spans="2:6" s="82" customFormat="1" outlineLevel="2" x14ac:dyDescent="0.3">
      <c r="B212" s="444" t="s">
        <v>3832</v>
      </c>
      <c r="C212" s="460" t="s">
        <v>658</v>
      </c>
      <c r="D212" s="454" t="s">
        <v>299</v>
      </c>
      <c r="E212" s="85"/>
      <c r="F212" s="86"/>
    </row>
    <row r="213" spans="2:6" s="82" customFormat="1" outlineLevel="2" x14ac:dyDescent="0.3">
      <c r="B213" s="444" t="s">
        <v>3833</v>
      </c>
      <c r="C213" s="460" t="s">
        <v>659</v>
      </c>
      <c r="D213" s="454" t="s">
        <v>299</v>
      </c>
      <c r="E213" s="85"/>
      <c r="F213" s="86"/>
    </row>
    <row r="214" spans="2:6" s="82" customFormat="1" outlineLevel="2" x14ac:dyDescent="0.3">
      <c r="B214" s="444" t="s">
        <v>3834</v>
      </c>
      <c r="C214" s="460" t="s">
        <v>660</v>
      </c>
      <c r="D214" s="454" t="s">
        <v>299</v>
      </c>
      <c r="E214" s="85"/>
      <c r="F214" s="86"/>
    </row>
    <row r="215" spans="2:6" s="82" customFormat="1" outlineLevel="2" x14ac:dyDescent="0.3">
      <c r="B215" s="444" t="s">
        <v>3835</v>
      </c>
      <c r="C215" s="460" t="s">
        <v>661</v>
      </c>
      <c r="D215" s="454" t="s">
        <v>299</v>
      </c>
      <c r="E215" s="85"/>
      <c r="F215" s="86"/>
    </row>
    <row r="216" spans="2:6" s="82" customFormat="1" outlineLevel="2" x14ac:dyDescent="0.3">
      <c r="B216" s="444" t="s">
        <v>3836</v>
      </c>
      <c r="C216" s="460" t="s">
        <v>662</v>
      </c>
      <c r="D216" s="454" t="s">
        <v>299</v>
      </c>
      <c r="E216" s="85"/>
      <c r="F216" s="86"/>
    </row>
    <row r="217" spans="2:6" s="82" customFormat="1" outlineLevel="2" x14ac:dyDescent="0.3">
      <c r="B217" s="444" t="s">
        <v>3837</v>
      </c>
      <c r="C217" s="460" t="s">
        <v>663</v>
      </c>
      <c r="D217" s="454" t="s">
        <v>299</v>
      </c>
      <c r="E217" s="85"/>
      <c r="F217" s="86"/>
    </row>
    <row r="218" spans="2:6" s="82" customFormat="1" outlineLevel="2" x14ac:dyDescent="0.3">
      <c r="B218" s="444" t="s">
        <v>3838</v>
      </c>
      <c r="C218" s="460" t="s">
        <v>664</v>
      </c>
      <c r="D218" s="454" t="s">
        <v>299</v>
      </c>
      <c r="E218" s="85"/>
      <c r="F218" s="86"/>
    </row>
    <row r="219" spans="2:6" s="82" customFormat="1" outlineLevel="2" x14ac:dyDescent="0.3">
      <c r="B219" s="444" t="s">
        <v>3839</v>
      </c>
      <c r="C219" s="460" t="s">
        <v>665</v>
      </c>
      <c r="D219" s="454" t="s">
        <v>299</v>
      </c>
      <c r="E219" s="85"/>
      <c r="F219" s="86"/>
    </row>
    <row r="220" spans="2:6" s="82" customFormat="1" outlineLevel="2" x14ac:dyDescent="0.3">
      <c r="B220" s="444" t="s">
        <v>3840</v>
      </c>
      <c r="C220" s="460" t="s">
        <v>666</v>
      </c>
      <c r="D220" s="454" t="s">
        <v>299</v>
      </c>
      <c r="E220" s="85"/>
      <c r="F220" s="86"/>
    </row>
    <row r="221" spans="2:6" s="82" customFormat="1" outlineLevel="2" x14ac:dyDescent="0.3">
      <c r="B221" s="444" t="s">
        <v>3841</v>
      </c>
      <c r="C221" s="460" t="s">
        <v>667</v>
      </c>
      <c r="D221" s="454" t="s">
        <v>299</v>
      </c>
      <c r="E221" s="85"/>
      <c r="F221" s="86"/>
    </row>
    <row r="222" spans="2:6" s="10" customFormat="1" outlineLevel="1" x14ac:dyDescent="0.3">
      <c r="B222" s="444" t="s">
        <v>3842</v>
      </c>
      <c r="C222" s="459">
        <v>4.3</v>
      </c>
      <c r="D222" s="453" t="s">
        <v>304</v>
      </c>
      <c r="E222" s="71">
        <f>SUM(E223:E242)</f>
        <v>0</v>
      </c>
      <c r="F222" s="74">
        <f>SUM(F223:F242)</f>
        <v>0</v>
      </c>
    </row>
    <row r="223" spans="2:6" s="82" customFormat="1" outlineLevel="2" x14ac:dyDescent="0.3">
      <c r="B223" s="444" t="s">
        <v>3843</v>
      </c>
      <c r="C223" s="460" t="s">
        <v>1684</v>
      </c>
      <c r="D223" s="454" t="s">
        <v>299</v>
      </c>
      <c r="E223" s="72"/>
      <c r="F223" s="75"/>
    </row>
    <row r="224" spans="2:6" s="82" customFormat="1" outlineLevel="2" x14ac:dyDescent="0.3">
      <c r="B224" s="444" t="s">
        <v>3844</v>
      </c>
      <c r="C224" s="460" t="s">
        <v>1685</v>
      </c>
      <c r="D224" s="454" t="s">
        <v>299</v>
      </c>
      <c r="E224" s="72"/>
      <c r="F224" s="75"/>
    </row>
    <row r="225" spans="2:6" s="82" customFormat="1" outlineLevel="2" x14ac:dyDescent="0.3">
      <c r="B225" s="444" t="s">
        <v>3845</v>
      </c>
      <c r="C225" s="460" t="s">
        <v>1686</v>
      </c>
      <c r="D225" s="454" t="s">
        <v>299</v>
      </c>
      <c r="E225" s="72"/>
      <c r="F225" s="75"/>
    </row>
    <row r="226" spans="2:6" s="82" customFormat="1" outlineLevel="2" x14ac:dyDescent="0.3">
      <c r="B226" s="444" t="s">
        <v>3846</v>
      </c>
      <c r="C226" s="460" t="s">
        <v>1687</v>
      </c>
      <c r="D226" s="454" t="s">
        <v>299</v>
      </c>
      <c r="E226" s="72"/>
      <c r="F226" s="75"/>
    </row>
    <row r="227" spans="2:6" s="82" customFormat="1" outlineLevel="2" x14ac:dyDescent="0.3">
      <c r="B227" s="444" t="s">
        <v>3847</v>
      </c>
      <c r="C227" s="460" t="s">
        <v>1688</v>
      </c>
      <c r="D227" s="454" t="s">
        <v>299</v>
      </c>
      <c r="E227" s="72"/>
      <c r="F227" s="75"/>
    </row>
    <row r="228" spans="2:6" s="82" customFormat="1" outlineLevel="2" x14ac:dyDescent="0.3">
      <c r="B228" s="444" t="s">
        <v>3848</v>
      </c>
      <c r="C228" s="460" t="s">
        <v>1689</v>
      </c>
      <c r="D228" s="454" t="s">
        <v>299</v>
      </c>
      <c r="E228" s="72"/>
      <c r="F228" s="75"/>
    </row>
    <row r="229" spans="2:6" s="82" customFormat="1" outlineLevel="2" x14ac:dyDescent="0.3">
      <c r="B229" s="444" t="s">
        <v>3849</v>
      </c>
      <c r="C229" s="460" t="s">
        <v>1690</v>
      </c>
      <c r="D229" s="454" t="s">
        <v>299</v>
      </c>
      <c r="E229" s="72"/>
      <c r="F229" s="75"/>
    </row>
    <row r="230" spans="2:6" s="82" customFormat="1" outlineLevel="2" x14ac:dyDescent="0.3">
      <c r="B230" s="444" t="s">
        <v>3850</v>
      </c>
      <c r="C230" s="460" t="s">
        <v>1691</v>
      </c>
      <c r="D230" s="454" t="s">
        <v>299</v>
      </c>
      <c r="E230" s="72"/>
      <c r="F230" s="75"/>
    </row>
    <row r="231" spans="2:6" s="82" customFormat="1" outlineLevel="2" x14ac:dyDescent="0.3">
      <c r="B231" s="444" t="s">
        <v>3851</v>
      </c>
      <c r="C231" s="460" t="s">
        <v>1692</v>
      </c>
      <c r="D231" s="454" t="s">
        <v>299</v>
      </c>
      <c r="E231" s="72"/>
      <c r="F231" s="75"/>
    </row>
    <row r="232" spans="2:6" s="82" customFormat="1" outlineLevel="2" x14ac:dyDescent="0.3">
      <c r="B232" s="444" t="s">
        <v>3852</v>
      </c>
      <c r="C232" s="460" t="s">
        <v>1693</v>
      </c>
      <c r="D232" s="454" t="s">
        <v>299</v>
      </c>
      <c r="E232" s="72"/>
      <c r="F232" s="75"/>
    </row>
    <row r="233" spans="2:6" s="82" customFormat="1" outlineLevel="2" x14ac:dyDescent="0.3">
      <c r="B233" s="444" t="s">
        <v>3853</v>
      </c>
      <c r="C233" s="460" t="s">
        <v>1694</v>
      </c>
      <c r="D233" s="454" t="s">
        <v>299</v>
      </c>
      <c r="E233" s="72"/>
      <c r="F233" s="75"/>
    </row>
    <row r="234" spans="2:6" s="82" customFormat="1" outlineLevel="2" x14ac:dyDescent="0.3">
      <c r="B234" s="444" t="s">
        <v>3854</v>
      </c>
      <c r="C234" s="460" t="s">
        <v>1695</v>
      </c>
      <c r="D234" s="454" t="s">
        <v>299</v>
      </c>
      <c r="E234" s="72"/>
      <c r="F234" s="75"/>
    </row>
    <row r="235" spans="2:6" s="82" customFormat="1" outlineLevel="2" x14ac:dyDescent="0.3">
      <c r="B235" s="444" t="s">
        <v>3855</v>
      </c>
      <c r="C235" s="460" t="s">
        <v>1696</v>
      </c>
      <c r="D235" s="454" t="s">
        <v>299</v>
      </c>
      <c r="E235" s="72"/>
      <c r="F235" s="75"/>
    </row>
    <row r="236" spans="2:6" s="82" customFormat="1" outlineLevel="2" x14ac:dyDescent="0.3">
      <c r="B236" s="444" t="s">
        <v>3856</v>
      </c>
      <c r="C236" s="460" t="s">
        <v>1697</v>
      </c>
      <c r="D236" s="454" t="s">
        <v>299</v>
      </c>
      <c r="E236" s="72"/>
      <c r="F236" s="75"/>
    </row>
    <row r="237" spans="2:6" s="82" customFormat="1" outlineLevel="2" x14ac:dyDescent="0.3">
      <c r="B237" s="444" t="s">
        <v>3857</v>
      </c>
      <c r="C237" s="460" t="s">
        <v>1698</v>
      </c>
      <c r="D237" s="454" t="s">
        <v>299</v>
      </c>
      <c r="E237" s="72"/>
      <c r="F237" s="75"/>
    </row>
    <row r="238" spans="2:6" s="82" customFormat="1" outlineLevel="2" x14ac:dyDescent="0.3">
      <c r="B238" s="444" t="s">
        <v>3858</v>
      </c>
      <c r="C238" s="460" t="s">
        <v>1699</v>
      </c>
      <c r="D238" s="454" t="s">
        <v>299</v>
      </c>
      <c r="E238" s="72"/>
      <c r="F238" s="75"/>
    </row>
    <row r="239" spans="2:6" s="82" customFormat="1" outlineLevel="2" x14ac:dyDescent="0.3">
      <c r="B239" s="444" t="s">
        <v>3859</v>
      </c>
      <c r="C239" s="460" t="s">
        <v>1700</v>
      </c>
      <c r="D239" s="454" t="s">
        <v>299</v>
      </c>
      <c r="E239" s="72"/>
      <c r="F239" s="75"/>
    </row>
    <row r="240" spans="2:6" s="82" customFormat="1" outlineLevel="2" x14ac:dyDescent="0.3">
      <c r="B240" s="444" t="s">
        <v>3860</v>
      </c>
      <c r="C240" s="460" t="s">
        <v>1701</v>
      </c>
      <c r="D240" s="454" t="s">
        <v>299</v>
      </c>
      <c r="E240" s="72"/>
      <c r="F240" s="75"/>
    </row>
    <row r="241" spans="2:6" s="82" customFormat="1" outlineLevel="2" x14ac:dyDescent="0.3">
      <c r="B241" s="444" t="s">
        <v>3861</v>
      </c>
      <c r="C241" s="460" t="s">
        <v>1702</v>
      </c>
      <c r="D241" s="454" t="s">
        <v>299</v>
      </c>
      <c r="E241" s="72"/>
      <c r="F241" s="75"/>
    </row>
    <row r="242" spans="2:6" s="82" customFormat="1" outlineLevel="2" x14ac:dyDescent="0.3">
      <c r="B242" s="444" t="s">
        <v>3862</v>
      </c>
      <c r="C242" s="460" t="s">
        <v>1703</v>
      </c>
      <c r="D242" s="454" t="s">
        <v>299</v>
      </c>
      <c r="E242" s="72"/>
      <c r="F242" s="75"/>
    </row>
    <row r="243" spans="2:6" s="10" customFormat="1" outlineLevel="1" x14ac:dyDescent="0.3">
      <c r="B243" s="444" t="s">
        <v>3863</v>
      </c>
      <c r="C243" s="459">
        <v>4.4000000000000004</v>
      </c>
      <c r="D243" s="453" t="s">
        <v>4661</v>
      </c>
      <c r="E243" s="71">
        <f>SUM(E244:E263)</f>
        <v>0</v>
      </c>
      <c r="F243" s="74">
        <f>SUM(F244:F263)</f>
        <v>0</v>
      </c>
    </row>
    <row r="244" spans="2:6" s="82" customFormat="1" outlineLevel="2" x14ac:dyDescent="0.3">
      <c r="B244" s="444" t="s">
        <v>3864</v>
      </c>
      <c r="C244" s="460" t="s">
        <v>1704</v>
      </c>
      <c r="D244" s="454" t="s">
        <v>299</v>
      </c>
      <c r="E244" s="85"/>
      <c r="F244" s="86"/>
    </row>
    <row r="245" spans="2:6" s="82" customFormat="1" outlineLevel="2" x14ac:dyDescent="0.3">
      <c r="B245" s="444" t="s">
        <v>3865</v>
      </c>
      <c r="C245" s="460" t="s">
        <v>1705</v>
      </c>
      <c r="D245" s="454" t="s">
        <v>299</v>
      </c>
      <c r="E245" s="85"/>
      <c r="F245" s="86"/>
    </row>
    <row r="246" spans="2:6" s="82" customFormat="1" outlineLevel="2" x14ac:dyDescent="0.3">
      <c r="B246" s="444" t="s">
        <v>3866</v>
      </c>
      <c r="C246" s="460" t="s">
        <v>1706</v>
      </c>
      <c r="D246" s="454" t="s">
        <v>299</v>
      </c>
      <c r="E246" s="85"/>
      <c r="F246" s="86"/>
    </row>
    <row r="247" spans="2:6" s="82" customFormat="1" outlineLevel="2" x14ac:dyDescent="0.3">
      <c r="B247" s="444" t="s">
        <v>3867</v>
      </c>
      <c r="C247" s="460" t="s">
        <v>1707</v>
      </c>
      <c r="D247" s="454" t="s">
        <v>299</v>
      </c>
      <c r="E247" s="85"/>
      <c r="F247" s="86"/>
    </row>
    <row r="248" spans="2:6" s="82" customFormat="1" outlineLevel="2" x14ac:dyDescent="0.3">
      <c r="B248" s="444" t="s">
        <v>3868</v>
      </c>
      <c r="C248" s="460" t="s">
        <v>1708</v>
      </c>
      <c r="D248" s="454" t="s">
        <v>299</v>
      </c>
      <c r="E248" s="85"/>
      <c r="F248" s="86"/>
    </row>
    <row r="249" spans="2:6" s="82" customFormat="1" outlineLevel="2" x14ac:dyDescent="0.3">
      <c r="B249" s="444" t="s">
        <v>3869</v>
      </c>
      <c r="C249" s="460" t="s">
        <v>1709</v>
      </c>
      <c r="D249" s="454" t="s">
        <v>299</v>
      </c>
      <c r="E249" s="85"/>
      <c r="F249" s="86"/>
    </row>
    <row r="250" spans="2:6" s="82" customFormat="1" outlineLevel="2" x14ac:dyDescent="0.3">
      <c r="B250" s="444" t="s">
        <v>3870</v>
      </c>
      <c r="C250" s="460" t="s">
        <v>1710</v>
      </c>
      <c r="D250" s="454" t="s">
        <v>299</v>
      </c>
      <c r="E250" s="85"/>
      <c r="F250" s="86"/>
    </row>
    <row r="251" spans="2:6" s="82" customFormat="1" outlineLevel="2" x14ac:dyDescent="0.3">
      <c r="B251" s="444" t="s">
        <v>3871</v>
      </c>
      <c r="C251" s="460" t="s">
        <v>1711</v>
      </c>
      <c r="D251" s="454" t="s">
        <v>299</v>
      </c>
      <c r="E251" s="85"/>
      <c r="F251" s="86"/>
    </row>
    <row r="252" spans="2:6" s="82" customFormat="1" outlineLevel="2" x14ac:dyDescent="0.3">
      <c r="B252" s="444" t="s">
        <v>3872</v>
      </c>
      <c r="C252" s="460" t="s">
        <v>1712</v>
      </c>
      <c r="D252" s="454" t="s">
        <v>299</v>
      </c>
      <c r="E252" s="85"/>
      <c r="F252" s="86"/>
    </row>
    <row r="253" spans="2:6" s="82" customFormat="1" outlineLevel="2" x14ac:dyDescent="0.3">
      <c r="B253" s="444" t="s">
        <v>3873</v>
      </c>
      <c r="C253" s="460" t="s">
        <v>1713</v>
      </c>
      <c r="D253" s="454" t="s">
        <v>299</v>
      </c>
      <c r="E253" s="85"/>
      <c r="F253" s="86"/>
    </row>
    <row r="254" spans="2:6" s="82" customFormat="1" outlineLevel="2" x14ac:dyDescent="0.3">
      <c r="B254" s="444" t="s">
        <v>3874</v>
      </c>
      <c r="C254" s="460" t="s">
        <v>1714</v>
      </c>
      <c r="D254" s="454" t="s">
        <v>299</v>
      </c>
      <c r="E254" s="85"/>
      <c r="F254" s="86"/>
    </row>
    <row r="255" spans="2:6" s="82" customFormat="1" outlineLevel="2" x14ac:dyDescent="0.3">
      <c r="B255" s="444" t="s">
        <v>3875</v>
      </c>
      <c r="C255" s="460" t="s">
        <v>1715</v>
      </c>
      <c r="D255" s="454" t="s">
        <v>299</v>
      </c>
      <c r="E255" s="85"/>
      <c r="F255" s="86"/>
    </row>
    <row r="256" spans="2:6" s="82" customFormat="1" outlineLevel="2" x14ac:dyDescent="0.3">
      <c r="B256" s="444" t="s">
        <v>3876</v>
      </c>
      <c r="C256" s="460" t="s">
        <v>1716</v>
      </c>
      <c r="D256" s="454" t="s">
        <v>299</v>
      </c>
      <c r="E256" s="85"/>
      <c r="F256" s="86"/>
    </row>
    <row r="257" spans="2:9" s="82" customFormat="1" outlineLevel="2" x14ac:dyDescent="0.3">
      <c r="B257" s="444" t="s">
        <v>3877</v>
      </c>
      <c r="C257" s="460" t="s">
        <v>1717</v>
      </c>
      <c r="D257" s="454" t="s">
        <v>299</v>
      </c>
      <c r="E257" s="85"/>
      <c r="F257" s="86"/>
    </row>
    <row r="258" spans="2:9" s="82" customFormat="1" outlineLevel="2" x14ac:dyDescent="0.3">
      <c r="B258" s="444" t="s">
        <v>3878</v>
      </c>
      <c r="C258" s="460" t="s">
        <v>1718</v>
      </c>
      <c r="D258" s="454" t="s">
        <v>299</v>
      </c>
      <c r="E258" s="85"/>
      <c r="F258" s="86"/>
    </row>
    <row r="259" spans="2:9" s="82" customFormat="1" outlineLevel="2" x14ac:dyDescent="0.3">
      <c r="B259" s="444" t="s">
        <v>3879</v>
      </c>
      <c r="C259" s="460" t="s">
        <v>1719</v>
      </c>
      <c r="D259" s="454" t="s">
        <v>299</v>
      </c>
      <c r="E259" s="85"/>
      <c r="F259" s="86"/>
    </row>
    <row r="260" spans="2:9" s="82" customFormat="1" outlineLevel="2" x14ac:dyDescent="0.3">
      <c r="B260" s="444" t="s">
        <v>3880</v>
      </c>
      <c r="C260" s="460" t="s">
        <v>1720</v>
      </c>
      <c r="D260" s="454" t="s">
        <v>299</v>
      </c>
      <c r="E260" s="85"/>
      <c r="F260" s="86"/>
    </row>
    <row r="261" spans="2:9" s="82" customFormat="1" outlineLevel="2" x14ac:dyDescent="0.3">
      <c r="B261" s="444" t="s">
        <v>3881</v>
      </c>
      <c r="C261" s="460" t="s">
        <v>1721</v>
      </c>
      <c r="D261" s="454" t="s">
        <v>299</v>
      </c>
      <c r="E261" s="85"/>
      <c r="F261" s="86"/>
    </row>
    <row r="262" spans="2:9" s="82" customFormat="1" outlineLevel="2" x14ac:dyDescent="0.3">
      <c r="B262" s="444" t="s">
        <v>3882</v>
      </c>
      <c r="C262" s="460" t="s">
        <v>1722</v>
      </c>
      <c r="D262" s="454" t="s">
        <v>299</v>
      </c>
      <c r="E262" s="85"/>
      <c r="F262" s="86"/>
    </row>
    <row r="263" spans="2:9" s="82" customFormat="1" outlineLevel="2" x14ac:dyDescent="0.3">
      <c r="B263" s="444" t="s">
        <v>3883</v>
      </c>
      <c r="C263" s="460" t="s">
        <v>1723</v>
      </c>
      <c r="D263" s="454" t="s">
        <v>299</v>
      </c>
      <c r="E263" s="85"/>
      <c r="F263" s="86"/>
    </row>
    <row r="264" spans="2:9" s="82" customFormat="1" x14ac:dyDescent="0.3">
      <c r="B264" s="444" t="s">
        <v>3884</v>
      </c>
      <c r="C264" s="461">
        <v>5</v>
      </c>
      <c r="D264" s="455" t="s">
        <v>302</v>
      </c>
      <c r="E264" s="70">
        <f>E265+E286+E307+E328</f>
        <v>0</v>
      </c>
      <c r="F264" s="73">
        <f>F265+F286+F307+F328</f>
        <v>0</v>
      </c>
      <c r="H264" s="50"/>
      <c r="I264" s="50"/>
    </row>
    <row r="265" spans="2:9" s="10" customFormat="1" outlineLevel="1" x14ac:dyDescent="0.3">
      <c r="B265" s="466" t="s">
        <v>3885</v>
      </c>
      <c r="C265" s="462">
        <v>5.0999999999999996</v>
      </c>
      <c r="D265" s="456" t="s">
        <v>303</v>
      </c>
      <c r="E265" s="448">
        <f>SUM(E266:E285)</f>
        <v>0</v>
      </c>
      <c r="F265" s="449">
        <f>SUM(F266:F285)</f>
        <v>0</v>
      </c>
    </row>
    <row r="266" spans="2:9" s="82" customFormat="1" outlineLevel="2" x14ac:dyDescent="0.3">
      <c r="B266" s="444" t="s">
        <v>3886</v>
      </c>
      <c r="C266" s="460" t="s">
        <v>1724</v>
      </c>
      <c r="D266" s="454" t="s">
        <v>299</v>
      </c>
      <c r="E266" s="72"/>
      <c r="F266" s="75"/>
    </row>
    <row r="267" spans="2:9" s="82" customFormat="1" outlineLevel="2" x14ac:dyDescent="0.3">
      <c r="B267" s="444" t="s">
        <v>3887</v>
      </c>
      <c r="C267" s="460" t="s">
        <v>1725</v>
      </c>
      <c r="D267" s="454" t="s">
        <v>299</v>
      </c>
      <c r="E267" s="72"/>
      <c r="F267" s="75"/>
    </row>
    <row r="268" spans="2:9" s="82" customFormat="1" outlineLevel="2" x14ac:dyDescent="0.3">
      <c r="B268" s="444" t="s">
        <v>3888</v>
      </c>
      <c r="C268" s="460" t="s">
        <v>1726</v>
      </c>
      <c r="D268" s="454" t="s">
        <v>299</v>
      </c>
      <c r="E268" s="72"/>
      <c r="F268" s="75"/>
    </row>
    <row r="269" spans="2:9" s="82" customFormat="1" outlineLevel="2" x14ac:dyDescent="0.3">
      <c r="B269" s="444" t="s">
        <v>3889</v>
      </c>
      <c r="C269" s="460" t="s">
        <v>1727</v>
      </c>
      <c r="D269" s="454" t="s">
        <v>299</v>
      </c>
      <c r="E269" s="72"/>
      <c r="F269" s="75"/>
    </row>
    <row r="270" spans="2:9" s="82" customFormat="1" outlineLevel="2" x14ac:dyDescent="0.3">
      <c r="B270" s="444" t="s">
        <v>3890</v>
      </c>
      <c r="C270" s="460" t="s">
        <v>1728</v>
      </c>
      <c r="D270" s="454" t="s">
        <v>299</v>
      </c>
      <c r="E270" s="72"/>
      <c r="F270" s="75"/>
    </row>
    <row r="271" spans="2:9" s="82" customFormat="1" outlineLevel="2" x14ac:dyDescent="0.3">
      <c r="B271" s="444" t="s">
        <v>3891</v>
      </c>
      <c r="C271" s="460" t="s">
        <v>1729</v>
      </c>
      <c r="D271" s="454" t="s">
        <v>299</v>
      </c>
      <c r="E271" s="72"/>
      <c r="F271" s="75"/>
    </row>
    <row r="272" spans="2:9" s="82" customFormat="1" outlineLevel="2" x14ac:dyDescent="0.3">
      <c r="B272" s="444" t="s">
        <v>3892</v>
      </c>
      <c r="C272" s="460" t="s">
        <v>1730</v>
      </c>
      <c r="D272" s="454" t="s">
        <v>299</v>
      </c>
      <c r="E272" s="72"/>
      <c r="F272" s="75"/>
    </row>
    <row r="273" spans="2:6" s="82" customFormat="1" outlineLevel="2" x14ac:dyDescent="0.3">
      <c r="B273" s="444" t="s">
        <v>3893</v>
      </c>
      <c r="C273" s="460" t="s">
        <v>1731</v>
      </c>
      <c r="D273" s="454" t="s">
        <v>299</v>
      </c>
      <c r="E273" s="72"/>
      <c r="F273" s="75"/>
    </row>
    <row r="274" spans="2:6" s="82" customFormat="1" outlineLevel="2" x14ac:dyDescent="0.3">
      <c r="B274" s="444" t="s">
        <v>3894</v>
      </c>
      <c r="C274" s="460" t="s">
        <v>1732</v>
      </c>
      <c r="D274" s="454" t="s">
        <v>299</v>
      </c>
      <c r="E274" s="72"/>
      <c r="F274" s="75"/>
    </row>
    <row r="275" spans="2:6" s="82" customFormat="1" outlineLevel="2" x14ac:dyDescent="0.3">
      <c r="B275" s="444" t="s">
        <v>3895</v>
      </c>
      <c r="C275" s="460" t="s">
        <v>1733</v>
      </c>
      <c r="D275" s="454" t="s">
        <v>299</v>
      </c>
      <c r="E275" s="72"/>
      <c r="F275" s="75"/>
    </row>
    <row r="276" spans="2:6" s="82" customFormat="1" outlineLevel="2" x14ac:dyDescent="0.3">
      <c r="B276" s="444" t="s">
        <v>3896</v>
      </c>
      <c r="C276" s="460" t="s">
        <v>1734</v>
      </c>
      <c r="D276" s="454" t="s">
        <v>299</v>
      </c>
      <c r="E276" s="72"/>
      <c r="F276" s="75"/>
    </row>
    <row r="277" spans="2:6" s="82" customFormat="1" outlineLevel="2" x14ac:dyDescent="0.3">
      <c r="B277" s="444" t="s">
        <v>3897</v>
      </c>
      <c r="C277" s="460" t="s">
        <v>1735</v>
      </c>
      <c r="D277" s="454" t="s">
        <v>299</v>
      </c>
      <c r="E277" s="72"/>
      <c r="F277" s="75"/>
    </row>
    <row r="278" spans="2:6" s="82" customFormat="1" outlineLevel="2" x14ac:dyDescent="0.3">
      <c r="B278" s="444" t="s">
        <v>3898</v>
      </c>
      <c r="C278" s="460" t="s">
        <v>1736</v>
      </c>
      <c r="D278" s="454" t="s">
        <v>299</v>
      </c>
      <c r="E278" s="72"/>
      <c r="F278" s="75"/>
    </row>
    <row r="279" spans="2:6" s="82" customFormat="1" outlineLevel="2" x14ac:dyDescent="0.3">
      <c r="B279" s="444" t="s">
        <v>3899</v>
      </c>
      <c r="C279" s="460" t="s">
        <v>1737</v>
      </c>
      <c r="D279" s="454" t="s">
        <v>299</v>
      </c>
      <c r="E279" s="72"/>
      <c r="F279" s="75"/>
    </row>
    <row r="280" spans="2:6" s="82" customFormat="1" outlineLevel="2" x14ac:dyDescent="0.3">
      <c r="B280" s="444" t="s">
        <v>3900</v>
      </c>
      <c r="C280" s="460" t="s">
        <v>1738</v>
      </c>
      <c r="D280" s="454" t="s">
        <v>299</v>
      </c>
      <c r="E280" s="72"/>
      <c r="F280" s="75"/>
    </row>
    <row r="281" spans="2:6" s="82" customFormat="1" outlineLevel="2" x14ac:dyDescent="0.3">
      <c r="B281" s="444" t="s">
        <v>3901</v>
      </c>
      <c r="C281" s="460" t="s">
        <v>1739</v>
      </c>
      <c r="D281" s="454" t="s">
        <v>299</v>
      </c>
      <c r="E281" s="72"/>
      <c r="F281" s="75"/>
    </row>
    <row r="282" spans="2:6" s="82" customFormat="1" outlineLevel="2" x14ac:dyDescent="0.3">
      <c r="B282" s="444" t="s">
        <v>3902</v>
      </c>
      <c r="C282" s="460" t="s">
        <v>1740</v>
      </c>
      <c r="D282" s="454" t="s">
        <v>299</v>
      </c>
      <c r="E282" s="72"/>
      <c r="F282" s="75"/>
    </row>
    <row r="283" spans="2:6" s="82" customFormat="1" outlineLevel="2" x14ac:dyDescent="0.3">
      <c r="B283" s="444" t="s">
        <v>3903</v>
      </c>
      <c r="C283" s="460" t="s">
        <v>1741</v>
      </c>
      <c r="D283" s="454" t="s">
        <v>299</v>
      </c>
      <c r="E283" s="72"/>
      <c r="F283" s="75"/>
    </row>
    <row r="284" spans="2:6" s="82" customFormat="1" outlineLevel="2" x14ac:dyDescent="0.3">
      <c r="B284" s="444" t="s">
        <v>3904</v>
      </c>
      <c r="C284" s="460" t="s">
        <v>1742</v>
      </c>
      <c r="D284" s="454" t="s">
        <v>299</v>
      </c>
      <c r="E284" s="72"/>
      <c r="F284" s="75"/>
    </row>
    <row r="285" spans="2:6" s="82" customFormat="1" outlineLevel="2" x14ac:dyDescent="0.3">
      <c r="B285" s="444" t="s">
        <v>3905</v>
      </c>
      <c r="C285" s="460" t="s">
        <v>1743</v>
      </c>
      <c r="D285" s="454" t="s">
        <v>299</v>
      </c>
      <c r="E285" s="72"/>
      <c r="F285" s="75"/>
    </row>
    <row r="286" spans="2:6" s="10" customFormat="1" outlineLevel="1" x14ac:dyDescent="0.3">
      <c r="B286" s="444" t="s">
        <v>3906</v>
      </c>
      <c r="C286" s="459">
        <v>5.2</v>
      </c>
      <c r="D286" s="453" t="s">
        <v>4660</v>
      </c>
      <c r="E286" s="71">
        <f>SUM(E287:E306)</f>
        <v>0</v>
      </c>
      <c r="F286" s="74">
        <f>SUM(F287:F306)</f>
        <v>0</v>
      </c>
    </row>
    <row r="287" spans="2:6" s="82" customFormat="1" outlineLevel="2" x14ac:dyDescent="0.3">
      <c r="B287" s="444" t="s">
        <v>3907</v>
      </c>
      <c r="C287" s="460" t="s">
        <v>1744</v>
      </c>
      <c r="D287" s="454" t="s">
        <v>299</v>
      </c>
      <c r="E287" s="85"/>
      <c r="F287" s="86"/>
    </row>
    <row r="288" spans="2:6" s="82" customFormat="1" outlineLevel="2" x14ac:dyDescent="0.3">
      <c r="B288" s="444" t="s">
        <v>3908</v>
      </c>
      <c r="C288" s="460" t="s">
        <v>1745</v>
      </c>
      <c r="D288" s="454" t="s">
        <v>299</v>
      </c>
      <c r="E288" s="85"/>
      <c r="F288" s="86"/>
    </row>
    <row r="289" spans="2:6" s="82" customFormat="1" outlineLevel="2" x14ac:dyDescent="0.3">
      <c r="B289" s="444" t="s">
        <v>3909</v>
      </c>
      <c r="C289" s="460" t="s">
        <v>1746</v>
      </c>
      <c r="D289" s="454" t="s">
        <v>299</v>
      </c>
      <c r="E289" s="85"/>
      <c r="F289" s="86"/>
    </row>
    <row r="290" spans="2:6" s="82" customFormat="1" outlineLevel="2" x14ac:dyDescent="0.3">
      <c r="B290" s="444" t="s">
        <v>3910</v>
      </c>
      <c r="C290" s="460" t="s">
        <v>1747</v>
      </c>
      <c r="D290" s="454" t="s">
        <v>299</v>
      </c>
      <c r="E290" s="85"/>
      <c r="F290" s="86"/>
    </row>
    <row r="291" spans="2:6" s="82" customFormat="1" outlineLevel="2" x14ac:dyDescent="0.3">
      <c r="B291" s="444" t="s">
        <v>3911</v>
      </c>
      <c r="C291" s="460" t="s">
        <v>1748</v>
      </c>
      <c r="D291" s="454" t="s">
        <v>299</v>
      </c>
      <c r="E291" s="85"/>
      <c r="F291" s="86"/>
    </row>
    <row r="292" spans="2:6" s="82" customFormat="1" outlineLevel="2" x14ac:dyDescent="0.3">
      <c r="B292" s="444" t="s">
        <v>3912</v>
      </c>
      <c r="C292" s="460" t="s">
        <v>1749</v>
      </c>
      <c r="D292" s="454" t="s">
        <v>299</v>
      </c>
      <c r="E292" s="85"/>
      <c r="F292" s="86"/>
    </row>
    <row r="293" spans="2:6" s="82" customFormat="1" outlineLevel="2" x14ac:dyDescent="0.3">
      <c r="B293" s="444" t="s">
        <v>3913</v>
      </c>
      <c r="C293" s="460" t="s">
        <v>1750</v>
      </c>
      <c r="D293" s="454" t="s">
        <v>299</v>
      </c>
      <c r="E293" s="85"/>
      <c r="F293" s="86"/>
    </row>
    <row r="294" spans="2:6" s="82" customFormat="1" outlineLevel="2" x14ac:dyDescent="0.3">
      <c r="B294" s="444" t="s">
        <v>3914</v>
      </c>
      <c r="C294" s="460" t="s">
        <v>1751</v>
      </c>
      <c r="D294" s="454" t="s">
        <v>299</v>
      </c>
      <c r="E294" s="85"/>
      <c r="F294" s="86"/>
    </row>
    <row r="295" spans="2:6" s="82" customFormat="1" outlineLevel="2" x14ac:dyDescent="0.3">
      <c r="B295" s="444" t="s">
        <v>3915</v>
      </c>
      <c r="C295" s="460" t="s">
        <v>1752</v>
      </c>
      <c r="D295" s="454" t="s">
        <v>299</v>
      </c>
      <c r="E295" s="85"/>
      <c r="F295" s="86"/>
    </row>
    <row r="296" spans="2:6" s="82" customFormat="1" outlineLevel="2" x14ac:dyDescent="0.3">
      <c r="B296" s="444" t="s">
        <v>3916</v>
      </c>
      <c r="C296" s="460" t="s">
        <v>1753</v>
      </c>
      <c r="D296" s="454" t="s">
        <v>299</v>
      </c>
      <c r="E296" s="85"/>
      <c r="F296" s="86"/>
    </row>
    <row r="297" spans="2:6" s="82" customFormat="1" outlineLevel="2" x14ac:dyDescent="0.3">
      <c r="B297" s="444" t="s">
        <v>3917</v>
      </c>
      <c r="C297" s="460" t="s">
        <v>1754</v>
      </c>
      <c r="D297" s="454" t="s">
        <v>299</v>
      </c>
      <c r="E297" s="85"/>
      <c r="F297" s="86"/>
    </row>
    <row r="298" spans="2:6" s="82" customFormat="1" outlineLevel="2" x14ac:dyDescent="0.3">
      <c r="B298" s="444" t="s">
        <v>3918</v>
      </c>
      <c r="C298" s="460" t="s">
        <v>1755</v>
      </c>
      <c r="D298" s="454" t="s">
        <v>299</v>
      </c>
      <c r="E298" s="85"/>
      <c r="F298" s="86"/>
    </row>
    <row r="299" spans="2:6" s="82" customFormat="1" outlineLevel="2" x14ac:dyDescent="0.3">
      <c r="B299" s="444" t="s">
        <v>3919</v>
      </c>
      <c r="C299" s="460" t="s">
        <v>1756</v>
      </c>
      <c r="D299" s="454" t="s">
        <v>299</v>
      </c>
      <c r="E299" s="85"/>
      <c r="F299" s="86"/>
    </row>
    <row r="300" spans="2:6" s="82" customFormat="1" outlineLevel="2" x14ac:dyDescent="0.3">
      <c r="B300" s="444" t="s">
        <v>3920</v>
      </c>
      <c r="C300" s="460" t="s">
        <v>1757</v>
      </c>
      <c r="D300" s="454" t="s">
        <v>299</v>
      </c>
      <c r="E300" s="85"/>
      <c r="F300" s="86"/>
    </row>
    <row r="301" spans="2:6" s="82" customFormat="1" outlineLevel="2" x14ac:dyDescent="0.3">
      <c r="B301" s="444" t="s">
        <v>3921</v>
      </c>
      <c r="C301" s="460" t="s">
        <v>1758</v>
      </c>
      <c r="D301" s="454" t="s">
        <v>299</v>
      </c>
      <c r="E301" s="85"/>
      <c r="F301" s="86"/>
    </row>
    <row r="302" spans="2:6" s="82" customFormat="1" outlineLevel="2" x14ac:dyDescent="0.3">
      <c r="B302" s="444" t="s">
        <v>3922</v>
      </c>
      <c r="C302" s="460" t="s">
        <v>1759</v>
      </c>
      <c r="D302" s="454" t="s">
        <v>299</v>
      </c>
      <c r="E302" s="85"/>
      <c r="F302" s="86"/>
    </row>
    <row r="303" spans="2:6" s="82" customFormat="1" outlineLevel="2" x14ac:dyDescent="0.3">
      <c r="B303" s="444" t="s">
        <v>3923</v>
      </c>
      <c r="C303" s="460" t="s">
        <v>1760</v>
      </c>
      <c r="D303" s="454" t="s">
        <v>299</v>
      </c>
      <c r="E303" s="85"/>
      <c r="F303" s="86"/>
    </row>
    <row r="304" spans="2:6" s="82" customFormat="1" outlineLevel="2" x14ac:dyDescent="0.3">
      <c r="B304" s="444" t="s">
        <v>3924</v>
      </c>
      <c r="C304" s="460" t="s">
        <v>1761</v>
      </c>
      <c r="D304" s="454" t="s">
        <v>299</v>
      </c>
      <c r="E304" s="85"/>
      <c r="F304" s="86"/>
    </row>
    <row r="305" spans="2:6" s="82" customFormat="1" outlineLevel="2" x14ac:dyDescent="0.3">
      <c r="B305" s="444" t="s">
        <v>3925</v>
      </c>
      <c r="C305" s="460" t="s">
        <v>1762</v>
      </c>
      <c r="D305" s="454" t="s">
        <v>299</v>
      </c>
      <c r="E305" s="85"/>
      <c r="F305" s="86"/>
    </row>
    <row r="306" spans="2:6" s="82" customFormat="1" outlineLevel="2" x14ac:dyDescent="0.3">
      <c r="B306" s="444" t="s">
        <v>3926</v>
      </c>
      <c r="C306" s="460" t="s">
        <v>1763</v>
      </c>
      <c r="D306" s="454" t="s">
        <v>299</v>
      </c>
      <c r="E306" s="85"/>
      <c r="F306" s="86"/>
    </row>
    <row r="307" spans="2:6" s="10" customFormat="1" outlineLevel="1" x14ac:dyDescent="0.3">
      <c r="B307" s="444" t="s">
        <v>3927</v>
      </c>
      <c r="C307" s="459">
        <v>5.3</v>
      </c>
      <c r="D307" s="453" t="s">
        <v>304</v>
      </c>
      <c r="E307" s="71">
        <f>SUM(E308:E327)</f>
        <v>0</v>
      </c>
      <c r="F307" s="74">
        <f>SUM(F308:F327)</f>
        <v>0</v>
      </c>
    </row>
    <row r="308" spans="2:6" s="82" customFormat="1" outlineLevel="2" x14ac:dyDescent="0.3">
      <c r="B308" s="444" t="s">
        <v>3928</v>
      </c>
      <c r="C308" s="460" t="s">
        <v>1764</v>
      </c>
      <c r="D308" s="454" t="s">
        <v>299</v>
      </c>
      <c r="E308" s="72"/>
      <c r="F308" s="75"/>
    </row>
    <row r="309" spans="2:6" s="82" customFormat="1" outlineLevel="2" x14ac:dyDescent="0.3">
      <c r="B309" s="444" t="s">
        <v>3929</v>
      </c>
      <c r="C309" s="460" t="s">
        <v>1765</v>
      </c>
      <c r="D309" s="454" t="s">
        <v>299</v>
      </c>
      <c r="E309" s="72"/>
      <c r="F309" s="75"/>
    </row>
    <row r="310" spans="2:6" s="82" customFormat="1" outlineLevel="2" x14ac:dyDescent="0.3">
      <c r="B310" s="444" t="s">
        <v>3930</v>
      </c>
      <c r="C310" s="460" t="s">
        <v>1766</v>
      </c>
      <c r="D310" s="454" t="s">
        <v>299</v>
      </c>
      <c r="E310" s="72"/>
      <c r="F310" s="75"/>
    </row>
    <row r="311" spans="2:6" s="82" customFormat="1" outlineLevel="2" x14ac:dyDescent="0.3">
      <c r="B311" s="444" t="s">
        <v>3931</v>
      </c>
      <c r="C311" s="460" t="s">
        <v>1767</v>
      </c>
      <c r="D311" s="454" t="s">
        <v>299</v>
      </c>
      <c r="E311" s="72"/>
      <c r="F311" s="75"/>
    </row>
    <row r="312" spans="2:6" s="82" customFormat="1" outlineLevel="2" x14ac:dyDescent="0.3">
      <c r="B312" s="444" t="s">
        <v>3932</v>
      </c>
      <c r="C312" s="460" t="s">
        <v>1768</v>
      </c>
      <c r="D312" s="454" t="s">
        <v>299</v>
      </c>
      <c r="E312" s="72"/>
      <c r="F312" s="75"/>
    </row>
    <row r="313" spans="2:6" s="82" customFormat="1" outlineLevel="2" x14ac:dyDescent="0.3">
      <c r="B313" s="444" t="s">
        <v>3933</v>
      </c>
      <c r="C313" s="460" t="s">
        <v>1769</v>
      </c>
      <c r="D313" s="454" t="s">
        <v>299</v>
      </c>
      <c r="E313" s="72"/>
      <c r="F313" s="75"/>
    </row>
    <row r="314" spans="2:6" s="82" customFormat="1" outlineLevel="2" x14ac:dyDescent="0.3">
      <c r="B314" s="444" t="s">
        <v>3934</v>
      </c>
      <c r="C314" s="460" t="s">
        <v>1770</v>
      </c>
      <c r="D314" s="454" t="s">
        <v>299</v>
      </c>
      <c r="E314" s="72"/>
      <c r="F314" s="75"/>
    </row>
    <row r="315" spans="2:6" s="82" customFormat="1" outlineLevel="2" x14ac:dyDescent="0.3">
      <c r="B315" s="444" t="s">
        <v>3935</v>
      </c>
      <c r="C315" s="460" t="s">
        <v>1771</v>
      </c>
      <c r="D315" s="454" t="s">
        <v>299</v>
      </c>
      <c r="E315" s="72"/>
      <c r="F315" s="75"/>
    </row>
    <row r="316" spans="2:6" s="82" customFormat="1" outlineLevel="2" x14ac:dyDescent="0.3">
      <c r="B316" s="444" t="s">
        <v>3936</v>
      </c>
      <c r="C316" s="460" t="s">
        <v>1772</v>
      </c>
      <c r="D316" s="454" t="s">
        <v>299</v>
      </c>
      <c r="E316" s="72"/>
      <c r="F316" s="75"/>
    </row>
    <row r="317" spans="2:6" s="82" customFormat="1" outlineLevel="2" x14ac:dyDescent="0.3">
      <c r="B317" s="444" t="s">
        <v>3937</v>
      </c>
      <c r="C317" s="460" t="s">
        <v>1773</v>
      </c>
      <c r="D317" s="454" t="s">
        <v>299</v>
      </c>
      <c r="E317" s="72"/>
      <c r="F317" s="75"/>
    </row>
    <row r="318" spans="2:6" s="82" customFormat="1" outlineLevel="2" x14ac:dyDescent="0.3">
      <c r="B318" s="444" t="s">
        <v>3938</v>
      </c>
      <c r="C318" s="460" t="s">
        <v>1774</v>
      </c>
      <c r="D318" s="454" t="s">
        <v>299</v>
      </c>
      <c r="E318" s="72"/>
      <c r="F318" s="75"/>
    </row>
    <row r="319" spans="2:6" s="82" customFormat="1" outlineLevel="2" x14ac:dyDescent="0.3">
      <c r="B319" s="444" t="s">
        <v>3939</v>
      </c>
      <c r="C319" s="460" t="s">
        <v>1775</v>
      </c>
      <c r="D319" s="454" t="s">
        <v>299</v>
      </c>
      <c r="E319" s="72"/>
      <c r="F319" s="75"/>
    </row>
    <row r="320" spans="2:6" s="82" customFormat="1" outlineLevel="2" x14ac:dyDescent="0.3">
      <c r="B320" s="444" t="s">
        <v>3940</v>
      </c>
      <c r="C320" s="460" t="s">
        <v>1776</v>
      </c>
      <c r="D320" s="454" t="s">
        <v>299</v>
      </c>
      <c r="E320" s="72"/>
      <c r="F320" s="75"/>
    </row>
    <row r="321" spans="2:6" s="82" customFormat="1" outlineLevel="2" x14ac:dyDescent="0.3">
      <c r="B321" s="444" t="s">
        <v>3941</v>
      </c>
      <c r="C321" s="460" t="s">
        <v>1777</v>
      </c>
      <c r="D321" s="454" t="s">
        <v>299</v>
      </c>
      <c r="E321" s="72"/>
      <c r="F321" s="75"/>
    </row>
    <row r="322" spans="2:6" s="82" customFormat="1" outlineLevel="2" x14ac:dyDescent="0.3">
      <c r="B322" s="444" t="s">
        <v>3942</v>
      </c>
      <c r="C322" s="460" t="s">
        <v>1778</v>
      </c>
      <c r="D322" s="454" t="s">
        <v>299</v>
      </c>
      <c r="E322" s="72"/>
      <c r="F322" s="75"/>
    </row>
    <row r="323" spans="2:6" s="82" customFormat="1" outlineLevel="2" x14ac:dyDescent="0.3">
      <c r="B323" s="444" t="s">
        <v>3943</v>
      </c>
      <c r="C323" s="460" t="s">
        <v>1779</v>
      </c>
      <c r="D323" s="454" t="s">
        <v>299</v>
      </c>
      <c r="E323" s="72"/>
      <c r="F323" s="75"/>
    </row>
    <row r="324" spans="2:6" s="82" customFormat="1" outlineLevel="2" x14ac:dyDescent="0.3">
      <c r="B324" s="444" t="s">
        <v>3944</v>
      </c>
      <c r="C324" s="460" t="s">
        <v>1780</v>
      </c>
      <c r="D324" s="454" t="s">
        <v>299</v>
      </c>
      <c r="E324" s="72"/>
      <c r="F324" s="75"/>
    </row>
    <row r="325" spans="2:6" s="82" customFormat="1" outlineLevel="2" x14ac:dyDescent="0.3">
      <c r="B325" s="444" t="s">
        <v>3945</v>
      </c>
      <c r="C325" s="460" t="s">
        <v>1781</v>
      </c>
      <c r="D325" s="454" t="s">
        <v>299</v>
      </c>
      <c r="E325" s="72"/>
      <c r="F325" s="75"/>
    </row>
    <row r="326" spans="2:6" s="82" customFormat="1" outlineLevel="2" x14ac:dyDescent="0.3">
      <c r="B326" s="444" t="s">
        <v>3946</v>
      </c>
      <c r="C326" s="460" t="s">
        <v>1782</v>
      </c>
      <c r="D326" s="454" t="s">
        <v>299</v>
      </c>
      <c r="E326" s="72"/>
      <c r="F326" s="75"/>
    </row>
    <row r="327" spans="2:6" s="82" customFormat="1" outlineLevel="2" x14ac:dyDescent="0.3">
      <c r="B327" s="444" t="s">
        <v>3947</v>
      </c>
      <c r="C327" s="460" t="s">
        <v>1783</v>
      </c>
      <c r="D327" s="454" t="s">
        <v>299</v>
      </c>
      <c r="E327" s="72"/>
      <c r="F327" s="75"/>
    </row>
    <row r="328" spans="2:6" s="10" customFormat="1" outlineLevel="1" x14ac:dyDescent="0.3">
      <c r="B328" s="444" t="s">
        <v>3948</v>
      </c>
      <c r="C328" s="459">
        <v>5.4</v>
      </c>
      <c r="D328" s="453" t="s">
        <v>4661</v>
      </c>
      <c r="E328" s="71">
        <f>SUM(E329:E348)</f>
        <v>0</v>
      </c>
      <c r="F328" s="74">
        <f>SUM(F329:F348)</f>
        <v>0</v>
      </c>
    </row>
    <row r="329" spans="2:6" s="82" customFormat="1" outlineLevel="2" x14ac:dyDescent="0.3">
      <c r="B329" s="444" t="s">
        <v>3949</v>
      </c>
      <c r="C329" s="460" t="s">
        <v>1784</v>
      </c>
      <c r="D329" s="454" t="s">
        <v>299</v>
      </c>
      <c r="E329" s="85"/>
      <c r="F329" s="86"/>
    </row>
    <row r="330" spans="2:6" s="82" customFormat="1" outlineLevel="2" x14ac:dyDescent="0.3">
      <c r="B330" s="444" t="s">
        <v>3950</v>
      </c>
      <c r="C330" s="460" t="s">
        <v>1785</v>
      </c>
      <c r="D330" s="454" t="s">
        <v>299</v>
      </c>
      <c r="E330" s="85"/>
      <c r="F330" s="86"/>
    </row>
    <row r="331" spans="2:6" s="82" customFormat="1" outlineLevel="2" x14ac:dyDescent="0.3">
      <c r="B331" s="444" t="s">
        <v>3951</v>
      </c>
      <c r="C331" s="460" t="s">
        <v>1786</v>
      </c>
      <c r="D331" s="454" t="s">
        <v>299</v>
      </c>
      <c r="E331" s="85"/>
      <c r="F331" s="86"/>
    </row>
    <row r="332" spans="2:6" s="82" customFormat="1" outlineLevel="2" x14ac:dyDescent="0.3">
      <c r="B332" s="444" t="s">
        <v>3952</v>
      </c>
      <c r="C332" s="460" t="s">
        <v>1787</v>
      </c>
      <c r="D332" s="454" t="s">
        <v>299</v>
      </c>
      <c r="E332" s="85"/>
      <c r="F332" s="86"/>
    </row>
    <row r="333" spans="2:6" s="82" customFormat="1" outlineLevel="2" x14ac:dyDescent="0.3">
      <c r="B333" s="444" t="s">
        <v>3953</v>
      </c>
      <c r="C333" s="460" t="s">
        <v>1788</v>
      </c>
      <c r="D333" s="454" t="s">
        <v>299</v>
      </c>
      <c r="E333" s="85"/>
      <c r="F333" s="86"/>
    </row>
    <row r="334" spans="2:6" s="82" customFormat="1" outlineLevel="2" x14ac:dyDescent="0.3">
      <c r="B334" s="444" t="s">
        <v>3954</v>
      </c>
      <c r="C334" s="460" t="s">
        <v>1789</v>
      </c>
      <c r="D334" s="454" t="s">
        <v>299</v>
      </c>
      <c r="E334" s="85"/>
      <c r="F334" s="86"/>
    </row>
    <row r="335" spans="2:6" s="82" customFormat="1" outlineLevel="2" x14ac:dyDescent="0.3">
      <c r="B335" s="444" t="s">
        <v>3955</v>
      </c>
      <c r="C335" s="460" t="s">
        <v>1790</v>
      </c>
      <c r="D335" s="454" t="s">
        <v>299</v>
      </c>
      <c r="E335" s="85"/>
      <c r="F335" s="86"/>
    </row>
    <row r="336" spans="2:6" s="82" customFormat="1" outlineLevel="2" x14ac:dyDescent="0.3">
      <c r="B336" s="444" t="s">
        <v>3956</v>
      </c>
      <c r="C336" s="460" t="s">
        <v>1791</v>
      </c>
      <c r="D336" s="454" t="s">
        <v>299</v>
      </c>
      <c r="E336" s="85"/>
      <c r="F336" s="86"/>
    </row>
    <row r="337" spans="2:6" s="82" customFormat="1" outlineLevel="2" x14ac:dyDescent="0.3">
      <c r="B337" s="444" t="s">
        <v>3957</v>
      </c>
      <c r="C337" s="460" t="s">
        <v>1792</v>
      </c>
      <c r="D337" s="454" t="s">
        <v>299</v>
      </c>
      <c r="E337" s="85"/>
      <c r="F337" s="86"/>
    </row>
    <row r="338" spans="2:6" s="82" customFormat="1" outlineLevel="2" x14ac:dyDescent="0.3">
      <c r="B338" s="444" t="s">
        <v>3958</v>
      </c>
      <c r="C338" s="460" t="s">
        <v>1793</v>
      </c>
      <c r="D338" s="454" t="s">
        <v>299</v>
      </c>
      <c r="E338" s="85"/>
      <c r="F338" s="86"/>
    </row>
    <row r="339" spans="2:6" s="82" customFormat="1" outlineLevel="2" x14ac:dyDescent="0.3">
      <c r="B339" s="444" t="s">
        <v>3959</v>
      </c>
      <c r="C339" s="460" t="s">
        <v>1794</v>
      </c>
      <c r="D339" s="454" t="s">
        <v>299</v>
      </c>
      <c r="E339" s="85"/>
      <c r="F339" s="86"/>
    </row>
    <row r="340" spans="2:6" s="82" customFormat="1" outlineLevel="2" x14ac:dyDescent="0.3">
      <c r="B340" s="444" t="s">
        <v>3960</v>
      </c>
      <c r="C340" s="460" t="s">
        <v>1795</v>
      </c>
      <c r="D340" s="454" t="s">
        <v>299</v>
      </c>
      <c r="E340" s="85"/>
      <c r="F340" s="86"/>
    </row>
    <row r="341" spans="2:6" s="82" customFormat="1" outlineLevel="2" x14ac:dyDescent="0.3">
      <c r="B341" s="444" t="s">
        <v>3961</v>
      </c>
      <c r="C341" s="460" t="s">
        <v>1796</v>
      </c>
      <c r="D341" s="454" t="s">
        <v>299</v>
      </c>
      <c r="E341" s="85"/>
      <c r="F341" s="86"/>
    </row>
    <row r="342" spans="2:6" s="82" customFormat="1" outlineLevel="2" x14ac:dyDescent="0.3">
      <c r="B342" s="444" t="s">
        <v>3962</v>
      </c>
      <c r="C342" s="460" t="s">
        <v>1797</v>
      </c>
      <c r="D342" s="454" t="s">
        <v>299</v>
      </c>
      <c r="E342" s="85"/>
      <c r="F342" s="86"/>
    </row>
    <row r="343" spans="2:6" s="82" customFormat="1" outlineLevel="2" x14ac:dyDescent="0.3">
      <c r="B343" s="444" t="s">
        <v>3963</v>
      </c>
      <c r="C343" s="460" t="s">
        <v>1798</v>
      </c>
      <c r="D343" s="454" t="s">
        <v>299</v>
      </c>
      <c r="E343" s="85"/>
      <c r="F343" s="86"/>
    </row>
    <row r="344" spans="2:6" s="82" customFormat="1" outlineLevel="2" x14ac:dyDescent="0.3">
      <c r="B344" s="444" t="s">
        <v>3964</v>
      </c>
      <c r="C344" s="460" t="s">
        <v>1799</v>
      </c>
      <c r="D344" s="454" t="s">
        <v>299</v>
      </c>
      <c r="E344" s="85"/>
      <c r="F344" s="86"/>
    </row>
    <row r="345" spans="2:6" s="82" customFormat="1" outlineLevel="2" x14ac:dyDescent="0.3">
      <c r="B345" s="444" t="s">
        <v>3965</v>
      </c>
      <c r="C345" s="460" t="s">
        <v>1800</v>
      </c>
      <c r="D345" s="454" t="s">
        <v>299</v>
      </c>
      <c r="E345" s="85"/>
      <c r="F345" s="86"/>
    </row>
    <row r="346" spans="2:6" s="82" customFormat="1" outlineLevel="2" x14ac:dyDescent="0.3">
      <c r="B346" s="444" t="s">
        <v>3966</v>
      </c>
      <c r="C346" s="460" t="s">
        <v>1801</v>
      </c>
      <c r="D346" s="454" t="s">
        <v>299</v>
      </c>
      <c r="E346" s="85"/>
      <c r="F346" s="86"/>
    </row>
    <row r="347" spans="2:6" s="82" customFormat="1" outlineLevel="2" x14ac:dyDescent="0.3">
      <c r="B347" s="444" t="s">
        <v>3967</v>
      </c>
      <c r="C347" s="460" t="s">
        <v>1802</v>
      </c>
      <c r="D347" s="454" t="s">
        <v>299</v>
      </c>
      <c r="E347" s="85"/>
      <c r="F347" s="86"/>
    </row>
    <row r="348" spans="2:6" s="82" customFormat="1" ht="15.75" outlineLevel="2" thickBot="1" x14ac:dyDescent="0.35">
      <c r="B348" s="445" t="s">
        <v>3968</v>
      </c>
      <c r="C348" s="463" t="s">
        <v>1803</v>
      </c>
      <c r="D348" s="457" t="s">
        <v>299</v>
      </c>
      <c r="E348" s="87"/>
      <c r="F348" s="88"/>
    </row>
    <row r="349" spans="2:6" s="10" customFormat="1" ht="9" customHeight="1" thickBot="1" x14ac:dyDescent="0.35">
      <c r="B349" s="469"/>
      <c r="C349" s="468"/>
      <c r="D349" s="83"/>
      <c r="E349" s="89"/>
      <c r="F349" s="470"/>
    </row>
    <row r="350" spans="2:6" s="14" customFormat="1" x14ac:dyDescent="0.3">
      <c r="B350" s="439" t="s">
        <v>3969</v>
      </c>
      <c r="C350" s="464">
        <v>6</v>
      </c>
      <c r="D350" s="451" t="s">
        <v>305</v>
      </c>
      <c r="E350" s="450">
        <f>E351+E436+E521+E606</f>
        <v>0</v>
      </c>
      <c r="F350" s="443">
        <f>F351+F436+F521+F606</f>
        <v>0</v>
      </c>
    </row>
    <row r="351" spans="2:6" s="82" customFormat="1" x14ac:dyDescent="0.3">
      <c r="B351" s="444" t="s">
        <v>3970</v>
      </c>
      <c r="C351" s="458">
        <v>7</v>
      </c>
      <c r="D351" s="452" t="s">
        <v>281</v>
      </c>
      <c r="E351" s="70">
        <f>E352+E373+E394+E415</f>
        <v>0</v>
      </c>
      <c r="F351" s="73">
        <f>F352+F373+F394+F415</f>
        <v>0</v>
      </c>
    </row>
    <row r="352" spans="2:6" s="10" customFormat="1" ht="15" customHeight="1" outlineLevel="1" x14ac:dyDescent="0.3">
      <c r="B352" s="444" t="s">
        <v>3971</v>
      </c>
      <c r="C352" s="459">
        <v>7.1</v>
      </c>
      <c r="D352" s="453" t="s">
        <v>303</v>
      </c>
      <c r="E352" s="71">
        <f>SUM(E353:E372)</f>
        <v>0</v>
      </c>
      <c r="F352" s="74">
        <f>SUM(F353:F372)</f>
        <v>0</v>
      </c>
    </row>
    <row r="353" spans="2:6" s="82" customFormat="1" ht="15" customHeight="1" outlineLevel="2" x14ac:dyDescent="0.3">
      <c r="B353" s="444" t="s">
        <v>3972</v>
      </c>
      <c r="C353" s="460" t="s">
        <v>1804</v>
      </c>
      <c r="D353" s="454" t="s">
        <v>299</v>
      </c>
      <c r="E353" s="72"/>
      <c r="F353" s="75"/>
    </row>
    <row r="354" spans="2:6" s="82" customFormat="1" ht="15" customHeight="1" outlineLevel="2" x14ac:dyDescent="0.3">
      <c r="B354" s="444" t="s">
        <v>3973</v>
      </c>
      <c r="C354" s="460" t="s">
        <v>1805</v>
      </c>
      <c r="D354" s="454" t="s">
        <v>299</v>
      </c>
      <c r="E354" s="72"/>
      <c r="F354" s="75"/>
    </row>
    <row r="355" spans="2:6" s="82" customFormat="1" ht="15" customHeight="1" outlineLevel="2" x14ac:dyDescent="0.3">
      <c r="B355" s="444" t="s">
        <v>3974</v>
      </c>
      <c r="C355" s="460" t="s">
        <v>1806</v>
      </c>
      <c r="D355" s="454" t="s">
        <v>299</v>
      </c>
      <c r="E355" s="72"/>
      <c r="F355" s="75"/>
    </row>
    <row r="356" spans="2:6" s="82" customFormat="1" ht="15" customHeight="1" outlineLevel="2" x14ac:dyDescent="0.3">
      <c r="B356" s="444" t="s">
        <v>3975</v>
      </c>
      <c r="C356" s="460" t="s">
        <v>1807</v>
      </c>
      <c r="D356" s="454" t="s">
        <v>299</v>
      </c>
      <c r="E356" s="72"/>
      <c r="F356" s="75"/>
    </row>
    <row r="357" spans="2:6" s="82" customFormat="1" ht="15" customHeight="1" outlineLevel="2" x14ac:dyDescent="0.3">
      <c r="B357" s="444" t="s">
        <v>3976</v>
      </c>
      <c r="C357" s="460" t="s">
        <v>1808</v>
      </c>
      <c r="D357" s="454" t="s">
        <v>299</v>
      </c>
      <c r="E357" s="72"/>
      <c r="F357" s="75"/>
    </row>
    <row r="358" spans="2:6" s="82" customFormat="1" ht="15" customHeight="1" outlineLevel="2" x14ac:dyDescent="0.3">
      <c r="B358" s="444" t="s">
        <v>3977</v>
      </c>
      <c r="C358" s="460" t="s">
        <v>1809</v>
      </c>
      <c r="D358" s="454" t="s">
        <v>299</v>
      </c>
      <c r="E358" s="72"/>
      <c r="F358" s="75"/>
    </row>
    <row r="359" spans="2:6" s="82" customFormat="1" ht="15" customHeight="1" outlineLevel="2" x14ac:dyDescent="0.3">
      <c r="B359" s="444" t="s">
        <v>3978</v>
      </c>
      <c r="C359" s="460" t="s">
        <v>1810</v>
      </c>
      <c r="D359" s="454" t="s">
        <v>299</v>
      </c>
      <c r="E359" s="72"/>
      <c r="F359" s="75"/>
    </row>
    <row r="360" spans="2:6" s="82" customFormat="1" ht="15" customHeight="1" outlineLevel="2" x14ac:dyDescent="0.3">
      <c r="B360" s="444" t="s">
        <v>3979</v>
      </c>
      <c r="C360" s="460" t="s">
        <v>1811</v>
      </c>
      <c r="D360" s="454" t="s">
        <v>299</v>
      </c>
      <c r="E360" s="72"/>
      <c r="F360" s="75"/>
    </row>
    <row r="361" spans="2:6" s="82" customFormat="1" ht="15" customHeight="1" outlineLevel="2" x14ac:dyDescent="0.3">
      <c r="B361" s="444" t="s">
        <v>3980</v>
      </c>
      <c r="C361" s="460" t="s">
        <v>1812</v>
      </c>
      <c r="D361" s="454" t="s">
        <v>299</v>
      </c>
      <c r="E361" s="72"/>
      <c r="F361" s="75"/>
    </row>
    <row r="362" spans="2:6" s="82" customFormat="1" ht="15" customHeight="1" outlineLevel="2" x14ac:dyDescent="0.3">
      <c r="B362" s="444" t="s">
        <v>3981</v>
      </c>
      <c r="C362" s="460" t="s">
        <v>1813</v>
      </c>
      <c r="D362" s="454" t="s">
        <v>299</v>
      </c>
      <c r="E362" s="72"/>
      <c r="F362" s="75"/>
    </row>
    <row r="363" spans="2:6" s="82" customFormat="1" ht="15" customHeight="1" outlineLevel="2" x14ac:dyDescent="0.3">
      <c r="B363" s="444" t="s">
        <v>3982</v>
      </c>
      <c r="C363" s="460" t="s">
        <v>1814</v>
      </c>
      <c r="D363" s="454" t="s">
        <v>299</v>
      </c>
      <c r="E363" s="72"/>
      <c r="F363" s="75"/>
    </row>
    <row r="364" spans="2:6" s="82" customFormat="1" ht="15" customHeight="1" outlineLevel="2" x14ac:dyDescent="0.3">
      <c r="B364" s="444" t="s">
        <v>3983</v>
      </c>
      <c r="C364" s="460" t="s">
        <v>1815</v>
      </c>
      <c r="D364" s="454" t="s">
        <v>299</v>
      </c>
      <c r="E364" s="72"/>
      <c r="F364" s="75"/>
    </row>
    <row r="365" spans="2:6" s="82" customFormat="1" ht="15" customHeight="1" outlineLevel="2" x14ac:dyDescent="0.3">
      <c r="B365" s="444" t="s">
        <v>3984</v>
      </c>
      <c r="C365" s="460" t="s">
        <v>1816</v>
      </c>
      <c r="D365" s="454" t="s">
        <v>299</v>
      </c>
      <c r="E365" s="72"/>
      <c r="F365" s="75"/>
    </row>
    <row r="366" spans="2:6" s="82" customFormat="1" ht="15" customHeight="1" outlineLevel="2" x14ac:dyDescent="0.3">
      <c r="B366" s="444" t="s">
        <v>3985</v>
      </c>
      <c r="C366" s="460" t="s">
        <v>1817</v>
      </c>
      <c r="D366" s="454" t="s">
        <v>299</v>
      </c>
      <c r="E366" s="72"/>
      <c r="F366" s="75"/>
    </row>
    <row r="367" spans="2:6" s="82" customFormat="1" ht="15" customHeight="1" outlineLevel="2" x14ac:dyDescent="0.3">
      <c r="B367" s="444" t="s">
        <v>3986</v>
      </c>
      <c r="C367" s="460" t="s">
        <v>1818</v>
      </c>
      <c r="D367" s="454" t="s">
        <v>299</v>
      </c>
      <c r="E367" s="72"/>
      <c r="F367" s="75"/>
    </row>
    <row r="368" spans="2:6" s="82" customFormat="1" ht="15" customHeight="1" outlineLevel="2" x14ac:dyDescent="0.3">
      <c r="B368" s="444" t="s">
        <v>3987</v>
      </c>
      <c r="C368" s="460" t="s">
        <v>1819</v>
      </c>
      <c r="D368" s="454" t="s">
        <v>299</v>
      </c>
      <c r="E368" s="72"/>
      <c r="F368" s="75"/>
    </row>
    <row r="369" spans="2:6" s="82" customFormat="1" ht="15" customHeight="1" outlineLevel="2" x14ac:dyDescent="0.3">
      <c r="B369" s="444" t="s">
        <v>3988</v>
      </c>
      <c r="C369" s="460" t="s">
        <v>1820</v>
      </c>
      <c r="D369" s="454" t="s">
        <v>299</v>
      </c>
      <c r="E369" s="72"/>
      <c r="F369" s="75"/>
    </row>
    <row r="370" spans="2:6" s="82" customFormat="1" ht="15" customHeight="1" outlineLevel="2" x14ac:dyDescent="0.3">
      <c r="B370" s="444" t="s">
        <v>3989</v>
      </c>
      <c r="C370" s="460" t="s">
        <v>1821</v>
      </c>
      <c r="D370" s="454" t="s">
        <v>299</v>
      </c>
      <c r="E370" s="72"/>
      <c r="F370" s="75"/>
    </row>
    <row r="371" spans="2:6" s="82" customFormat="1" ht="15" customHeight="1" outlineLevel="2" x14ac:dyDescent="0.3">
      <c r="B371" s="444" t="s">
        <v>3990</v>
      </c>
      <c r="C371" s="460" t="s">
        <v>1822</v>
      </c>
      <c r="D371" s="454" t="s">
        <v>299</v>
      </c>
      <c r="E371" s="72"/>
      <c r="F371" s="75"/>
    </row>
    <row r="372" spans="2:6" s="82" customFormat="1" ht="15" customHeight="1" outlineLevel="2" x14ac:dyDescent="0.3">
      <c r="B372" s="444" t="s">
        <v>3991</v>
      </c>
      <c r="C372" s="460" t="s">
        <v>1823</v>
      </c>
      <c r="D372" s="454" t="s">
        <v>299</v>
      </c>
      <c r="E372" s="72"/>
      <c r="F372" s="75"/>
    </row>
    <row r="373" spans="2:6" s="10" customFormat="1" ht="15" customHeight="1" outlineLevel="1" x14ac:dyDescent="0.3">
      <c r="B373" s="444" t="s">
        <v>3992</v>
      </c>
      <c r="C373" s="459">
        <v>7.2</v>
      </c>
      <c r="D373" s="453" t="s">
        <v>4660</v>
      </c>
      <c r="E373" s="71">
        <f>SUM(E374:E393)</f>
        <v>0</v>
      </c>
      <c r="F373" s="74">
        <f>SUM(F374:F393)</f>
        <v>0</v>
      </c>
    </row>
    <row r="374" spans="2:6" s="82" customFormat="1" ht="15" customHeight="1" outlineLevel="2" x14ac:dyDescent="0.3">
      <c r="B374" s="444" t="s">
        <v>3993</v>
      </c>
      <c r="C374" s="460" t="s">
        <v>1824</v>
      </c>
      <c r="D374" s="454" t="s">
        <v>299</v>
      </c>
      <c r="E374" s="85"/>
      <c r="F374" s="86"/>
    </row>
    <row r="375" spans="2:6" s="82" customFormat="1" ht="15" customHeight="1" outlineLevel="2" x14ac:dyDescent="0.3">
      <c r="B375" s="444" t="s">
        <v>3994</v>
      </c>
      <c r="C375" s="460" t="s">
        <v>1825</v>
      </c>
      <c r="D375" s="454" t="s">
        <v>299</v>
      </c>
      <c r="E375" s="85"/>
      <c r="F375" s="86"/>
    </row>
    <row r="376" spans="2:6" s="82" customFormat="1" ht="15" customHeight="1" outlineLevel="2" x14ac:dyDescent="0.3">
      <c r="B376" s="444" t="s">
        <v>3995</v>
      </c>
      <c r="C376" s="460" t="s">
        <v>1826</v>
      </c>
      <c r="D376" s="454" t="s">
        <v>299</v>
      </c>
      <c r="E376" s="85"/>
      <c r="F376" s="86"/>
    </row>
    <row r="377" spans="2:6" s="82" customFormat="1" ht="15" customHeight="1" outlineLevel="2" x14ac:dyDescent="0.3">
      <c r="B377" s="444" t="s">
        <v>3996</v>
      </c>
      <c r="C377" s="460" t="s">
        <v>1827</v>
      </c>
      <c r="D377" s="454" t="s">
        <v>299</v>
      </c>
      <c r="E377" s="85"/>
      <c r="F377" s="86"/>
    </row>
    <row r="378" spans="2:6" s="82" customFormat="1" ht="15" customHeight="1" outlineLevel="2" x14ac:dyDescent="0.3">
      <c r="B378" s="444" t="s">
        <v>3997</v>
      </c>
      <c r="C378" s="460" t="s">
        <v>1828</v>
      </c>
      <c r="D378" s="454" t="s">
        <v>299</v>
      </c>
      <c r="E378" s="85"/>
      <c r="F378" s="86"/>
    </row>
    <row r="379" spans="2:6" s="82" customFormat="1" ht="15" customHeight="1" outlineLevel="2" x14ac:dyDescent="0.3">
      <c r="B379" s="444" t="s">
        <v>3998</v>
      </c>
      <c r="C379" s="460" t="s">
        <v>1829</v>
      </c>
      <c r="D379" s="454" t="s">
        <v>299</v>
      </c>
      <c r="E379" s="85"/>
      <c r="F379" s="86"/>
    </row>
    <row r="380" spans="2:6" s="82" customFormat="1" ht="15" customHeight="1" outlineLevel="2" x14ac:dyDescent="0.3">
      <c r="B380" s="444" t="s">
        <v>3999</v>
      </c>
      <c r="C380" s="460" t="s">
        <v>1830</v>
      </c>
      <c r="D380" s="454" t="s">
        <v>299</v>
      </c>
      <c r="E380" s="85"/>
      <c r="F380" s="86"/>
    </row>
    <row r="381" spans="2:6" s="82" customFormat="1" ht="15" customHeight="1" outlineLevel="2" x14ac:dyDescent="0.3">
      <c r="B381" s="444" t="s">
        <v>4000</v>
      </c>
      <c r="C381" s="460" t="s">
        <v>1831</v>
      </c>
      <c r="D381" s="454" t="s">
        <v>299</v>
      </c>
      <c r="E381" s="85"/>
      <c r="F381" s="86"/>
    </row>
    <row r="382" spans="2:6" s="82" customFormat="1" ht="15" customHeight="1" outlineLevel="2" x14ac:dyDescent="0.3">
      <c r="B382" s="444" t="s">
        <v>4001</v>
      </c>
      <c r="C382" s="460" t="s">
        <v>1832</v>
      </c>
      <c r="D382" s="454" t="s">
        <v>299</v>
      </c>
      <c r="E382" s="85"/>
      <c r="F382" s="86"/>
    </row>
    <row r="383" spans="2:6" s="82" customFormat="1" ht="15" customHeight="1" outlineLevel="2" x14ac:dyDescent="0.3">
      <c r="B383" s="444" t="s">
        <v>4002</v>
      </c>
      <c r="C383" s="460" t="s">
        <v>1833</v>
      </c>
      <c r="D383" s="454" t="s">
        <v>299</v>
      </c>
      <c r="E383" s="85"/>
      <c r="F383" s="86"/>
    </row>
    <row r="384" spans="2:6" s="82" customFormat="1" ht="15" customHeight="1" outlineLevel="2" x14ac:dyDescent="0.3">
      <c r="B384" s="444" t="s">
        <v>4003</v>
      </c>
      <c r="C384" s="460" t="s">
        <v>1834</v>
      </c>
      <c r="D384" s="454" t="s">
        <v>299</v>
      </c>
      <c r="E384" s="85"/>
      <c r="F384" s="86"/>
    </row>
    <row r="385" spans="2:7" s="82" customFormat="1" ht="15" customHeight="1" outlineLevel="2" x14ac:dyDescent="0.3">
      <c r="B385" s="444" t="s">
        <v>4004</v>
      </c>
      <c r="C385" s="460" t="s">
        <v>1835</v>
      </c>
      <c r="D385" s="454" t="s">
        <v>299</v>
      </c>
      <c r="E385" s="85"/>
      <c r="F385" s="86"/>
    </row>
    <row r="386" spans="2:7" s="82" customFormat="1" ht="15" customHeight="1" outlineLevel="2" x14ac:dyDescent="0.3">
      <c r="B386" s="444" t="s">
        <v>4005</v>
      </c>
      <c r="C386" s="460" t="s">
        <v>1836</v>
      </c>
      <c r="D386" s="454" t="s">
        <v>299</v>
      </c>
      <c r="E386" s="85"/>
      <c r="F386" s="86"/>
    </row>
    <row r="387" spans="2:7" s="82" customFormat="1" ht="15" customHeight="1" outlineLevel="2" x14ac:dyDescent="0.3">
      <c r="B387" s="444" t="s">
        <v>4006</v>
      </c>
      <c r="C387" s="460" t="s">
        <v>1837</v>
      </c>
      <c r="D387" s="454" t="s">
        <v>299</v>
      </c>
      <c r="E387" s="85"/>
      <c r="F387" s="86"/>
    </row>
    <row r="388" spans="2:7" s="82" customFormat="1" ht="15" customHeight="1" outlineLevel="2" x14ac:dyDescent="0.3">
      <c r="B388" s="444" t="s">
        <v>4007</v>
      </c>
      <c r="C388" s="460" t="s">
        <v>1838</v>
      </c>
      <c r="D388" s="454" t="s">
        <v>299</v>
      </c>
      <c r="E388" s="85"/>
      <c r="F388" s="86"/>
    </row>
    <row r="389" spans="2:7" s="82" customFormat="1" ht="15" customHeight="1" outlineLevel="2" x14ac:dyDescent="0.3">
      <c r="B389" s="444" t="s">
        <v>4008</v>
      </c>
      <c r="C389" s="460" t="s">
        <v>1839</v>
      </c>
      <c r="D389" s="454" t="s">
        <v>299</v>
      </c>
      <c r="E389" s="85"/>
      <c r="F389" s="86"/>
    </row>
    <row r="390" spans="2:7" s="82" customFormat="1" ht="15" customHeight="1" outlineLevel="2" x14ac:dyDescent="0.3">
      <c r="B390" s="444" t="s">
        <v>4009</v>
      </c>
      <c r="C390" s="460" t="s">
        <v>1840</v>
      </c>
      <c r="D390" s="454" t="s">
        <v>299</v>
      </c>
      <c r="E390" s="85"/>
      <c r="F390" s="86"/>
    </row>
    <row r="391" spans="2:7" s="82" customFormat="1" ht="15" customHeight="1" outlineLevel="2" x14ac:dyDescent="0.3">
      <c r="B391" s="444" t="s">
        <v>4010</v>
      </c>
      <c r="C391" s="460" t="s">
        <v>1841</v>
      </c>
      <c r="D391" s="454" t="s">
        <v>299</v>
      </c>
      <c r="E391" s="85"/>
      <c r="F391" s="86"/>
    </row>
    <row r="392" spans="2:7" s="82" customFormat="1" ht="15" customHeight="1" outlineLevel="2" x14ac:dyDescent="0.3">
      <c r="B392" s="444" t="s">
        <v>4011</v>
      </c>
      <c r="C392" s="460" t="s">
        <v>1842</v>
      </c>
      <c r="D392" s="454" t="s">
        <v>299</v>
      </c>
      <c r="E392" s="85"/>
      <c r="F392" s="86"/>
    </row>
    <row r="393" spans="2:7" s="82" customFormat="1" ht="15" customHeight="1" outlineLevel="2" x14ac:dyDescent="0.3">
      <c r="B393" s="444" t="s">
        <v>4012</v>
      </c>
      <c r="C393" s="460" t="s">
        <v>1843</v>
      </c>
      <c r="D393" s="454" t="s">
        <v>299</v>
      </c>
      <c r="E393" s="85"/>
      <c r="F393" s="86"/>
    </row>
    <row r="394" spans="2:7" s="10" customFormat="1" ht="15" customHeight="1" outlineLevel="1" x14ac:dyDescent="0.3">
      <c r="B394" s="444" t="s">
        <v>4013</v>
      </c>
      <c r="C394" s="459">
        <v>7.3</v>
      </c>
      <c r="D394" s="453" t="s">
        <v>304</v>
      </c>
      <c r="E394" s="71">
        <f>SUM(E395:E414)</f>
        <v>0</v>
      </c>
      <c r="F394" s="74">
        <f>SUM(F395:F414)</f>
        <v>0</v>
      </c>
    </row>
    <row r="395" spans="2:7" s="82" customFormat="1" ht="15" customHeight="1" outlineLevel="2" x14ac:dyDescent="0.3">
      <c r="B395" s="444" t="s">
        <v>4014</v>
      </c>
      <c r="C395" s="460" t="s">
        <v>2934</v>
      </c>
      <c r="D395" s="454" t="s">
        <v>299</v>
      </c>
      <c r="E395" s="72"/>
      <c r="F395" s="75"/>
      <c r="G395" s="50"/>
    </row>
    <row r="396" spans="2:7" s="82" customFormat="1" ht="15" customHeight="1" outlineLevel="2" x14ac:dyDescent="0.3">
      <c r="B396" s="444" t="s">
        <v>4015</v>
      </c>
      <c r="C396" s="460" t="s">
        <v>1845</v>
      </c>
      <c r="D396" s="454" t="s">
        <v>299</v>
      </c>
      <c r="E396" s="72"/>
      <c r="F396" s="75"/>
    </row>
    <row r="397" spans="2:7" s="82" customFormat="1" ht="15" customHeight="1" outlineLevel="2" x14ac:dyDescent="0.3">
      <c r="B397" s="444" t="s">
        <v>4016</v>
      </c>
      <c r="C397" s="460" t="s">
        <v>1846</v>
      </c>
      <c r="D397" s="454" t="s">
        <v>299</v>
      </c>
      <c r="E397" s="72"/>
      <c r="F397" s="75"/>
    </row>
    <row r="398" spans="2:7" s="82" customFormat="1" ht="15" customHeight="1" outlineLevel="2" x14ac:dyDescent="0.3">
      <c r="B398" s="444" t="s">
        <v>4017</v>
      </c>
      <c r="C398" s="460" t="s">
        <v>1847</v>
      </c>
      <c r="D398" s="454" t="s">
        <v>299</v>
      </c>
      <c r="E398" s="72"/>
      <c r="F398" s="75"/>
    </row>
    <row r="399" spans="2:7" s="82" customFormat="1" ht="15" customHeight="1" outlineLevel="2" x14ac:dyDescent="0.3">
      <c r="B399" s="444" t="s">
        <v>4018</v>
      </c>
      <c r="C399" s="460" t="s">
        <v>1848</v>
      </c>
      <c r="D399" s="454" t="s">
        <v>299</v>
      </c>
      <c r="E399" s="72"/>
      <c r="F399" s="75"/>
    </row>
    <row r="400" spans="2:7" s="82" customFormat="1" ht="15" customHeight="1" outlineLevel="2" x14ac:dyDescent="0.3">
      <c r="B400" s="444" t="s">
        <v>4019</v>
      </c>
      <c r="C400" s="460" t="s">
        <v>1849</v>
      </c>
      <c r="D400" s="454" t="s">
        <v>299</v>
      </c>
      <c r="E400" s="72"/>
      <c r="F400" s="75"/>
    </row>
    <row r="401" spans="2:6" s="82" customFormat="1" ht="15" customHeight="1" outlineLevel="2" x14ac:dyDescent="0.3">
      <c r="B401" s="444" t="s">
        <v>4020</v>
      </c>
      <c r="C401" s="460" t="s">
        <v>1850</v>
      </c>
      <c r="D401" s="454" t="s">
        <v>299</v>
      </c>
      <c r="E401" s="72"/>
      <c r="F401" s="75"/>
    </row>
    <row r="402" spans="2:6" s="82" customFormat="1" ht="15" customHeight="1" outlineLevel="2" x14ac:dyDescent="0.3">
      <c r="B402" s="444" t="s">
        <v>4021</v>
      </c>
      <c r="C402" s="460" t="s">
        <v>1851</v>
      </c>
      <c r="D402" s="454" t="s">
        <v>299</v>
      </c>
      <c r="E402" s="72"/>
      <c r="F402" s="75"/>
    </row>
    <row r="403" spans="2:6" s="82" customFormat="1" ht="15" customHeight="1" outlineLevel="2" x14ac:dyDescent="0.3">
      <c r="B403" s="444" t="s">
        <v>4022</v>
      </c>
      <c r="C403" s="460" t="s">
        <v>1852</v>
      </c>
      <c r="D403" s="454" t="s">
        <v>299</v>
      </c>
      <c r="E403" s="72"/>
      <c r="F403" s="75"/>
    </row>
    <row r="404" spans="2:6" s="82" customFormat="1" ht="15" customHeight="1" outlineLevel="2" x14ac:dyDescent="0.3">
      <c r="B404" s="444" t="s">
        <v>4023</v>
      </c>
      <c r="C404" s="460" t="s">
        <v>1853</v>
      </c>
      <c r="D404" s="454" t="s">
        <v>299</v>
      </c>
      <c r="E404" s="72"/>
      <c r="F404" s="75"/>
    </row>
    <row r="405" spans="2:6" s="82" customFormat="1" ht="15" customHeight="1" outlineLevel="2" x14ac:dyDescent="0.3">
      <c r="B405" s="444" t="s">
        <v>4024</v>
      </c>
      <c r="C405" s="460" t="s">
        <v>1854</v>
      </c>
      <c r="D405" s="454" t="s">
        <v>299</v>
      </c>
      <c r="E405" s="72"/>
      <c r="F405" s="75"/>
    </row>
    <row r="406" spans="2:6" s="82" customFormat="1" ht="15" customHeight="1" outlineLevel="2" x14ac:dyDescent="0.3">
      <c r="B406" s="444" t="s">
        <v>4025</v>
      </c>
      <c r="C406" s="460" t="s">
        <v>1855</v>
      </c>
      <c r="D406" s="454" t="s">
        <v>299</v>
      </c>
      <c r="E406" s="72"/>
      <c r="F406" s="75"/>
    </row>
    <row r="407" spans="2:6" s="82" customFormat="1" ht="15" customHeight="1" outlineLevel="2" x14ac:dyDescent="0.3">
      <c r="B407" s="444" t="s">
        <v>4026</v>
      </c>
      <c r="C407" s="460" t="s">
        <v>1856</v>
      </c>
      <c r="D407" s="454" t="s">
        <v>299</v>
      </c>
      <c r="E407" s="72"/>
      <c r="F407" s="75"/>
    </row>
    <row r="408" spans="2:6" s="82" customFormat="1" ht="15" customHeight="1" outlineLevel="2" x14ac:dyDescent="0.3">
      <c r="B408" s="444" t="s">
        <v>4027</v>
      </c>
      <c r="C408" s="460" t="s">
        <v>1857</v>
      </c>
      <c r="D408" s="454" t="s">
        <v>299</v>
      </c>
      <c r="E408" s="72"/>
      <c r="F408" s="75"/>
    </row>
    <row r="409" spans="2:6" s="82" customFormat="1" ht="15" customHeight="1" outlineLevel="2" x14ac:dyDescent="0.3">
      <c r="B409" s="444" t="s">
        <v>4028</v>
      </c>
      <c r="C409" s="460" t="s">
        <v>1858</v>
      </c>
      <c r="D409" s="454" t="s">
        <v>299</v>
      </c>
      <c r="E409" s="72"/>
      <c r="F409" s="75"/>
    </row>
    <row r="410" spans="2:6" s="82" customFormat="1" ht="15" customHeight="1" outlineLevel="2" x14ac:dyDescent="0.3">
      <c r="B410" s="444" t="s">
        <v>4029</v>
      </c>
      <c r="C410" s="460" t="s">
        <v>1859</v>
      </c>
      <c r="D410" s="454" t="s">
        <v>299</v>
      </c>
      <c r="E410" s="72"/>
      <c r="F410" s="75"/>
    </row>
    <row r="411" spans="2:6" s="82" customFormat="1" ht="15" customHeight="1" outlineLevel="2" x14ac:dyDescent="0.3">
      <c r="B411" s="444" t="s">
        <v>4030</v>
      </c>
      <c r="C411" s="460" t="s">
        <v>1860</v>
      </c>
      <c r="D411" s="454" t="s">
        <v>299</v>
      </c>
      <c r="E411" s="72"/>
      <c r="F411" s="75"/>
    </row>
    <row r="412" spans="2:6" s="82" customFormat="1" ht="15" customHeight="1" outlineLevel="2" x14ac:dyDescent="0.3">
      <c r="B412" s="444" t="s">
        <v>4031</v>
      </c>
      <c r="C412" s="460" t="s">
        <v>1861</v>
      </c>
      <c r="D412" s="454" t="s">
        <v>299</v>
      </c>
      <c r="E412" s="72"/>
      <c r="F412" s="75"/>
    </row>
    <row r="413" spans="2:6" s="82" customFormat="1" ht="15" customHeight="1" outlineLevel="2" x14ac:dyDescent="0.3">
      <c r="B413" s="444" t="s">
        <v>4032</v>
      </c>
      <c r="C413" s="460" t="s">
        <v>1862</v>
      </c>
      <c r="D413" s="454" t="s">
        <v>299</v>
      </c>
      <c r="E413" s="72"/>
      <c r="F413" s="75"/>
    </row>
    <row r="414" spans="2:6" s="82" customFormat="1" ht="15" customHeight="1" outlineLevel="2" x14ac:dyDescent="0.3">
      <c r="B414" s="444" t="s">
        <v>4033</v>
      </c>
      <c r="C414" s="460" t="s">
        <v>1863</v>
      </c>
      <c r="D414" s="454" t="s">
        <v>299</v>
      </c>
      <c r="E414" s="72"/>
      <c r="F414" s="75"/>
    </row>
    <row r="415" spans="2:6" s="10" customFormat="1" ht="15" customHeight="1" outlineLevel="1" x14ac:dyDescent="0.3">
      <c r="B415" s="444" t="s">
        <v>4034</v>
      </c>
      <c r="C415" s="459">
        <v>7.4</v>
      </c>
      <c r="D415" s="453" t="s">
        <v>4661</v>
      </c>
      <c r="E415" s="71">
        <f>SUM(E416:E435)</f>
        <v>0</v>
      </c>
      <c r="F415" s="74">
        <f>SUM(F416:F435)</f>
        <v>0</v>
      </c>
    </row>
    <row r="416" spans="2:6" s="82" customFormat="1" ht="15" customHeight="1" outlineLevel="2" x14ac:dyDescent="0.3">
      <c r="B416" s="444" t="s">
        <v>4035</v>
      </c>
      <c r="C416" s="460" t="s">
        <v>1844</v>
      </c>
      <c r="D416" s="454" t="s">
        <v>299</v>
      </c>
      <c r="E416" s="85"/>
      <c r="F416" s="86"/>
    </row>
    <row r="417" spans="2:6" s="82" customFormat="1" ht="15" customHeight="1" outlineLevel="2" x14ac:dyDescent="0.3">
      <c r="B417" s="444" t="s">
        <v>4036</v>
      </c>
      <c r="C417" s="460" t="s">
        <v>1864</v>
      </c>
      <c r="D417" s="454" t="s">
        <v>299</v>
      </c>
      <c r="E417" s="85"/>
      <c r="F417" s="86"/>
    </row>
    <row r="418" spans="2:6" s="82" customFormat="1" ht="15" customHeight="1" outlineLevel="2" x14ac:dyDescent="0.3">
      <c r="B418" s="444" t="s">
        <v>4037</v>
      </c>
      <c r="C418" s="460" t="s">
        <v>1865</v>
      </c>
      <c r="D418" s="454" t="s">
        <v>299</v>
      </c>
      <c r="E418" s="85"/>
      <c r="F418" s="86"/>
    </row>
    <row r="419" spans="2:6" s="82" customFormat="1" ht="15" customHeight="1" outlineLevel="2" x14ac:dyDescent="0.3">
      <c r="B419" s="444" t="s">
        <v>4038</v>
      </c>
      <c r="C419" s="460" t="s">
        <v>1866</v>
      </c>
      <c r="D419" s="454" t="s">
        <v>299</v>
      </c>
      <c r="E419" s="85"/>
      <c r="F419" s="86"/>
    </row>
    <row r="420" spans="2:6" s="82" customFormat="1" ht="15" customHeight="1" outlineLevel="2" x14ac:dyDescent="0.3">
      <c r="B420" s="444" t="s">
        <v>4039</v>
      </c>
      <c r="C420" s="460" t="s">
        <v>1867</v>
      </c>
      <c r="D420" s="454" t="s">
        <v>299</v>
      </c>
      <c r="E420" s="85"/>
      <c r="F420" s="86"/>
    </row>
    <row r="421" spans="2:6" s="82" customFormat="1" ht="15" customHeight="1" outlineLevel="2" x14ac:dyDescent="0.3">
      <c r="B421" s="444" t="s">
        <v>4040</v>
      </c>
      <c r="C421" s="460" t="s">
        <v>1868</v>
      </c>
      <c r="D421" s="454" t="s">
        <v>299</v>
      </c>
      <c r="E421" s="85"/>
      <c r="F421" s="86"/>
    </row>
    <row r="422" spans="2:6" s="82" customFormat="1" ht="15" customHeight="1" outlineLevel="2" x14ac:dyDescent="0.3">
      <c r="B422" s="444" t="s">
        <v>4041</v>
      </c>
      <c r="C422" s="460" t="s">
        <v>1869</v>
      </c>
      <c r="D422" s="454" t="s">
        <v>299</v>
      </c>
      <c r="E422" s="85"/>
      <c r="F422" s="86"/>
    </row>
    <row r="423" spans="2:6" s="82" customFormat="1" ht="15" customHeight="1" outlineLevel="2" x14ac:dyDescent="0.3">
      <c r="B423" s="444" t="s">
        <v>4042</v>
      </c>
      <c r="C423" s="460" t="s">
        <v>1870</v>
      </c>
      <c r="D423" s="454" t="s">
        <v>299</v>
      </c>
      <c r="E423" s="85"/>
      <c r="F423" s="86"/>
    </row>
    <row r="424" spans="2:6" s="82" customFormat="1" ht="15" customHeight="1" outlineLevel="2" x14ac:dyDescent="0.3">
      <c r="B424" s="444" t="s">
        <v>4043</v>
      </c>
      <c r="C424" s="460" t="s">
        <v>1871</v>
      </c>
      <c r="D424" s="454" t="s">
        <v>299</v>
      </c>
      <c r="E424" s="85"/>
      <c r="F424" s="86"/>
    </row>
    <row r="425" spans="2:6" s="82" customFormat="1" ht="15" customHeight="1" outlineLevel="2" x14ac:dyDescent="0.3">
      <c r="B425" s="444" t="s">
        <v>4044</v>
      </c>
      <c r="C425" s="460" t="s">
        <v>1872</v>
      </c>
      <c r="D425" s="454" t="s">
        <v>299</v>
      </c>
      <c r="E425" s="85"/>
      <c r="F425" s="86"/>
    </row>
    <row r="426" spans="2:6" s="82" customFormat="1" ht="15" customHeight="1" outlineLevel="2" x14ac:dyDescent="0.3">
      <c r="B426" s="444" t="s">
        <v>4045</v>
      </c>
      <c r="C426" s="460" t="s">
        <v>1873</v>
      </c>
      <c r="D426" s="454" t="s">
        <v>299</v>
      </c>
      <c r="E426" s="85"/>
      <c r="F426" s="86"/>
    </row>
    <row r="427" spans="2:6" s="82" customFormat="1" ht="15" customHeight="1" outlineLevel="2" x14ac:dyDescent="0.3">
      <c r="B427" s="444" t="s">
        <v>4046</v>
      </c>
      <c r="C427" s="460" t="s">
        <v>1874</v>
      </c>
      <c r="D427" s="454" t="s">
        <v>299</v>
      </c>
      <c r="E427" s="85"/>
      <c r="F427" s="86"/>
    </row>
    <row r="428" spans="2:6" s="82" customFormat="1" ht="15" customHeight="1" outlineLevel="2" x14ac:dyDescent="0.3">
      <c r="B428" s="444" t="s">
        <v>4047</v>
      </c>
      <c r="C428" s="460" t="s">
        <v>1875</v>
      </c>
      <c r="D428" s="454" t="s">
        <v>299</v>
      </c>
      <c r="E428" s="85"/>
      <c r="F428" s="86"/>
    </row>
    <row r="429" spans="2:6" s="82" customFormat="1" ht="15" customHeight="1" outlineLevel="2" x14ac:dyDescent="0.3">
      <c r="B429" s="444" t="s">
        <v>4048</v>
      </c>
      <c r="C429" s="460" t="s">
        <v>1876</v>
      </c>
      <c r="D429" s="454" t="s">
        <v>299</v>
      </c>
      <c r="E429" s="85"/>
      <c r="F429" s="86"/>
    </row>
    <row r="430" spans="2:6" s="82" customFormat="1" ht="15" customHeight="1" outlineLevel="2" x14ac:dyDescent="0.3">
      <c r="B430" s="444" t="s">
        <v>4049</v>
      </c>
      <c r="C430" s="460" t="s">
        <v>1877</v>
      </c>
      <c r="D430" s="454" t="s">
        <v>299</v>
      </c>
      <c r="E430" s="85"/>
      <c r="F430" s="86"/>
    </row>
    <row r="431" spans="2:6" s="82" customFormat="1" ht="15" customHeight="1" outlineLevel="2" x14ac:dyDescent="0.3">
      <c r="B431" s="444" t="s">
        <v>4050</v>
      </c>
      <c r="C431" s="460" t="s">
        <v>1878</v>
      </c>
      <c r="D431" s="454" t="s">
        <v>299</v>
      </c>
      <c r="E431" s="85"/>
      <c r="F431" s="86"/>
    </row>
    <row r="432" spans="2:6" s="82" customFormat="1" ht="15" customHeight="1" outlineLevel="2" x14ac:dyDescent="0.3">
      <c r="B432" s="444" t="s">
        <v>4051</v>
      </c>
      <c r="C432" s="460" t="s">
        <v>1879</v>
      </c>
      <c r="D432" s="454" t="s">
        <v>299</v>
      </c>
      <c r="E432" s="85"/>
      <c r="F432" s="86"/>
    </row>
    <row r="433" spans="2:6" s="82" customFormat="1" ht="15" customHeight="1" outlineLevel="2" x14ac:dyDescent="0.3">
      <c r="B433" s="444" t="s">
        <v>4052</v>
      </c>
      <c r="C433" s="460" t="s">
        <v>1880</v>
      </c>
      <c r="D433" s="454" t="s">
        <v>299</v>
      </c>
      <c r="E433" s="85"/>
      <c r="F433" s="86"/>
    </row>
    <row r="434" spans="2:6" s="82" customFormat="1" ht="15" customHeight="1" outlineLevel="2" x14ac:dyDescent="0.3">
      <c r="B434" s="444" t="s">
        <v>4053</v>
      </c>
      <c r="C434" s="460" t="s">
        <v>1881</v>
      </c>
      <c r="D434" s="454" t="s">
        <v>299</v>
      </c>
      <c r="E434" s="85"/>
      <c r="F434" s="86"/>
    </row>
    <row r="435" spans="2:6" s="82" customFormat="1" ht="15" customHeight="1" outlineLevel="2" x14ac:dyDescent="0.3">
      <c r="B435" s="444" t="s">
        <v>4054</v>
      </c>
      <c r="C435" s="460" t="s">
        <v>1882</v>
      </c>
      <c r="D435" s="454" t="s">
        <v>299</v>
      </c>
      <c r="E435" s="85"/>
      <c r="F435" s="86"/>
    </row>
    <row r="436" spans="2:6" s="81" customFormat="1" ht="15" customHeight="1" x14ac:dyDescent="0.3">
      <c r="B436" s="444" t="s">
        <v>4055</v>
      </c>
      <c r="C436" s="461">
        <v>8</v>
      </c>
      <c r="D436" s="455" t="s">
        <v>290</v>
      </c>
      <c r="E436" s="70">
        <f>E437+E458+E479+E500</f>
        <v>0</v>
      </c>
      <c r="F436" s="73">
        <f>F437+F458+F479+F500</f>
        <v>0</v>
      </c>
    </row>
    <row r="437" spans="2:6" s="10" customFormat="1" ht="15" customHeight="1" outlineLevel="1" x14ac:dyDescent="0.3">
      <c r="B437" s="444" t="s">
        <v>4056</v>
      </c>
      <c r="C437" s="459">
        <v>8.1</v>
      </c>
      <c r="D437" s="453" t="s">
        <v>303</v>
      </c>
      <c r="E437" s="71">
        <f>SUM(E438:E457)</f>
        <v>0</v>
      </c>
      <c r="F437" s="74">
        <f>SUM(F438:F457)</f>
        <v>0</v>
      </c>
    </row>
    <row r="438" spans="2:6" s="82" customFormat="1" ht="15" customHeight="1" outlineLevel="2" x14ac:dyDescent="0.3">
      <c r="B438" s="444" t="s">
        <v>4057</v>
      </c>
      <c r="C438" s="460" t="s">
        <v>1883</v>
      </c>
      <c r="D438" s="454" t="s">
        <v>299</v>
      </c>
      <c r="E438" s="72"/>
      <c r="F438" s="75"/>
    </row>
    <row r="439" spans="2:6" s="82" customFormat="1" ht="15" customHeight="1" outlineLevel="2" x14ac:dyDescent="0.3">
      <c r="B439" s="444" t="s">
        <v>4058</v>
      </c>
      <c r="C439" s="460" t="s">
        <v>1884</v>
      </c>
      <c r="D439" s="454" t="s">
        <v>299</v>
      </c>
      <c r="E439" s="72"/>
      <c r="F439" s="75"/>
    </row>
    <row r="440" spans="2:6" s="82" customFormat="1" ht="15" customHeight="1" outlineLevel="2" x14ac:dyDescent="0.3">
      <c r="B440" s="444" t="s">
        <v>4059</v>
      </c>
      <c r="C440" s="460" t="s">
        <v>1885</v>
      </c>
      <c r="D440" s="454" t="s">
        <v>299</v>
      </c>
      <c r="E440" s="72"/>
      <c r="F440" s="75"/>
    </row>
    <row r="441" spans="2:6" s="82" customFormat="1" ht="15" customHeight="1" outlineLevel="2" x14ac:dyDescent="0.3">
      <c r="B441" s="444" t="s">
        <v>4060</v>
      </c>
      <c r="C441" s="460" t="s">
        <v>1886</v>
      </c>
      <c r="D441" s="454" t="s">
        <v>299</v>
      </c>
      <c r="E441" s="72"/>
      <c r="F441" s="75"/>
    </row>
    <row r="442" spans="2:6" s="82" customFormat="1" ht="15" customHeight="1" outlineLevel="2" x14ac:dyDescent="0.3">
      <c r="B442" s="444" t="s">
        <v>4061</v>
      </c>
      <c r="C442" s="460" t="s">
        <v>1887</v>
      </c>
      <c r="D442" s="454" t="s">
        <v>299</v>
      </c>
      <c r="E442" s="72"/>
      <c r="F442" s="75"/>
    </row>
    <row r="443" spans="2:6" s="82" customFormat="1" ht="15" customHeight="1" outlineLevel="2" x14ac:dyDescent="0.3">
      <c r="B443" s="444" t="s">
        <v>4062</v>
      </c>
      <c r="C443" s="460" t="s">
        <v>1888</v>
      </c>
      <c r="D443" s="454" t="s">
        <v>299</v>
      </c>
      <c r="E443" s="72"/>
      <c r="F443" s="75"/>
    </row>
    <row r="444" spans="2:6" s="82" customFormat="1" ht="15" customHeight="1" outlineLevel="2" x14ac:dyDescent="0.3">
      <c r="B444" s="444" t="s">
        <v>4063</v>
      </c>
      <c r="C444" s="460" t="s">
        <v>1889</v>
      </c>
      <c r="D444" s="454" t="s">
        <v>299</v>
      </c>
      <c r="E444" s="72"/>
      <c r="F444" s="75"/>
    </row>
    <row r="445" spans="2:6" s="82" customFormat="1" ht="15" customHeight="1" outlineLevel="2" x14ac:dyDescent="0.3">
      <c r="B445" s="444" t="s">
        <v>4064</v>
      </c>
      <c r="C445" s="460" t="s">
        <v>1890</v>
      </c>
      <c r="D445" s="454" t="s">
        <v>299</v>
      </c>
      <c r="E445" s="72"/>
      <c r="F445" s="75"/>
    </row>
    <row r="446" spans="2:6" s="82" customFormat="1" ht="15" customHeight="1" outlineLevel="2" x14ac:dyDescent="0.3">
      <c r="B446" s="444" t="s">
        <v>4065</v>
      </c>
      <c r="C446" s="460" t="s">
        <v>1891</v>
      </c>
      <c r="D446" s="454" t="s">
        <v>299</v>
      </c>
      <c r="E446" s="72"/>
      <c r="F446" s="75"/>
    </row>
    <row r="447" spans="2:6" s="82" customFormat="1" ht="15" customHeight="1" outlineLevel="2" x14ac:dyDescent="0.3">
      <c r="B447" s="444" t="s">
        <v>4066</v>
      </c>
      <c r="C447" s="460" t="s">
        <v>1892</v>
      </c>
      <c r="D447" s="454" t="s">
        <v>299</v>
      </c>
      <c r="E447" s="72"/>
      <c r="F447" s="75"/>
    </row>
    <row r="448" spans="2:6" s="82" customFormat="1" ht="15" customHeight="1" outlineLevel="2" x14ac:dyDescent="0.3">
      <c r="B448" s="444" t="s">
        <v>4067</v>
      </c>
      <c r="C448" s="460" t="s">
        <v>1893</v>
      </c>
      <c r="D448" s="454" t="s">
        <v>299</v>
      </c>
      <c r="E448" s="72"/>
      <c r="F448" s="75"/>
    </row>
    <row r="449" spans="2:6" s="82" customFormat="1" ht="15" customHeight="1" outlineLevel="2" x14ac:dyDescent="0.3">
      <c r="B449" s="444" t="s">
        <v>4068</v>
      </c>
      <c r="C449" s="460" t="s">
        <v>1894</v>
      </c>
      <c r="D449" s="454" t="s">
        <v>299</v>
      </c>
      <c r="E449" s="72"/>
      <c r="F449" s="75"/>
    </row>
    <row r="450" spans="2:6" s="82" customFormat="1" ht="15" customHeight="1" outlineLevel="2" x14ac:dyDescent="0.3">
      <c r="B450" s="444" t="s">
        <v>4069</v>
      </c>
      <c r="C450" s="460" t="s">
        <v>1895</v>
      </c>
      <c r="D450" s="454" t="s">
        <v>299</v>
      </c>
      <c r="E450" s="72"/>
      <c r="F450" s="75"/>
    </row>
    <row r="451" spans="2:6" s="82" customFormat="1" ht="15" customHeight="1" outlineLevel="2" x14ac:dyDescent="0.3">
      <c r="B451" s="444" t="s">
        <v>4070</v>
      </c>
      <c r="C451" s="460" t="s">
        <v>1896</v>
      </c>
      <c r="D451" s="454" t="s">
        <v>299</v>
      </c>
      <c r="E451" s="72"/>
      <c r="F451" s="75"/>
    </row>
    <row r="452" spans="2:6" s="82" customFormat="1" ht="15" customHeight="1" outlineLevel="2" x14ac:dyDescent="0.3">
      <c r="B452" s="444" t="s">
        <v>4071</v>
      </c>
      <c r="C452" s="460" t="s">
        <v>1897</v>
      </c>
      <c r="D452" s="454" t="s">
        <v>299</v>
      </c>
      <c r="E452" s="72"/>
      <c r="F452" s="75"/>
    </row>
    <row r="453" spans="2:6" s="82" customFormat="1" ht="15" customHeight="1" outlineLevel="2" x14ac:dyDescent="0.3">
      <c r="B453" s="444" t="s">
        <v>4072</v>
      </c>
      <c r="C453" s="460" t="s">
        <v>1898</v>
      </c>
      <c r="D453" s="454" t="s">
        <v>299</v>
      </c>
      <c r="E453" s="72"/>
      <c r="F453" s="75"/>
    </row>
    <row r="454" spans="2:6" s="82" customFormat="1" ht="15" customHeight="1" outlineLevel="2" x14ac:dyDescent="0.3">
      <c r="B454" s="444" t="s">
        <v>4073</v>
      </c>
      <c r="C454" s="460" t="s">
        <v>1899</v>
      </c>
      <c r="D454" s="454" t="s">
        <v>299</v>
      </c>
      <c r="E454" s="72"/>
      <c r="F454" s="75"/>
    </row>
    <row r="455" spans="2:6" s="82" customFormat="1" ht="15" customHeight="1" outlineLevel="2" x14ac:dyDescent="0.3">
      <c r="B455" s="444" t="s">
        <v>4074</v>
      </c>
      <c r="C455" s="460" t="s">
        <v>1900</v>
      </c>
      <c r="D455" s="454" t="s">
        <v>299</v>
      </c>
      <c r="E455" s="72"/>
      <c r="F455" s="75"/>
    </row>
    <row r="456" spans="2:6" s="82" customFormat="1" ht="15" customHeight="1" outlineLevel="2" x14ac:dyDescent="0.3">
      <c r="B456" s="444" t="s">
        <v>4075</v>
      </c>
      <c r="C456" s="460" t="s">
        <v>1901</v>
      </c>
      <c r="D456" s="454" t="s">
        <v>299</v>
      </c>
      <c r="E456" s="72"/>
      <c r="F456" s="75"/>
    </row>
    <row r="457" spans="2:6" s="82" customFormat="1" ht="15" customHeight="1" outlineLevel="2" x14ac:dyDescent="0.3">
      <c r="B457" s="444" t="s">
        <v>4076</v>
      </c>
      <c r="C457" s="460" t="s">
        <v>1902</v>
      </c>
      <c r="D457" s="454" t="s">
        <v>299</v>
      </c>
      <c r="E457" s="72"/>
      <c r="F457" s="75"/>
    </row>
    <row r="458" spans="2:6" s="10" customFormat="1" ht="15" customHeight="1" outlineLevel="1" x14ac:dyDescent="0.3">
      <c r="B458" s="444" t="s">
        <v>4077</v>
      </c>
      <c r="C458" s="459">
        <v>8.1999999999999993</v>
      </c>
      <c r="D458" s="453" t="s">
        <v>4660</v>
      </c>
      <c r="E458" s="71">
        <f>SUM(E459:E478)</f>
        <v>0</v>
      </c>
      <c r="F458" s="74">
        <f>SUM(F459:F478)</f>
        <v>0</v>
      </c>
    </row>
    <row r="459" spans="2:6" s="82" customFormat="1" ht="15" customHeight="1" outlineLevel="2" x14ac:dyDescent="0.3">
      <c r="B459" s="444" t="s">
        <v>4078</v>
      </c>
      <c r="C459" s="460" t="s">
        <v>711</v>
      </c>
      <c r="D459" s="454" t="s">
        <v>299</v>
      </c>
      <c r="E459" s="85"/>
      <c r="F459" s="86"/>
    </row>
    <row r="460" spans="2:6" s="82" customFormat="1" ht="15" customHeight="1" outlineLevel="2" x14ac:dyDescent="0.3">
      <c r="B460" s="444" t="s">
        <v>4079</v>
      </c>
      <c r="C460" s="460" t="s">
        <v>732</v>
      </c>
      <c r="D460" s="454" t="s">
        <v>299</v>
      </c>
      <c r="E460" s="85"/>
      <c r="F460" s="86"/>
    </row>
    <row r="461" spans="2:6" s="82" customFormat="1" ht="15" customHeight="1" outlineLevel="2" x14ac:dyDescent="0.3">
      <c r="B461" s="444" t="s">
        <v>4080</v>
      </c>
      <c r="C461" s="460" t="s">
        <v>753</v>
      </c>
      <c r="D461" s="454" t="s">
        <v>299</v>
      </c>
      <c r="E461" s="85"/>
      <c r="F461" s="86"/>
    </row>
    <row r="462" spans="2:6" s="82" customFormat="1" ht="15" customHeight="1" outlineLevel="2" x14ac:dyDescent="0.3">
      <c r="B462" s="444" t="s">
        <v>4081</v>
      </c>
      <c r="C462" s="460" t="s">
        <v>774</v>
      </c>
      <c r="D462" s="454" t="s">
        <v>299</v>
      </c>
      <c r="E462" s="85"/>
      <c r="F462" s="86"/>
    </row>
    <row r="463" spans="2:6" s="82" customFormat="1" ht="15" customHeight="1" outlineLevel="2" x14ac:dyDescent="0.3">
      <c r="B463" s="444" t="s">
        <v>4082</v>
      </c>
      <c r="C463" s="460" t="s">
        <v>1903</v>
      </c>
      <c r="D463" s="454" t="s">
        <v>299</v>
      </c>
      <c r="E463" s="85"/>
      <c r="F463" s="86"/>
    </row>
    <row r="464" spans="2:6" s="82" customFormat="1" ht="15" customHeight="1" outlineLevel="2" x14ac:dyDescent="0.3">
      <c r="B464" s="444" t="s">
        <v>4083</v>
      </c>
      <c r="C464" s="460" t="s">
        <v>1904</v>
      </c>
      <c r="D464" s="454" t="s">
        <v>299</v>
      </c>
      <c r="E464" s="85"/>
      <c r="F464" s="86"/>
    </row>
    <row r="465" spans="2:6" s="82" customFormat="1" ht="15" customHeight="1" outlineLevel="2" x14ac:dyDescent="0.3">
      <c r="B465" s="444" t="s">
        <v>4084</v>
      </c>
      <c r="C465" s="460" t="s">
        <v>1905</v>
      </c>
      <c r="D465" s="454" t="s">
        <v>299</v>
      </c>
      <c r="E465" s="85"/>
      <c r="F465" s="86"/>
    </row>
    <row r="466" spans="2:6" s="82" customFormat="1" ht="15" customHeight="1" outlineLevel="2" x14ac:dyDescent="0.3">
      <c r="B466" s="444" t="s">
        <v>4085</v>
      </c>
      <c r="C466" s="460" t="s">
        <v>1906</v>
      </c>
      <c r="D466" s="454" t="s">
        <v>299</v>
      </c>
      <c r="E466" s="85"/>
      <c r="F466" s="86"/>
    </row>
    <row r="467" spans="2:6" s="82" customFormat="1" ht="15" customHeight="1" outlineLevel="2" x14ac:dyDescent="0.3">
      <c r="B467" s="444" t="s">
        <v>4086</v>
      </c>
      <c r="C467" s="460" t="s">
        <v>1907</v>
      </c>
      <c r="D467" s="454" t="s">
        <v>299</v>
      </c>
      <c r="E467" s="85"/>
      <c r="F467" s="86"/>
    </row>
    <row r="468" spans="2:6" s="82" customFormat="1" ht="15" customHeight="1" outlineLevel="2" x14ac:dyDescent="0.3">
      <c r="B468" s="444" t="s">
        <v>4087</v>
      </c>
      <c r="C468" s="460" t="s">
        <v>1908</v>
      </c>
      <c r="D468" s="454" t="s">
        <v>299</v>
      </c>
      <c r="E468" s="85"/>
      <c r="F468" s="86"/>
    </row>
    <row r="469" spans="2:6" s="82" customFormat="1" ht="15" customHeight="1" outlineLevel="2" x14ac:dyDescent="0.3">
      <c r="B469" s="444" t="s">
        <v>4088</v>
      </c>
      <c r="C469" s="460" t="s">
        <v>1909</v>
      </c>
      <c r="D469" s="454" t="s">
        <v>299</v>
      </c>
      <c r="E469" s="85"/>
      <c r="F469" s="86"/>
    </row>
    <row r="470" spans="2:6" s="82" customFormat="1" ht="15" customHeight="1" outlineLevel="2" x14ac:dyDescent="0.3">
      <c r="B470" s="444" t="s">
        <v>4089</v>
      </c>
      <c r="C470" s="460" t="s">
        <v>1910</v>
      </c>
      <c r="D470" s="454" t="s">
        <v>299</v>
      </c>
      <c r="E470" s="85"/>
      <c r="F470" s="86"/>
    </row>
    <row r="471" spans="2:6" s="82" customFormat="1" ht="15" customHeight="1" outlineLevel="2" x14ac:dyDescent="0.3">
      <c r="B471" s="444" t="s">
        <v>4090</v>
      </c>
      <c r="C471" s="460" t="s">
        <v>1911</v>
      </c>
      <c r="D471" s="454" t="s">
        <v>299</v>
      </c>
      <c r="E471" s="85"/>
      <c r="F471" s="86"/>
    </row>
    <row r="472" spans="2:6" s="82" customFormat="1" ht="15" customHeight="1" outlineLevel="2" x14ac:dyDescent="0.3">
      <c r="B472" s="444" t="s">
        <v>4091</v>
      </c>
      <c r="C472" s="460" t="s">
        <v>1912</v>
      </c>
      <c r="D472" s="454" t="s">
        <v>299</v>
      </c>
      <c r="E472" s="85"/>
      <c r="F472" s="86"/>
    </row>
    <row r="473" spans="2:6" s="82" customFormat="1" ht="15" customHeight="1" outlineLevel="2" x14ac:dyDescent="0.3">
      <c r="B473" s="444" t="s">
        <v>4092</v>
      </c>
      <c r="C473" s="460" t="s">
        <v>1913</v>
      </c>
      <c r="D473" s="454" t="s">
        <v>299</v>
      </c>
      <c r="E473" s="85"/>
      <c r="F473" s="86"/>
    </row>
    <row r="474" spans="2:6" s="82" customFormat="1" ht="15" customHeight="1" outlineLevel="2" x14ac:dyDescent="0.3">
      <c r="B474" s="444" t="s">
        <v>4093</v>
      </c>
      <c r="C474" s="460" t="s">
        <v>1914</v>
      </c>
      <c r="D474" s="454" t="s">
        <v>299</v>
      </c>
      <c r="E474" s="85"/>
      <c r="F474" s="86"/>
    </row>
    <row r="475" spans="2:6" s="82" customFormat="1" ht="15" customHeight="1" outlineLevel="2" x14ac:dyDescent="0.3">
      <c r="B475" s="444" t="s">
        <v>4094</v>
      </c>
      <c r="C475" s="460" t="s">
        <v>1915</v>
      </c>
      <c r="D475" s="454" t="s">
        <v>299</v>
      </c>
      <c r="E475" s="85"/>
      <c r="F475" s="86"/>
    </row>
    <row r="476" spans="2:6" s="82" customFormat="1" ht="15" customHeight="1" outlineLevel="2" x14ac:dyDescent="0.3">
      <c r="B476" s="444" t="s">
        <v>4095</v>
      </c>
      <c r="C476" s="460" t="s">
        <v>1916</v>
      </c>
      <c r="D476" s="454" t="s">
        <v>299</v>
      </c>
      <c r="E476" s="85"/>
      <c r="F476" s="86"/>
    </row>
    <row r="477" spans="2:6" s="82" customFormat="1" ht="15" customHeight="1" outlineLevel="2" x14ac:dyDescent="0.3">
      <c r="B477" s="444" t="s">
        <v>4096</v>
      </c>
      <c r="C477" s="460" t="s">
        <v>1917</v>
      </c>
      <c r="D477" s="454" t="s">
        <v>299</v>
      </c>
      <c r="E477" s="85"/>
      <c r="F477" s="86"/>
    </row>
    <row r="478" spans="2:6" s="82" customFormat="1" ht="15" customHeight="1" outlineLevel="2" x14ac:dyDescent="0.3">
      <c r="B478" s="444" t="s">
        <v>4097</v>
      </c>
      <c r="C478" s="460" t="s">
        <v>1918</v>
      </c>
      <c r="D478" s="454" t="s">
        <v>299</v>
      </c>
      <c r="E478" s="85"/>
      <c r="F478" s="86"/>
    </row>
    <row r="479" spans="2:6" s="10" customFormat="1" ht="15" customHeight="1" outlineLevel="1" x14ac:dyDescent="0.3">
      <c r="B479" s="444" t="s">
        <v>4098</v>
      </c>
      <c r="C479" s="459">
        <v>8.3000000000000007</v>
      </c>
      <c r="D479" s="453" t="s">
        <v>304</v>
      </c>
      <c r="E479" s="71">
        <f>SUM(E480:E499)</f>
        <v>0</v>
      </c>
      <c r="F479" s="74">
        <f>SUM(F480:F499)</f>
        <v>0</v>
      </c>
    </row>
    <row r="480" spans="2:6" s="82" customFormat="1" ht="15" customHeight="1" outlineLevel="2" x14ac:dyDescent="0.3">
      <c r="B480" s="444" t="s">
        <v>4099</v>
      </c>
      <c r="C480" s="460" t="s">
        <v>795</v>
      </c>
      <c r="D480" s="454" t="s">
        <v>299</v>
      </c>
      <c r="E480" s="72"/>
      <c r="F480" s="75"/>
    </row>
    <row r="481" spans="2:6" s="82" customFormat="1" ht="15" customHeight="1" outlineLevel="2" x14ac:dyDescent="0.3">
      <c r="B481" s="444" t="s">
        <v>4100</v>
      </c>
      <c r="C481" s="460" t="s">
        <v>816</v>
      </c>
      <c r="D481" s="454" t="s">
        <v>299</v>
      </c>
      <c r="E481" s="72"/>
      <c r="F481" s="75"/>
    </row>
    <row r="482" spans="2:6" s="82" customFormat="1" ht="15" customHeight="1" outlineLevel="2" x14ac:dyDescent="0.3">
      <c r="B482" s="444" t="s">
        <v>4101</v>
      </c>
      <c r="C482" s="460" t="s">
        <v>837</v>
      </c>
      <c r="D482" s="454" t="s">
        <v>299</v>
      </c>
      <c r="E482" s="72"/>
      <c r="F482" s="75"/>
    </row>
    <row r="483" spans="2:6" s="82" customFormat="1" ht="15" customHeight="1" outlineLevel="2" x14ac:dyDescent="0.3">
      <c r="B483" s="444" t="s">
        <v>4102</v>
      </c>
      <c r="C483" s="460" t="s">
        <v>838</v>
      </c>
      <c r="D483" s="454" t="s">
        <v>299</v>
      </c>
      <c r="E483" s="72"/>
      <c r="F483" s="75"/>
    </row>
    <row r="484" spans="2:6" s="82" customFormat="1" ht="15" customHeight="1" outlineLevel="2" x14ac:dyDescent="0.3">
      <c r="B484" s="444" t="s">
        <v>4103</v>
      </c>
      <c r="C484" s="460" t="s">
        <v>1919</v>
      </c>
      <c r="D484" s="454" t="s">
        <v>299</v>
      </c>
      <c r="E484" s="72"/>
      <c r="F484" s="75"/>
    </row>
    <row r="485" spans="2:6" s="82" customFormat="1" ht="15" customHeight="1" outlineLevel="2" x14ac:dyDescent="0.3">
      <c r="B485" s="444" t="s">
        <v>4104</v>
      </c>
      <c r="C485" s="460" t="s">
        <v>1920</v>
      </c>
      <c r="D485" s="454" t="s">
        <v>299</v>
      </c>
      <c r="E485" s="72"/>
      <c r="F485" s="75"/>
    </row>
    <row r="486" spans="2:6" s="82" customFormat="1" ht="15" customHeight="1" outlineLevel="2" x14ac:dyDescent="0.3">
      <c r="B486" s="444" t="s">
        <v>4105</v>
      </c>
      <c r="C486" s="460" t="s">
        <v>1921</v>
      </c>
      <c r="D486" s="454" t="s">
        <v>299</v>
      </c>
      <c r="E486" s="72"/>
      <c r="F486" s="75"/>
    </row>
    <row r="487" spans="2:6" s="82" customFormat="1" ht="15" customHeight="1" outlineLevel="2" x14ac:dyDescent="0.3">
      <c r="B487" s="444" t="s">
        <v>4106</v>
      </c>
      <c r="C487" s="460" t="s">
        <v>1922</v>
      </c>
      <c r="D487" s="454" t="s">
        <v>299</v>
      </c>
      <c r="E487" s="72"/>
      <c r="F487" s="75"/>
    </row>
    <row r="488" spans="2:6" s="82" customFormat="1" ht="15" customHeight="1" outlineLevel="2" x14ac:dyDescent="0.3">
      <c r="B488" s="444" t="s">
        <v>4107</v>
      </c>
      <c r="C488" s="460" t="s">
        <v>1923</v>
      </c>
      <c r="D488" s="454" t="s">
        <v>299</v>
      </c>
      <c r="E488" s="72"/>
      <c r="F488" s="75"/>
    </row>
    <row r="489" spans="2:6" s="82" customFormat="1" ht="15" customHeight="1" outlineLevel="2" x14ac:dyDescent="0.3">
      <c r="B489" s="444" t="s">
        <v>4108</v>
      </c>
      <c r="C489" s="460" t="s">
        <v>1924</v>
      </c>
      <c r="D489" s="454" t="s">
        <v>299</v>
      </c>
      <c r="E489" s="72"/>
      <c r="F489" s="75"/>
    </row>
    <row r="490" spans="2:6" s="82" customFormat="1" ht="15" customHeight="1" outlineLevel="2" x14ac:dyDescent="0.3">
      <c r="B490" s="444" t="s">
        <v>4109</v>
      </c>
      <c r="C490" s="460" t="s">
        <v>1925</v>
      </c>
      <c r="D490" s="454" t="s">
        <v>299</v>
      </c>
      <c r="E490" s="72"/>
      <c r="F490" s="75"/>
    </row>
    <row r="491" spans="2:6" s="82" customFormat="1" ht="15" customHeight="1" outlineLevel="2" x14ac:dyDescent="0.3">
      <c r="B491" s="444" t="s">
        <v>4110</v>
      </c>
      <c r="C491" s="460" t="s">
        <v>1926</v>
      </c>
      <c r="D491" s="454" t="s">
        <v>299</v>
      </c>
      <c r="E491" s="72"/>
      <c r="F491" s="75"/>
    </row>
    <row r="492" spans="2:6" s="82" customFormat="1" ht="15" customHeight="1" outlineLevel="2" x14ac:dyDescent="0.3">
      <c r="B492" s="444" t="s">
        <v>4111</v>
      </c>
      <c r="C492" s="460" t="s">
        <v>1927</v>
      </c>
      <c r="D492" s="454" t="s">
        <v>299</v>
      </c>
      <c r="E492" s="72"/>
      <c r="F492" s="75"/>
    </row>
    <row r="493" spans="2:6" s="82" customFormat="1" ht="15" customHeight="1" outlineLevel="2" x14ac:dyDescent="0.3">
      <c r="B493" s="444" t="s">
        <v>4112</v>
      </c>
      <c r="C493" s="460" t="s">
        <v>1928</v>
      </c>
      <c r="D493" s="454" t="s">
        <v>299</v>
      </c>
      <c r="E493" s="72"/>
      <c r="F493" s="75"/>
    </row>
    <row r="494" spans="2:6" s="82" customFormat="1" ht="15" customHeight="1" outlineLevel="2" x14ac:dyDescent="0.3">
      <c r="B494" s="444" t="s">
        <v>4113</v>
      </c>
      <c r="C494" s="460" t="s">
        <v>1929</v>
      </c>
      <c r="D494" s="454" t="s">
        <v>299</v>
      </c>
      <c r="E494" s="72"/>
      <c r="F494" s="75"/>
    </row>
    <row r="495" spans="2:6" s="82" customFormat="1" ht="15" customHeight="1" outlineLevel="2" x14ac:dyDescent="0.3">
      <c r="B495" s="444" t="s">
        <v>4114</v>
      </c>
      <c r="C495" s="460" t="s">
        <v>1930</v>
      </c>
      <c r="D495" s="454" t="s">
        <v>299</v>
      </c>
      <c r="E495" s="72"/>
      <c r="F495" s="75"/>
    </row>
    <row r="496" spans="2:6" s="82" customFormat="1" ht="15" customHeight="1" outlineLevel="2" x14ac:dyDescent="0.3">
      <c r="B496" s="444" t="s">
        <v>4115</v>
      </c>
      <c r="C496" s="460" t="s">
        <v>1931</v>
      </c>
      <c r="D496" s="454" t="s">
        <v>299</v>
      </c>
      <c r="E496" s="72"/>
      <c r="F496" s="75"/>
    </row>
    <row r="497" spans="2:6" s="82" customFormat="1" ht="15" customHeight="1" outlineLevel="2" x14ac:dyDescent="0.3">
      <c r="B497" s="444" t="s">
        <v>4116</v>
      </c>
      <c r="C497" s="460" t="s">
        <v>1932</v>
      </c>
      <c r="D497" s="454" t="s">
        <v>299</v>
      </c>
      <c r="E497" s="72"/>
      <c r="F497" s="75"/>
    </row>
    <row r="498" spans="2:6" s="82" customFormat="1" ht="15" customHeight="1" outlineLevel="2" x14ac:dyDescent="0.3">
      <c r="B498" s="444" t="s">
        <v>4117</v>
      </c>
      <c r="C498" s="460" t="s">
        <v>1933</v>
      </c>
      <c r="D498" s="454" t="s">
        <v>299</v>
      </c>
      <c r="E498" s="72"/>
      <c r="F498" s="75"/>
    </row>
    <row r="499" spans="2:6" s="82" customFormat="1" ht="15" customHeight="1" outlineLevel="2" x14ac:dyDescent="0.3">
      <c r="B499" s="444" t="s">
        <v>4118</v>
      </c>
      <c r="C499" s="460" t="s">
        <v>1934</v>
      </c>
      <c r="D499" s="454" t="s">
        <v>299</v>
      </c>
      <c r="E499" s="72"/>
      <c r="F499" s="75"/>
    </row>
    <row r="500" spans="2:6" s="10" customFormat="1" ht="15" customHeight="1" outlineLevel="1" x14ac:dyDescent="0.3">
      <c r="B500" s="444" t="s">
        <v>4119</v>
      </c>
      <c r="C500" s="459">
        <v>8.4</v>
      </c>
      <c r="D500" s="453" t="s">
        <v>4661</v>
      </c>
      <c r="E500" s="71">
        <f>SUM(E501:E520)</f>
        <v>0</v>
      </c>
      <c r="F500" s="74">
        <f>SUM(F501:F520)</f>
        <v>0</v>
      </c>
    </row>
    <row r="501" spans="2:6" s="82" customFormat="1" ht="15" customHeight="1" outlineLevel="2" x14ac:dyDescent="0.3">
      <c r="B501" s="444" t="s">
        <v>4120</v>
      </c>
      <c r="C501" s="460" t="s">
        <v>380</v>
      </c>
      <c r="D501" s="454" t="s">
        <v>299</v>
      </c>
      <c r="E501" s="85"/>
      <c r="F501" s="86"/>
    </row>
    <row r="502" spans="2:6" s="82" customFormat="1" ht="15" customHeight="1" outlineLevel="2" x14ac:dyDescent="0.3">
      <c r="B502" s="444" t="s">
        <v>4121</v>
      </c>
      <c r="C502" s="460" t="s">
        <v>859</v>
      </c>
      <c r="D502" s="454" t="s">
        <v>299</v>
      </c>
      <c r="E502" s="85"/>
      <c r="F502" s="86"/>
    </row>
    <row r="503" spans="2:6" s="82" customFormat="1" ht="15" customHeight="1" outlineLevel="2" x14ac:dyDescent="0.3">
      <c r="B503" s="444" t="s">
        <v>4122</v>
      </c>
      <c r="C503" s="460" t="s">
        <v>860</v>
      </c>
      <c r="D503" s="454" t="s">
        <v>299</v>
      </c>
      <c r="E503" s="85"/>
      <c r="F503" s="86"/>
    </row>
    <row r="504" spans="2:6" s="82" customFormat="1" ht="15" customHeight="1" outlineLevel="2" x14ac:dyDescent="0.3">
      <c r="B504" s="444" t="s">
        <v>4123</v>
      </c>
      <c r="C504" s="460" t="s">
        <v>861</v>
      </c>
      <c r="D504" s="454" t="s">
        <v>299</v>
      </c>
      <c r="E504" s="85"/>
      <c r="F504" s="86"/>
    </row>
    <row r="505" spans="2:6" s="82" customFormat="1" ht="15" customHeight="1" outlineLevel="2" x14ac:dyDescent="0.3">
      <c r="B505" s="444" t="s">
        <v>4124</v>
      </c>
      <c r="C505" s="460" t="s">
        <v>1935</v>
      </c>
      <c r="D505" s="454" t="s">
        <v>299</v>
      </c>
      <c r="E505" s="85"/>
      <c r="F505" s="86"/>
    </row>
    <row r="506" spans="2:6" s="82" customFormat="1" ht="15" customHeight="1" outlineLevel="2" x14ac:dyDescent="0.3">
      <c r="B506" s="444" t="s">
        <v>4125</v>
      </c>
      <c r="C506" s="460" t="s">
        <v>1936</v>
      </c>
      <c r="D506" s="454" t="s">
        <v>299</v>
      </c>
      <c r="E506" s="85"/>
      <c r="F506" s="86"/>
    </row>
    <row r="507" spans="2:6" s="82" customFormat="1" ht="15" customHeight="1" outlineLevel="2" x14ac:dyDescent="0.3">
      <c r="B507" s="444" t="s">
        <v>4126</v>
      </c>
      <c r="C507" s="460" t="s">
        <v>1937</v>
      </c>
      <c r="D507" s="454" t="s">
        <v>299</v>
      </c>
      <c r="E507" s="85"/>
      <c r="F507" s="86"/>
    </row>
    <row r="508" spans="2:6" s="82" customFormat="1" ht="15" customHeight="1" outlineLevel="2" x14ac:dyDescent="0.3">
      <c r="B508" s="444" t="s">
        <v>4127</v>
      </c>
      <c r="C508" s="460" t="s">
        <v>1938</v>
      </c>
      <c r="D508" s="454" t="s">
        <v>299</v>
      </c>
      <c r="E508" s="85"/>
      <c r="F508" s="86"/>
    </row>
    <row r="509" spans="2:6" s="82" customFormat="1" ht="15" customHeight="1" outlineLevel="2" x14ac:dyDescent="0.3">
      <c r="B509" s="444" t="s">
        <v>4128</v>
      </c>
      <c r="C509" s="460" t="s">
        <v>1939</v>
      </c>
      <c r="D509" s="454" t="s">
        <v>299</v>
      </c>
      <c r="E509" s="85"/>
      <c r="F509" s="86"/>
    </row>
    <row r="510" spans="2:6" s="82" customFormat="1" ht="15" customHeight="1" outlineLevel="2" x14ac:dyDescent="0.3">
      <c r="B510" s="444" t="s">
        <v>4129</v>
      </c>
      <c r="C510" s="460" t="s">
        <v>1940</v>
      </c>
      <c r="D510" s="454" t="s">
        <v>299</v>
      </c>
      <c r="E510" s="85"/>
      <c r="F510" s="86"/>
    </row>
    <row r="511" spans="2:6" s="82" customFormat="1" ht="15" customHeight="1" outlineLevel="2" x14ac:dyDescent="0.3">
      <c r="B511" s="444" t="s">
        <v>4130</v>
      </c>
      <c r="C511" s="460" t="s">
        <v>1941</v>
      </c>
      <c r="D511" s="454" t="s">
        <v>299</v>
      </c>
      <c r="E511" s="85"/>
      <c r="F511" s="86"/>
    </row>
    <row r="512" spans="2:6" s="82" customFormat="1" ht="15" customHeight="1" outlineLevel="2" x14ac:dyDescent="0.3">
      <c r="B512" s="444" t="s">
        <v>4131</v>
      </c>
      <c r="C512" s="460" t="s">
        <v>1942</v>
      </c>
      <c r="D512" s="454" t="s">
        <v>299</v>
      </c>
      <c r="E512" s="85"/>
      <c r="F512" s="86"/>
    </row>
    <row r="513" spans="2:6" s="82" customFormat="1" ht="15" customHeight="1" outlineLevel="2" x14ac:dyDescent="0.3">
      <c r="B513" s="444" t="s">
        <v>4132</v>
      </c>
      <c r="C513" s="460" t="s">
        <v>1943</v>
      </c>
      <c r="D513" s="454" t="s">
        <v>299</v>
      </c>
      <c r="E513" s="85"/>
      <c r="F513" s="86"/>
    </row>
    <row r="514" spans="2:6" s="82" customFormat="1" ht="15" customHeight="1" outlineLevel="2" x14ac:dyDescent="0.3">
      <c r="B514" s="444" t="s">
        <v>4133</v>
      </c>
      <c r="C514" s="460" t="s">
        <v>1944</v>
      </c>
      <c r="D514" s="454" t="s">
        <v>299</v>
      </c>
      <c r="E514" s="85"/>
      <c r="F514" s="86"/>
    </row>
    <row r="515" spans="2:6" s="82" customFormat="1" ht="15" customHeight="1" outlineLevel="2" x14ac:dyDescent="0.3">
      <c r="B515" s="444" t="s">
        <v>4134</v>
      </c>
      <c r="C515" s="460" t="s">
        <v>1945</v>
      </c>
      <c r="D515" s="454" t="s">
        <v>299</v>
      </c>
      <c r="E515" s="85"/>
      <c r="F515" s="86"/>
    </row>
    <row r="516" spans="2:6" s="82" customFormat="1" ht="15" customHeight="1" outlineLevel="2" x14ac:dyDescent="0.3">
      <c r="B516" s="444" t="s">
        <v>4135</v>
      </c>
      <c r="C516" s="460" t="s">
        <v>1946</v>
      </c>
      <c r="D516" s="454" t="s">
        <v>299</v>
      </c>
      <c r="E516" s="85"/>
      <c r="F516" s="86"/>
    </row>
    <row r="517" spans="2:6" s="82" customFormat="1" ht="15" customHeight="1" outlineLevel="2" x14ac:dyDescent="0.3">
      <c r="B517" s="444" t="s">
        <v>4136</v>
      </c>
      <c r="C517" s="460" t="s">
        <v>1947</v>
      </c>
      <c r="D517" s="454" t="s">
        <v>299</v>
      </c>
      <c r="E517" s="85"/>
      <c r="F517" s="86"/>
    </row>
    <row r="518" spans="2:6" s="82" customFormat="1" ht="15" customHeight="1" outlineLevel="2" x14ac:dyDescent="0.3">
      <c r="B518" s="444" t="s">
        <v>4137</v>
      </c>
      <c r="C518" s="460" t="s">
        <v>1948</v>
      </c>
      <c r="D518" s="454" t="s">
        <v>299</v>
      </c>
      <c r="E518" s="85"/>
      <c r="F518" s="86"/>
    </row>
    <row r="519" spans="2:6" s="82" customFormat="1" ht="15" customHeight="1" outlineLevel="2" x14ac:dyDescent="0.3">
      <c r="B519" s="444" t="s">
        <v>4138</v>
      </c>
      <c r="C519" s="460" t="s">
        <v>1949</v>
      </c>
      <c r="D519" s="454" t="s">
        <v>299</v>
      </c>
      <c r="E519" s="85"/>
      <c r="F519" s="86"/>
    </row>
    <row r="520" spans="2:6" s="82" customFormat="1" ht="15" customHeight="1" outlineLevel="2" x14ac:dyDescent="0.3">
      <c r="B520" s="444" t="s">
        <v>4139</v>
      </c>
      <c r="C520" s="460" t="s">
        <v>1950</v>
      </c>
      <c r="D520" s="454" t="s">
        <v>299</v>
      </c>
      <c r="E520" s="85"/>
      <c r="F520" s="86"/>
    </row>
    <row r="521" spans="2:6" s="82" customFormat="1" ht="15" customHeight="1" x14ac:dyDescent="0.3">
      <c r="B521" s="444" t="s">
        <v>4140</v>
      </c>
      <c r="C521" s="461">
        <v>9</v>
      </c>
      <c r="D521" s="455" t="s">
        <v>282</v>
      </c>
      <c r="E521" s="70">
        <f>E522+E543+E564+E585</f>
        <v>0</v>
      </c>
      <c r="F521" s="73">
        <f>F522+F543+F564+F585</f>
        <v>0</v>
      </c>
    </row>
    <row r="522" spans="2:6" s="10" customFormat="1" ht="15" customHeight="1" outlineLevel="1" x14ac:dyDescent="0.3">
      <c r="B522" s="444" t="s">
        <v>4141</v>
      </c>
      <c r="C522" s="459">
        <v>9.1</v>
      </c>
      <c r="D522" s="453" t="s">
        <v>303</v>
      </c>
      <c r="E522" s="71">
        <f>SUM(E523:E542)</f>
        <v>0</v>
      </c>
      <c r="F522" s="74">
        <f>SUM(F523:F542)</f>
        <v>0</v>
      </c>
    </row>
    <row r="523" spans="2:6" s="82" customFormat="1" ht="15" customHeight="1" outlineLevel="2" x14ac:dyDescent="0.3">
      <c r="B523" s="444" t="s">
        <v>4142</v>
      </c>
      <c r="C523" s="460" t="s">
        <v>1951</v>
      </c>
      <c r="D523" s="454" t="s">
        <v>299</v>
      </c>
      <c r="E523" s="72"/>
      <c r="F523" s="75"/>
    </row>
    <row r="524" spans="2:6" s="82" customFormat="1" ht="15" customHeight="1" outlineLevel="2" x14ac:dyDescent="0.3">
      <c r="B524" s="444" t="s">
        <v>4143</v>
      </c>
      <c r="C524" s="460" t="s">
        <v>1952</v>
      </c>
      <c r="D524" s="454" t="s">
        <v>299</v>
      </c>
      <c r="E524" s="72"/>
      <c r="F524" s="75"/>
    </row>
    <row r="525" spans="2:6" s="82" customFormat="1" ht="15" customHeight="1" outlineLevel="2" x14ac:dyDescent="0.3">
      <c r="B525" s="444" t="s">
        <v>4144</v>
      </c>
      <c r="C525" s="460" t="s">
        <v>1953</v>
      </c>
      <c r="D525" s="454" t="s">
        <v>299</v>
      </c>
      <c r="E525" s="72"/>
      <c r="F525" s="75"/>
    </row>
    <row r="526" spans="2:6" s="82" customFormat="1" ht="15" customHeight="1" outlineLevel="2" x14ac:dyDescent="0.3">
      <c r="B526" s="444" t="s">
        <v>4145</v>
      </c>
      <c r="C526" s="460" t="s">
        <v>1954</v>
      </c>
      <c r="D526" s="454" t="s">
        <v>299</v>
      </c>
      <c r="E526" s="72"/>
      <c r="F526" s="75"/>
    </row>
    <row r="527" spans="2:6" s="82" customFormat="1" ht="15" customHeight="1" outlineLevel="2" x14ac:dyDescent="0.3">
      <c r="B527" s="444" t="s">
        <v>4146</v>
      </c>
      <c r="C527" s="460" t="s">
        <v>1955</v>
      </c>
      <c r="D527" s="454" t="s">
        <v>299</v>
      </c>
      <c r="E527" s="72"/>
      <c r="F527" s="75"/>
    </row>
    <row r="528" spans="2:6" s="82" customFormat="1" ht="15" customHeight="1" outlineLevel="2" x14ac:dyDescent="0.3">
      <c r="B528" s="444" t="s">
        <v>4147</v>
      </c>
      <c r="C528" s="460" t="s">
        <v>1956</v>
      </c>
      <c r="D528" s="454" t="s">
        <v>299</v>
      </c>
      <c r="E528" s="72"/>
      <c r="F528" s="75"/>
    </row>
    <row r="529" spans="2:6" s="82" customFormat="1" ht="15" customHeight="1" outlineLevel="2" x14ac:dyDescent="0.3">
      <c r="B529" s="444" t="s">
        <v>4148</v>
      </c>
      <c r="C529" s="460" t="s">
        <v>1957</v>
      </c>
      <c r="D529" s="454" t="s">
        <v>299</v>
      </c>
      <c r="E529" s="72"/>
      <c r="F529" s="75"/>
    </row>
    <row r="530" spans="2:6" s="82" customFormat="1" ht="15" customHeight="1" outlineLevel="2" x14ac:dyDescent="0.3">
      <c r="B530" s="444" t="s">
        <v>4149</v>
      </c>
      <c r="C530" s="460" t="s">
        <v>1958</v>
      </c>
      <c r="D530" s="454" t="s">
        <v>299</v>
      </c>
      <c r="E530" s="72"/>
      <c r="F530" s="75"/>
    </row>
    <row r="531" spans="2:6" s="82" customFormat="1" ht="15" customHeight="1" outlineLevel="2" x14ac:dyDescent="0.3">
      <c r="B531" s="444" t="s">
        <v>4150</v>
      </c>
      <c r="C531" s="460" t="s">
        <v>1959</v>
      </c>
      <c r="D531" s="454" t="s">
        <v>299</v>
      </c>
      <c r="E531" s="72"/>
      <c r="F531" s="75"/>
    </row>
    <row r="532" spans="2:6" s="82" customFormat="1" ht="15" customHeight="1" outlineLevel="2" x14ac:dyDescent="0.3">
      <c r="B532" s="444" t="s">
        <v>4151</v>
      </c>
      <c r="C532" s="460" t="s">
        <v>1960</v>
      </c>
      <c r="D532" s="454" t="s">
        <v>299</v>
      </c>
      <c r="E532" s="72"/>
      <c r="F532" s="75"/>
    </row>
    <row r="533" spans="2:6" s="82" customFormat="1" ht="15" customHeight="1" outlineLevel="2" x14ac:dyDescent="0.3">
      <c r="B533" s="444" t="s">
        <v>4152</v>
      </c>
      <c r="C533" s="460" t="s">
        <v>1961</v>
      </c>
      <c r="D533" s="454" t="s">
        <v>299</v>
      </c>
      <c r="E533" s="72"/>
      <c r="F533" s="75"/>
    </row>
    <row r="534" spans="2:6" s="82" customFormat="1" ht="15" customHeight="1" outlineLevel="2" x14ac:dyDescent="0.3">
      <c r="B534" s="444" t="s">
        <v>4153</v>
      </c>
      <c r="C534" s="460" t="s">
        <v>1962</v>
      </c>
      <c r="D534" s="454" t="s">
        <v>299</v>
      </c>
      <c r="E534" s="72"/>
      <c r="F534" s="75"/>
    </row>
    <row r="535" spans="2:6" s="82" customFormat="1" ht="15" customHeight="1" outlineLevel="2" x14ac:dyDescent="0.3">
      <c r="B535" s="444" t="s">
        <v>4154</v>
      </c>
      <c r="C535" s="460" t="s">
        <v>1963</v>
      </c>
      <c r="D535" s="454" t="s">
        <v>299</v>
      </c>
      <c r="E535" s="72"/>
      <c r="F535" s="75"/>
    </row>
    <row r="536" spans="2:6" s="82" customFormat="1" ht="15" customHeight="1" outlineLevel="2" x14ac:dyDescent="0.3">
      <c r="B536" s="444" t="s">
        <v>4155</v>
      </c>
      <c r="C536" s="460" t="s">
        <v>1964</v>
      </c>
      <c r="D536" s="454" t="s">
        <v>299</v>
      </c>
      <c r="E536" s="72"/>
      <c r="F536" s="75"/>
    </row>
    <row r="537" spans="2:6" s="82" customFormat="1" ht="15" customHeight="1" outlineLevel="2" x14ac:dyDescent="0.3">
      <c r="B537" s="444" t="s">
        <v>4156</v>
      </c>
      <c r="C537" s="460" t="s">
        <v>1965</v>
      </c>
      <c r="D537" s="454" t="s">
        <v>299</v>
      </c>
      <c r="E537" s="72"/>
      <c r="F537" s="75"/>
    </row>
    <row r="538" spans="2:6" s="82" customFormat="1" ht="15" customHeight="1" outlineLevel="2" x14ac:dyDescent="0.3">
      <c r="B538" s="444" t="s">
        <v>4157</v>
      </c>
      <c r="C538" s="460" t="s">
        <v>1966</v>
      </c>
      <c r="D538" s="454" t="s">
        <v>299</v>
      </c>
      <c r="E538" s="72"/>
      <c r="F538" s="75"/>
    </row>
    <row r="539" spans="2:6" s="82" customFormat="1" ht="15" customHeight="1" outlineLevel="2" x14ac:dyDescent="0.3">
      <c r="B539" s="444" t="s">
        <v>4158</v>
      </c>
      <c r="C539" s="460" t="s">
        <v>1967</v>
      </c>
      <c r="D539" s="454" t="s">
        <v>299</v>
      </c>
      <c r="E539" s="72"/>
      <c r="F539" s="75"/>
    </row>
    <row r="540" spans="2:6" s="82" customFormat="1" ht="15" customHeight="1" outlineLevel="2" x14ac:dyDescent="0.3">
      <c r="B540" s="444" t="s">
        <v>4159</v>
      </c>
      <c r="C540" s="460" t="s">
        <v>1968</v>
      </c>
      <c r="D540" s="454" t="s">
        <v>299</v>
      </c>
      <c r="E540" s="72"/>
      <c r="F540" s="75"/>
    </row>
    <row r="541" spans="2:6" s="82" customFormat="1" ht="15" customHeight="1" outlineLevel="2" x14ac:dyDescent="0.3">
      <c r="B541" s="444" t="s">
        <v>4160</v>
      </c>
      <c r="C541" s="460" t="s">
        <v>1969</v>
      </c>
      <c r="D541" s="454" t="s">
        <v>299</v>
      </c>
      <c r="E541" s="72"/>
      <c r="F541" s="75"/>
    </row>
    <row r="542" spans="2:6" s="82" customFormat="1" ht="15" customHeight="1" outlineLevel="2" x14ac:dyDescent="0.3">
      <c r="B542" s="444" t="s">
        <v>4161</v>
      </c>
      <c r="C542" s="460" t="s">
        <v>1970</v>
      </c>
      <c r="D542" s="454" t="s">
        <v>299</v>
      </c>
      <c r="E542" s="72"/>
      <c r="F542" s="75"/>
    </row>
    <row r="543" spans="2:6" s="10" customFormat="1" ht="15" customHeight="1" outlineLevel="1" x14ac:dyDescent="0.3">
      <c r="B543" s="444" t="s">
        <v>4162</v>
      </c>
      <c r="C543" s="459">
        <v>9.1999999999999993</v>
      </c>
      <c r="D543" s="453" t="s">
        <v>4660</v>
      </c>
      <c r="E543" s="71">
        <f>SUM(E544:E563)</f>
        <v>0</v>
      </c>
      <c r="F543" s="74">
        <f>SUM(F544:F563)</f>
        <v>0</v>
      </c>
    </row>
    <row r="544" spans="2:6" s="82" customFormat="1" ht="15" customHeight="1" outlineLevel="2" x14ac:dyDescent="0.3">
      <c r="B544" s="444" t="s">
        <v>4163</v>
      </c>
      <c r="C544" s="460" t="s">
        <v>920</v>
      </c>
      <c r="D544" s="454" t="s">
        <v>299</v>
      </c>
      <c r="E544" s="85"/>
      <c r="F544" s="86"/>
    </row>
    <row r="545" spans="2:6" s="82" customFormat="1" ht="15" customHeight="1" outlineLevel="2" x14ac:dyDescent="0.3">
      <c r="B545" s="444" t="s">
        <v>4164</v>
      </c>
      <c r="C545" s="460" t="s">
        <v>941</v>
      </c>
      <c r="D545" s="454" t="s">
        <v>299</v>
      </c>
      <c r="E545" s="85"/>
      <c r="F545" s="86"/>
    </row>
    <row r="546" spans="2:6" s="82" customFormat="1" ht="15" customHeight="1" outlineLevel="2" x14ac:dyDescent="0.3">
      <c r="B546" s="444" t="s">
        <v>4165</v>
      </c>
      <c r="C546" s="460" t="s">
        <v>962</v>
      </c>
      <c r="D546" s="454" t="s">
        <v>299</v>
      </c>
      <c r="E546" s="85"/>
      <c r="F546" s="86"/>
    </row>
    <row r="547" spans="2:6" s="82" customFormat="1" ht="15" customHeight="1" outlineLevel="2" x14ac:dyDescent="0.3">
      <c r="B547" s="444" t="s">
        <v>4166</v>
      </c>
      <c r="C547" s="460" t="s">
        <v>983</v>
      </c>
      <c r="D547" s="454" t="s">
        <v>299</v>
      </c>
      <c r="E547" s="85"/>
      <c r="F547" s="86"/>
    </row>
    <row r="548" spans="2:6" s="82" customFormat="1" ht="15" customHeight="1" outlineLevel="2" x14ac:dyDescent="0.3">
      <c r="B548" s="444" t="s">
        <v>4167</v>
      </c>
      <c r="C548" s="460" t="s">
        <v>1971</v>
      </c>
      <c r="D548" s="454" t="s">
        <v>299</v>
      </c>
      <c r="E548" s="85"/>
      <c r="F548" s="86"/>
    </row>
    <row r="549" spans="2:6" s="82" customFormat="1" ht="15" customHeight="1" outlineLevel="2" x14ac:dyDescent="0.3">
      <c r="B549" s="444" t="s">
        <v>4168</v>
      </c>
      <c r="C549" s="460" t="s">
        <v>1972</v>
      </c>
      <c r="D549" s="454" t="s">
        <v>299</v>
      </c>
      <c r="E549" s="85"/>
      <c r="F549" s="86"/>
    </row>
    <row r="550" spans="2:6" s="82" customFormat="1" ht="15" customHeight="1" outlineLevel="2" x14ac:dyDescent="0.3">
      <c r="B550" s="444" t="s">
        <v>4169</v>
      </c>
      <c r="C550" s="460" t="s">
        <v>1973</v>
      </c>
      <c r="D550" s="454" t="s">
        <v>299</v>
      </c>
      <c r="E550" s="85"/>
      <c r="F550" s="86"/>
    </row>
    <row r="551" spans="2:6" s="82" customFormat="1" ht="15" customHeight="1" outlineLevel="2" x14ac:dyDescent="0.3">
      <c r="B551" s="444" t="s">
        <v>4170</v>
      </c>
      <c r="C551" s="460" t="s">
        <v>1974</v>
      </c>
      <c r="D551" s="454" t="s">
        <v>299</v>
      </c>
      <c r="E551" s="85"/>
      <c r="F551" s="86"/>
    </row>
    <row r="552" spans="2:6" s="82" customFormat="1" ht="15" customHeight="1" outlineLevel="2" x14ac:dyDescent="0.3">
      <c r="B552" s="444" t="s">
        <v>4171</v>
      </c>
      <c r="C552" s="460" t="s">
        <v>1975</v>
      </c>
      <c r="D552" s="454" t="s">
        <v>299</v>
      </c>
      <c r="E552" s="85"/>
      <c r="F552" s="86"/>
    </row>
    <row r="553" spans="2:6" s="82" customFormat="1" ht="15" customHeight="1" outlineLevel="2" x14ac:dyDescent="0.3">
      <c r="B553" s="444" t="s">
        <v>4172</v>
      </c>
      <c r="C553" s="460" t="s">
        <v>1976</v>
      </c>
      <c r="D553" s="454" t="s">
        <v>299</v>
      </c>
      <c r="E553" s="85"/>
      <c r="F553" s="86"/>
    </row>
    <row r="554" spans="2:6" s="82" customFormat="1" ht="15" customHeight="1" outlineLevel="2" x14ac:dyDescent="0.3">
      <c r="B554" s="444" t="s">
        <v>4173</v>
      </c>
      <c r="C554" s="460" t="s">
        <v>1977</v>
      </c>
      <c r="D554" s="454" t="s">
        <v>299</v>
      </c>
      <c r="E554" s="85"/>
      <c r="F554" s="86"/>
    </row>
    <row r="555" spans="2:6" s="82" customFormat="1" ht="15" customHeight="1" outlineLevel="2" x14ac:dyDescent="0.3">
      <c r="B555" s="444" t="s">
        <v>4174</v>
      </c>
      <c r="C555" s="460" t="s">
        <v>1978</v>
      </c>
      <c r="D555" s="454" t="s">
        <v>299</v>
      </c>
      <c r="E555" s="85"/>
      <c r="F555" s="86"/>
    </row>
    <row r="556" spans="2:6" s="82" customFormat="1" ht="15" customHeight="1" outlineLevel="2" x14ac:dyDescent="0.3">
      <c r="B556" s="444" t="s">
        <v>4175</v>
      </c>
      <c r="C556" s="460" t="s">
        <v>1979</v>
      </c>
      <c r="D556" s="454" t="s">
        <v>299</v>
      </c>
      <c r="E556" s="85"/>
      <c r="F556" s="86"/>
    </row>
    <row r="557" spans="2:6" s="82" customFormat="1" ht="15" customHeight="1" outlineLevel="2" x14ac:dyDescent="0.3">
      <c r="B557" s="444" t="s">
        <v>4176</v>
      </c>
      <c r="C557" s="460" t="s">
        <v>1980</v>
      </c>
      <c r="D557" s="454" t="s">
        <v>299</v>
      </c>
      <c r="E557" s="85"/>
      <c r="F557" s="86"/>
    </row>
    <row r="558" spans="2:6" s="82" customFormat="1" ht="15" customHeight="1" outlineLevel="2" x14ac:dyDescent="0.3">
      <c r="B558" s="444" t="s">
        <v>4177</v>
      </c>
      <c r="C558" s="460" t="s">
        <v>1981</v>
      </c>
      <c r="D558" s="454" t="s">
        <v>299</v>
      </c>
      <c r="E558" s="85"/>
      <c r="F558" s="86"/>
    </row>
    <row r="559" spans="2:6" s="82" customFormat="1" ht="15" customHeight="1" outlineLevel="2" x14ac:dyDescent="0.3">
      <c r="B559" s="444" t="s">
        <v>4178</v>
      </c>
      <c r="C559" s="460" t="s">
        <v>1982</v>
      </c>
      <c r="D559" s="454" t="s">
        <v>299</v>
      </c>
      <c r="E559" s="85"/>
      <c r="F559" s="86"/>
    </row>
    <row r="560" spans="2:6" s="82" customFormat="1" ht="15" customHeight="1" outlineLevel="2" x14ac:dyDescent="0.3">
      <c r="B560" s="444" t="s">
        <v>4179</v>
      </c>
      <c r="C560" s="460" t="s">
        <v>1983</v>
      </c>
      <c r="D560" s="454" t="s">
        <v>299</v>
      </c>
      <c r="E560" s="85"/>
      <c r="F560" s="86"/>
    </row>
    <row r="561" spans="2:6" s="82" customFormat="1" ht="15" customHeight="1" outlineLevel="2" x14ac:dyDescent="0.3">
      <c r="B561" s="444" t="s">
        <v>4180</v>
      </c>
      <c r="C561" s="460" t="s">
        <v>1984</v>
      </c>
      <c r="D561" s="454" t="s">
        <v>299</v>
      </c>
      <c r="E561" s="85"/>
      <c r="F561" s="86"/>
    </row>
    <row r="562" spans="2:6" s="82" customFormat="1" ht="15" customHeight="1" outlineLevel="2" x14ac:dyDescent="0.3">
      <c r="B562" s="444" t="s">
        <v>4181</v>
      </c>
      <c r="C562" s="460" t="s">
        <v>1985</v>
      </c>
      <c r="D562" s="454" t="s">
        <v>299</v>
      </c>
      <c r="E562" s="85"/>
      <c r="F562" s="86"/>
    </row>
    <row r="563" spans="2:6" s="82" customFormat="1" ht="15" customHeight="1" outlineLevel="2" x14ac:dyDescent="0.3">
      <c r="B563" s="444" t="s">
        <v>4182</v>
      </c>
      <c r="C563" s="460" t="s">
        <v>1986</v>
      </c>
      <c r="D563" s="454" t="s">
        <v>299</v>
      </c>
      <c r="E563" s="85"/>
      <c r="F563" s="86"/>
    </row>
    <row r="564" spans="2:6" s="10" customFormat="1" ht="15" customHeight="1" outlineLevel="1" x14ac:dyDescent="0.3">
      <c r="B564" s="444" t="s">
        <v>4183</v>
      </c>
      <c r="C564" s="459">
        <v>9.3000000000000007</v>
      </c>
      <c r="D564" s="453" t="s">
        <v>304</v>
      </c>
      <c r="E564" s="71">
        <f>SUM(E565:E584)</f>
        <v>0</v>
      </c>
      <c r="F564" s="74">
        <f>SUM(F565:F584)</f>
        <v>0</v>
      </c>
    </row>
    <row r="565" spans="2:6" s="82" customFormat="1" ht="15" customHeight="1" outlineLevel="2" x14ac:dyDescent="0.3">
      <c r="B565" s="444" t="s">
        <v>4184</v>
      </c>
      <c r="C565" s="460" t="s">
        <v>1004</v>
      </c>
      <c r="D565" s="454" t="s">
        <v>299</v>
      </c>
      <c r="E565" s="72"/>
      <c r="F565" s="75"/>
    </row>
    <row r="566" spans="2:6" s="82" customFormat="1" ht="15" customHeight="1" outlineLevel="2" x14ac:dyDescent="0.3">
      <c r="B566" s="444" t="s">
        <v>4185</v>
      </c>
      <c r="C566" s="460" t="s">
        <v>1025</v>
      </c>
      <c r="D566" s="454" t="s">
        <v>299</v>
      </c>
      <c r="E566" s="72"/>
      <c r="F566" s="75"/>
    </row>
    <row r="567" spans="2:6" s="82" customFormat="1" ht="15" customHeight="1" outlineLevel="2" x14ac:dyDescent="0.3">
      <c r="B567" s="444" t="s">
        <v>4186</v>
      </c>
      <c r="C567" s="460" t="s">
        <v>1046</v>
      </c>
      <c r="D567" s="454" t="s">
        <v>299</v>
      </c>
      <c r="E567" s="72"/>
      <c r="F567" s="75"/>
    </row>
    <row r="568" spans="2:6" s="82" customFormat="1" ht="15" customHeight="1" outlineLevel="2" x14ac:dyDescent="0.3">
      <c r="B568" s="444" t="s">
        <v>4187</v>
      </c>
      <c r="C568" s="460" t="s">
        <v>1067</v>
      </c>
      <c r="D568" s="454" t="s">
        <v>299</v>
      </c>
      <c r="E568" s="72"/>
      <c r="F568" s="75"/>
    </row>
    <row r="569" spans="2:6" s="82" customFormat="1" ht="15" customHeight="1" outlineLevel="2" x14ac:dyDescent="0.3">
      <c r="B569" s="444" t="s">
        <v>4188</v>
      </c>
      <c r="C569" s="460" t="s">
        <v>1987</v>
      </c>
      <c r="D569" s="454" t="s">
        <v>299</v>
      </c>
      <c r="E569" s="72"/>
      <c r="F569" s="75"/>
    </row>
    <row r="570" spans="2:6" s="82" customFormat="1" ht="15" customHeight="1" outlineLevel="2" x14ac:dyDescent="0.3">
      <c r="B570" s="444" t="s">
        <v>4189</v>
      </c>
      <c r="C570" s="460" t="s">
        <v>1988</v>
      </c>
      <c r="D570" s="454" t="s">
        <v>299</v>
      </c>
      <c r="E570" s="72"/>
      <c r="F570" s="75"/>
    </row>
    <row r="571" spans="2:6" s="82" customFormat="1" ht="15" customHeight="1" outlineLevel="2" x14ac:dyDescent="0.3">
      <c r="B571" s="444" t="s">
        <v>4190</v>
      </c>
      <c r="C571" s="460" t="s">
        <v>1989</v>
      </c>
      <c r="D571" s="454" t="s">
        <v>299</v>
      </c>
      <c r="E571" s="72"/>
      <c r="F571" s="75"/>
    </row>
    <row r="572" spans="2:6" s="82" customFormat="1" ht="15" customHeight="1" outlineLevel="2" x14ac:dyDescent="0.3">
      <c r="B572" s="444" t="s">
        <v>4191</v>
      </c>
      <c r="C572" s="460" t="s">
        <v>1990</v>
      </c>
      <c r="D572" s="454" t="s">
        <v>299</v>
      </c>
      <c r="E572" s="72"/>
      <c r="F572" s="75"/>
    </row>
    <row r="573" spans="2:6" s="82" customFormat="1" ht="15" customHeight="1" outlineLevel="2" x14ac:dyDescent="0.3">
      <c r="B573" s="444" t="s">
        <v>4192</v>
      </c>
      <c r="C573" s="460" t="s">
        <v>1991</v>
      </c>
      <c r="D573" s="454" t="s">
        <v>299</v>
      </c>
      <c r="E573" s="72"/>
      <c r="F573" s="75"/>
    </row>
    <row r="574" spans="2:6" s="82" customFormat="1" ht="15" customHeight="1" outlineLevel="2" x14ac:dyDescent="0.3">
      <c r="B574" s="444" t="s">
        <v>4193</v>
      </c>
      <c r="C574" s="460" t="s">
        <v>1992</v>
      </c>
      <c r="D574" s="454" t="s">
        <v>299</v>
      </c>
      <c r="E574" s="72"/>
      <c r="F574" s="75"/>
    </row>
    <row r="575" spans="2:6" s="82" customFormat="1" ht="15" customHeight="1" outlineLevel="2" x14ac:dyDescent="0.3">
      <c r="B575" s="444" t="s">
        <v>4194</v>
      </c>
      <c r="C575" s="460" t="s">
        <v>1993</v>
      </c>
      <c r="D575" s="454" t="s">
        <v>299</v>
      </c>
      <c r="E575" s="72"/>
      <c r="F575" s="75"/>
    </row>
    <row r="576" spans="2:6" s="82" customFormat="1" ht="15" customHeight="1" outlineLevel="2" x14ac:dyDescent="0.3">
      <c r="B576" s="444" t="s">
        <v>4195</v>
      </c>
      <c r="C576" s="460" t="s">
        <v>1994</v>
      </c>
      <c r="D576" s="454" t="s">
        <v>299</v>
      </c>
      <c r="E576" s="72"/>
      <c r="F576" s="75"/>
    </row>
    <row r="577" spans="2:6" s="82" customFormat="1" ht="15" customHeight="1" outlineLevel="2" x14ac:dyDescent="0.3">
      <c r="B577" s="444" t="s">
        <v>4196</v>
      </c>
      <c r="C577" s="460" t="s">
        <v>1995</v>
      </c>
      <c r="D577" s="454" t="s">
        <v>299</v>
      </c>
      <c r="E577" s="72"/>
      <c r="F577" s="75"/>
    </row>
    <row r="578" spans="2:6" s="82" customFormat="1" ht="15" customHeight="1" outlineLevel="2" x14ac:dyDescent="0.3">
      <c r="B578" s="444" t="s">
        <v>4197</v>
      </c>
      <c r="C578" s="460" t="s">
        <v>1996</v>
      </c>
      <c r="D578" s="454" t="s">
        <v>299</v>
      </c>
      <c r="E578" s="72"/>
      <c r="F578" s="75"/>
    </row>
    <row r="579" spans="2:6" s="82" customFormat="1" ht="15" customHeight="1" outlineLevel="2" x14ac:dyDescent="0.3">
      <c r="B579" s="444" t="s">
        <v>4198</v>
      </c>
      <c r="C579" s="460" t="s">
        <v>1997</v>
      </c>
      <c r="D579" s="454" t="s">
        <v>299</v>
      </c>
      <c r="E579" s="72"/>
      <c r="F579" s="75"/>
    </row>
    <row r="580" spans="2:6" s="82" customFormat="1" ht="15" customHeight="1" outlineLevel="2" x14ac:dyDescent="0.3">
      <c r="B580" s="444" t="s">
        <v>4199</v>
      </c>
      <c r="C580" s="460" t="s">
        <v>1998</v>
      </c>
      <c r="D580" s="454" t="s">
        <v>299</v>
      </c>
      <c r="E580" s="72"/>
      <c r="F580" s="75"/>
    </row>
    <row r="581" spans="2:6" s="82" customFormat="1" ht="15" customHeight="1" outlineLevel="2" x14ac:dyDescent="0.3">
      <c r="B581" s="444" t="s">
        <v>4200</v>
      </c>
      <c r="C581" s="460" t="s">
        <v>1999</v>
      </c>
      <c r="D581" s="454" t="s">
        <v>299</v>
      </c>
      <c r="E581" s="72"/>
      <c r="F581" s="75"/>
    </row>
    <row r="582" spans="2:6" s="82" customFormat="1" ht="15" customHeight="1" outlineLevel="2" x14ac:dyDescent="0.3">
      <c r="B582" s="444" t="s">
        <v>4201</v>
      </c>
      <c r="C582" s="460" t="s">
        <v>2000</v>
      </c>
      <c r="D582" s="454" t="s">
        <v>299</v>
      </c>
      <c r="E582" s="72"/>
      <c r="F582" s="75"/>
    </row>
    <row r="583" spans="2:6" s="82" customFormat="1" ht="15" customHeight="1" outlineLevel="2" x14ac:dyDescent="0.3">
      <c r="B583" s="444" t="s">
        <v>4202</v>
      </c>
      <c r="C583" s="460" t="s">
        <v>2001</v>
      </c>
      <c r="D583" s="454" t="s">
        <v>299</v>
      </c>
      <c r="E583" s="72"/>
      <c r="F583" s="75"/>
    </row>
    <row r="584" spans="2:6" s="82" customFormat="1" ht="15" customHeight="1" outlineLevel="2" x14ac:dyDescent="0.3">
      <c r="B584" s="444" t="s">
        <v>4203</v>
      </c>
      <c r="C584" s="460" t="s">
        <v>2002</v>
      </c>
      <c r="D584" s="454" t="s">
        <v>299</v>
      </c>
      <c r="E584" s="72"/>
      <c r="F584" s="75"/>
    </row>
    <row r="585" spans="2:6" s="10" customFormat="1" ht="15" customHeight="1" outlineLevel="1" x14ac:dyDescent="0.3">
      <c r="B585" s="444" t="s">
        <v>4204</v>
      </c>
      <c r="C585" s="459">
        <v>9.4</v>
      </c>
      <c r="D585" s="453" t="s">
        <v>4661</v>
      </c>
      <c r="E585" s="71">
        <f>SUM(E586:E605)</f>
        <v>0</v>
      </c>
      <c r="F585" s="74">
        <f>SUM(F586:F605)</f>
        <v>0</v>
      </c>
    </row>
    <row r="586" spans="2:6" s="82" customFormat="1" ht="15" customHeight="1" outlineLevel="2" x14ac:dyDescent="0.3">
      <c r="B586" s="444" t="s">
        <v>4205</v>
      </c>
      <c r="C586" s="460" t="s">
        <v>1088</v>
      </c>
      <c r="D586" s="454" t="s">
        <v>299</v>
      </c>
      <c r="E586" s="85"/>
      <c r="F586" s="86"/>
    </row>
    <row r="587" spans="2:6" s="82" customFormat="1" ht="15" customHeight="1" outlineLevel="2" x14ac:dyDescent="0.3">
      <c r="B587" s="444" t="s">
        <v>4206</v>
      </c>
      <c r="C587" s="460" t="s">
        <v>1109</v>
      </c>
      <c r="D587" s="454" t="s">
        <v>299</v>
      </c>
      <c r="E587" s="85"/>
      <c r="F587" s="86"/>
    </row>
    <row r="588" spans="2:6" s="82" customFormat="1" ht="15" customHeight="1" outlineLevel="2" x14ac:dyDescent="0.3">
      <c r="B588" s="444" t="s">
        <v>4207</v>
      </c>
      <c r="C588" s="460" t="s">
        <v>1130</v>
      </c>
      <c r="D588" s="454" t="s">
        <v>299</v>
      </c>
      <c r="E588" s="85"/>
      <c r="F588" s="86"/>
    </row>
    <row r="589" spans="2:6" s="82" customFormat="1" ht="15" customHeight="1" outlineLevel="2" x14ac:dyDescent="0.3">
      <c r="B589" s="444" t="s">
        <v>4208</v>
      </c>
      <c r="C589" s="460" t="s">
        <v>1252</v>
      </c>
      <c r="D589" s="454" t="s">
        <v>299</v>
      </c>
      <c r="E589" s="85"/>
      <c r="F589" s="86"/>
    </row>
    <row r="590" spans="2:6" s="82" customFormat="1" ht="15" customHeight="1" outlineLevel="2" x14ac:dyDescent="0.3">
      <c r="B590" s="444" t="s">
        <v>4209</v>
      </c>
      <c r="C590" s="460" t="s">
        <v>2003</v>
      </c>
      <c r="D590" s="454" t="s">
        <v>299</v>
      </c>
      <c r="E590" s="85"/>
      <c r="F590" s="86"/>
    </row>
    <row r="591" spans="2:6" s="82" customFormat="1" ht="15" customHeight="1" outlineLevel="2" x14ac:dyDescent="0.3">
      <c r="B591" s="444" t="s">
        <v>4210</v>
      </c>
      <c r="C591" s="460" t="s">
        <v>2004</v>
      </c>
      <c r="D591" s="454" t="s">
        <v>299</v>
      </c>
      <c r="E591" s="85"/>
      <c r="F591" s="86"/>
    </row>
    <row r="592" spans="2:6" s="82" customFormat="1" ht="15" customHeight="1" outlineLevel="2" x14ac:dyDescent="0.3">
      <c r="B592" s="444" t="s">
        <v>4211</v>
      </c>
      <c r="C592" s="460" t="s">
        <v>2005</v>
      </c>
      <c r="D592" s="454" t="s">
        <v>299</v>
      </c>
      <c r="E592" s="85"/>
      <c r="F592" s="86"/>
    </row>
    <row r="593" spans="2:9" s="82" customFormat="1" ht="15" customHeight="1" outlineLevel="2" x14ac:dyDescent="0.3">
      <c r="B593" s="444" t="s">
        <v>4212</v>
      </c>
      <c r="C593" s="460" t="s">
        <v>2006</v>
      </c>
      <c r="D593" s="454" t="s">
        <v>299</v>
      </c>
      <c r="E593" s="85"/>
      <c r="F593" s="86"/>
    </row>
    <row r="594" spans="2:9" s="82" customFormat="1" ht="15" customHeight="1" outlineLevel="2" x14ac:dyDescent="0.3">
      <c r="B594" s="444" t="s">
        <v>4213</v>
      </c>
      <c r="C594" s="460" t="s">
        <v>2007</v>
      </c>
      <c r="D594" s="454" t="s">
        <v>299</v>
      </c>
      <c r="E594" s="85"/>
      <c r="F594" s="86"/>
    </row>
    <row r="595" spans="2:9" s="82" customFormat="1" ht="15" customHeight="1" outlineLevel="2" x14ac:dyDescent="0.3">
      <c r="B595" s="444" t="s">
        <v>4214</v>
      </c>
      <c r="C595" s="460" t="s">
        <v>2008</v>
      </c>
      <c r="D595" s="454" t="s">
        <v>299</v>
      </c>
      <c r="E595" s="85"/>
      <c r="F595" s="86"/>
    </row>
    <row r="596" spans="2:9" s="82" customFormat="1" ht="15" customHeight="1" outlineLevel="2" x14ac:dyDescent="0.3">
      <c r="B596" s="444" t="s">
        <v>4215</v>
      </c>
      <c r="C596" s="460" t="s">
        <v>2009</v>
      </c>
      <c r="D596" s="454" t="s">
        <v>299</v>
      </c>
      <c r="E596" s="85"/>
      <c r="F596" s="86"/>
    </row>
    <row r="597" spans="2:9" s="82" customFormat="1" ht="15" customHeight="1" outlineLevel="2" x14ac:dyDescent="0.3">
      <c r="B597" s="444" t="s">
        <v>4216</v>
      </c>
      <c r="C597" s="460" t="s">
        <v>2010</v>
      </c>
      <c r="D597" s="454" t="s">
        <v>299</v>
      </c>
      <c r="E597" s="85"/>
      <c r="F597" s="86"/>
    </row>
    <row r="598" spans="2:9" s="82" customFormat="1" ht="15" customHeight="1" outlineLevel="2" x14ac:dyDescent="0.3">
      <c r="B598" s="444" t="s">
        <v>4217</v>
      </c>
      <c r="C598" s="460" t="s">
        <v>2011</v>
      </c>
      <c r="D598" s="454" t="s">
        <v>299</v>
      </c>
      <c r="E598" s="85"/>
      <c r="F598" s="86"/>
    </row>
    <row r="599" spans="2:9" s="82" customFormat="1" ht="15" customHeight="1" outlineLevel="2" x14ac:dyDescent="0.3">
      <c r="B599" s="444" t="s">
        <v>4218</v>
      </c>
      <c r="C599" s="460" t="s">
        <v>2012</v>
      </c>
      <c r="D599" s="454" t="s">
        <v>299</v>
      </c>
      <c r="E599" s="85"/>
      <c r="F599" s="86"/>
    </row>
    <row r="600" spans="2:9" s="82" customFormat="1" ht="15" customHeight="1" outlineLevel="2" x14ac:dyDescent="0.3">
      <c r="B600" s="444" t="s">
        <v>4219</v>
      </c>
      <c r="C600" s="460" t="s">
        <v>2013</v>
      </c>
      <c r="D600" s="454" t="s">
        <v>299</v>
      </c>
      <c r="E600" s="85"/>
      <c r="F600" s="86"/>
    </row>
    <row r="601" spans="2:9" s="82" customFormat="1" ht="15" customHeight="1" outlineLevel="2" x14ac:dyDescent="0.3">
      <c r="B601" s="444" t="s">
        <v>4220</v>
      </c>
      <c r="C601" s="460" t="s">
        <v>2014</v>
      </c>
      <c r="D601" s="454" t="s">
        <v>299</v>
      </c>
      <c r="E601" s="85"/>
      <c r="F601" s="86"/>
    </row>
    <row r="602" spans="2:9" s="82" customFormat="1" ht="15" customHeight="1" outlineLevel="2" x14ac:dyDescent="0.3">
      <c r="B602" s="444" t="s">
        <v>4221</v>
      </c>
      <c r="C602" s="460" t="s">
        <v>2015</v>
      </c>
      <c r="D602" s="454" t="s">
        <v>299</v>
      </c>
      <c r="E602" s="85"/>
      <c r="F602" s="86"/>
    </row>
    <row r="603" spans="2:9" s="82" customFormat="1" ht="15" customHeight="1" outlineLevel="2" x14ac:dyDescent="0.3">
      <c r="B603" s="444" t="s">
        <v>4222</v>
      </c>
      <c r="C603" s="460" t="s">
        <v>2016</v>
      </c>
      <c r="D603" s="454" t="s">
        <v>299</v>
      </c>
      <c r="E603" s="85"/>
      <c r="F603" s="86"/>
    </row>
    <row r="604" spans="2:9" s="82" customFormat="1" ht="15" customHeight="1" outlineLevel="2" x14ac:dyDescent="0.3">
      <c r="B604" s="444" t="s">
        <v>4223</v>
      </c>
      <c r="C604" s="460" t="s">
        <v>2017</v>
      </c>
      <c r="D604" s="454" t="s">
        <v>299</v>
      </c>
      <c r="E604" s="85"/>
      <c r="F604" s="86"/>
    </row>
    <row r="605" spans="2:9" s="82" customFormat="1" ht="15" customHeight="1" outlineLevel="2" x14ac:dyDescent="0.3">
      <c r="B605" s="444" t="s">
        <v>4224</v>
      </c>
      <c r="C605" s="460" t="s">
        <v>2018</v>
      </c>
      <c r="D605" s="454" t="s">
        <v>299</v>
      </c>
      <c r="E605" s="85"/>
      <c r="F605" s="86"/>
    </row>
    <row r="606" spans="2:9" s="82" customFormat="1" ht="15" customHeight="1" x14ac:dyDescent="0.3">
      <c r="B606" s="444" t="s">
        <v>4225</v>
      </c>
      <c r="C606" s="461">
        <v>10</v>
      </c>
      <c r="D606" s="455" t="s">
        <v>307</v>
      </c>
      <c r="E606" s="70">
        <f>E607+E628+E649+E670</f>
        <v>0</v>
      </c>
      <c r="F606" s="73">
        <f>F607+F628+F649+F670</f>
        <v>0</v>
      </c>
      <c r="H606" s="50"/>
      <c r="I606" s="50"/>
    </row>
    <row r="607" spans="2:9" s="10" customFormat="1" ht="15" customHeight="1" outlineLevel="1" x14ac:dyDescent="0.3">
      <c r="B607" s="466" t="s">
        <v>4226</v>
      </c>
      <c r="C607" s="462">
        <v>10.1</v>
      </c>
      <c r="D607" s="456" t="s">
        <v>303</v>
      </c>
      <c r="E607" s="448">
        <f>SUM(E608:E627)</f>
        <v>0</v>
      </c>
      <c r="F607" s="449">
        <f>SUM(F608:F627)</f>
        <v>0</v>
      </c>
    </row>
    <row r="608" spans="2:9" s="82" customFormat="1" ht="15" customHeight="1" outlineLevel="2" x14ac:dyDescent="0.3">
      <c r="B608" s="444" t="s">
        <v>4227</v>
      </c>
      <c r="C608" s="460" t="s">
        <v>2019</v>
      </c>
      <c r="D608" s="454" t="s">
        <v>299</v>
      </c>
      <c r="E608" s="72"/>
      <c r="F608" s="75"/>
    </row>
    <row r="609" spans="2:6" s="82" customFormat="1" ht="15" customHeight="1" outlineLevel="2" x14ac:dyDescent="0.3">
      <c r="B609" s="444" t="s">
        <v>4228</v>
      </c>
      <c r="C609" s="460" t="s">
        <v>2020</v>
      </c>
      <c r="D609" s="454" t="s">
        <v>299</v>
      </c>
      <c r="E609" s="72"/>
      <c r="F609" s="75"/>
    </row>
    <row r="610" spans="2:6" s="82" customFormat="1" ht="15" customHeight="1" outlineLevel="2" x14ac:dyDescent="0.3">
      <c r="B610" s="444" t="s">
        <v>4229</v>
      </c>
      <c r="C610" s="460" t="s">
        <v>2021</v>
      </c>
      <c r="D610" s="454" t="s">
        <v>299</v>
      </c>
      <c r="E610" s="72"/>
      <c r="F610" s="75"/>
    </row>
    <row r="611" spans="2:6" s="82" customFormat="1" ht="15" customHeight="1" outlineLevel="2" x14ac:dyDescent="0.3">
      <c r="B611" s="444" t="s">
        <v>4230</v>
      </c>
      <c r="C611" s="460" t="s">
        <v>2022</v>
      </c>
      <c r="D611" s="454" t="s">
        <v>299</v>
      </c>
      <c r="E611" s="72"/>
      <c r="F611" s="75"/>
    </row>
    <row r="612" spans="2:6" s="82" customFormat="1" ht="15" customHeight="1" outlineLevel="2" x14ac:dyDescent="0.3">
      <c r="B612" s="444" t="s">
        <v>4231</v>
      </c>
      <c r="C612" s="460" t="s">
        <v>2023</v>
      </c>
      <c r="D612" s="454" t="s">
        <v>299</v>
      </c>
      <c r="E612" s="72"/>
      <c r="F612" s="75"/>
    </row>
    <row r="613" spans="2:6" s="82" customFormat="1" ht="15" customHeight="1" outlineLevel="2" x14ac:dyDescent="0.3">
      <c r="B613" s="444" t="s">
        <v>4232</v>
      </c>
      <c r="C613" s="460" t="s">
        <v>2024</v>
      </c>
      <c r="D613" s="454" t="s">
        <v>299</v>
      </c>
      <c r="E613" s="72"/>
      <c r="F613" s="75"/>
    </row>
    <row r="614" spans="2:6" s="82" customFormat="1" ht="15" customHeight="1" outlineLevel="2" x14ac:dyDescent="0.3">
      <c r="B614" s="444" t="s">
        <v>4233</v>
      </c>
      <c r="C614" s="460" t="s">
        <v>2025</v>
      </c>
      <c r="D614" s="454" t="s">
        <v>299</v>
      </c>
      <c r="E614" s="72"/>
      <c r="F614" s="75"/>
    </row>
    <row r="615" spans="2:6" s="82" customFormat="1" ht="15" customHeight="1" outlineLevel="2" x14ac:dyDescent="0.3">
      <c r="B615" s="444" t="s">
        <v>4234</v>
      </c>
      <c r="C615" s="460" t="s">
        <v>2026</v>
      </c>
      <c r="D615" s="454" t="s">
        <v>299</v>
      </c>
      <c r="E615" s="72"/>
      <c r="F615" s="75"/>
    </row>
    <row r="616" spans="2:6" s="82" customFormat="1" ht="15" customHeight="1" outlineLevel="2" x14ac:dyDescent="0.3">
      <c r="B616" s="444" t="s">
        <v>4235</v>
      </c>
      <c r="C616" s="460" t="s">
        <v>2027</v>
      </c>
      <c r="D616" s="454" t="s">
        <v>299</v>
      </c>
      <c r="E616" s="72"/>
      <c r="F616" s="75"/>
    </row>
    <row r="617" spans="2:6" s="82" customFormat="1" ht="15" customHeight="1" outlineLevel="2" x14ac:dyDescent="0.3">
      <c r="B617" s="444" t="s">
        <v>4236</v>
      </c>
      <c r="C617" s="460" t="s">
        <v>2028</v>
      </c>
      <c r="D617" s="454" t="s">
        <v>299</v>
      </c>
      <c r="E617" s="72"/>
      <c r="F617" s="75"/>
    </row>
    <row r="618" spans="2:6" s="82" customFormat="1" ht="15" customHeight="1" outlineLevel="2" x14ac:dyDescent="0.3">
      <c r="B618" s="444" t="s">
        <v>4237</v>
      </c>
      <c r="C618" s="460" t="s">
        <v>2029</v>
      </c>
      <c r="D618" s="454" t="s">
        <v>299</v>
      </c>
      <c r="E618" s="72"/>
      <c r="F618" s="75"/>
    </row>
    <row r="619" spans="2:6" s="82" customFormat="1" ht="15" customHeight="1" outlineLevel="2" x14ac:dyDescent="0.3">
      <c r="B619" s="444" t="s">
        <v>4238</v>
      </c>
      <c r="C619" s="460" t="s">
        <v>2030</v>
      </c>
      <c r="D619" s="454" t="s">
        <v>299</v>
      </c>
      <c r="E619" s="72"/>
      <c r="F619" s="75"/>
    </row>
    <row r="620" spans="2:6" s="82" customFormat="1" ht="15" customHeight="1" outlineLevel="2" x14ac:dyDescent="0.3">
      <c r="B620" s="444" t="s">
        <v>4239</v>
      </c>
      <c r="C620" s="460" t="s">
        <v>2031</v>
      </c>
      <c r="D620" s="454" t="s">
        <v>299</v>
      </c>
      <c r="E620" s="72"/>
      <c r="F620" s="75"/>
    </row>
    <row r="621" spans="2:6" s="82" customFormat="1" ht="15" customHeight="1" outlineLevel="2" x14ac:dyDescent="0.3">
      <c r="B621" s="444" t="s">
        <v>4240</v>
      </c>
      <c r="C621" s="460" t="s">
        <v>2032</v>
      </c>
      <c r="D621" s="454" t="s">
        <v>299</v>
      </c>
      <c r="E621" s="72"/>
      <c r="F621" s="75"/>
    </row>
    <row r="622" spans="2:6" s="82" customFormat="1" ht="15" customHeight="1" outlineLevel="2" x14ac:dyDescent="0.3">
      <c r="B622" s="444" t="s">
        <v>4241</v>
      </c>
      <c r="C622" s="460" t="s">
        <v>2033</v>
      </c>
      <c r="D622" s="454" t="s">
        <v>299</v>
      </c>
      <c r="E622" s="72"/>
      <c r="F622" s="75"/>
    </row>
    <row r="623" spans="2:6" s="82" customFormat="1" ht="15" customHeight="1" outlineLevel="2" x14ac:dyDescent="0.3">
      <c r="B623" s="444" t="s">
        <v>4242</v>
      </c>
      <c r="C623" s="460" t="s">
        <v>2034</v>
      </c>
      <c r="D623" s="454" t="s">
        <v>299</v>
      </c>
      <c r="E623" s="72"/>
      <c r="F623" s="75"/>
    </row>
    <row r="624" spans="2:6" s="82" customFormat="1" ht="15" customHeight="1" outlineLevel="2" x14ac:dyDescent="0.3">
      <c r="B624" s="444" t="s">
        <v>4243</v>
      </c>
      <c r="C624" s="460" t="s">
        <v>2035</v>
      </c>
      <c r="D624" s="454" t="s">
        <v>299</v>
      </c>
      <c r="E624" s="72"/>
      <c r="F624" s="75"/>
    </row>
    <row r="625" spans="2:6" s="82" customFormat="1" ht="15" customHeight="1" outlineLevel="2" x14ac:dyDescent="0.3">
      <c r="B625" s="444" t="s">
        <v>4244</v>
      </c>
      <c r="C625" s="460" t="s">
        <v>2036</v>
      </c>
      <c r="D625" s="454" t="s">
        <v>299</v>
      </c>
      <c r="E625" s="72"/>
      <c r="F625" s="75"/>
    </row>
    <row r="626" spans="2:6" s="82" customFormat="1" ht="15" customHeight="1" outlineLevel="2" x14ac:dyDescent="0.3">
      <c r="B626" s="444" t="s">
        <v>4245</v>
      </c>
      <c r="C626" s="460" t="s">
        <v>2037</v>
      </c>
      <c r="D626" s="454" t="s">
        <v>299</v>
      </c>
      <c r="E626" s="72"/>
      <c r="F626" s="75"/>
    </row>
    <row r="627" spans="2:6" s="82" customFormat="1" ht="15" customHeight="1" outlineLevel="2" x14ac:dyDescent="0.3">
      <c r="B627" s="444" t="s">
        <v>4246</v>
      </c>
      <c r="C627" s="460" t="s">
        <v>2038</v>
      </c>
      <c r="D627" s="454" t="s">
        <v>299</v>
      </c>
      <c r="E627" s="72"/>
      <c r="F627" s="75"/>
    </row>
    <row r="628" spans="2:6" s="10" customFormat="1" ht="15" customHeight="1" outlineLevel="1" x14ac:dyDescent="0.3">
      <c r="B628" s="444" t="s">
        <v>4247</v>
      </c>
      <c r="C628" s="459">
        <v>10.199999999999999</v>
      </c>
      <c r="D628" s="453" t="s">
        <v>4660</v>
      </c>
      <c r="E628" s="71">
        <f>SUM(E629:E648)</f>
        <v>0</v>
      </c>
      <c r="F628" s="74">
        <f>SUM(F629:F648)</f>
        <v>0</v>
      </c>
    </row>
    <row r="629" spans="2:6" s="82" customFormat="1" ht="15" customHeight="1" outlineLevel="2" x14ac:dyDescent="0.3">
      <c r="B629" s="444" t="s">
        <v>4248</v>
      </c>
      <c r="C629" s="460" t="s">
        <v>1313</v>
      </c>
      <c r="D629" s="454" t="s">
        <v>299</v>
      </c>
      <c r="E629" s="85"/>
      <c r="F629" s="86"/>
    </row>
    <row r="630" spans="2:6" s="82" customFormat="1" ht="15" customHeight="1" outlineLevel="2" x14ac:dyDescent="0.3">
      <c r="B630" s="444" t="s">
        <v>4249</v>
      </c>
      <c r="C630" s="460" t="s">
        <v>1334</v>
      </c>
      <c r="D630" s="454" t="s">
        <v>299</v>
      </c>
      <c r="E630" s="85"/>
      <c r="F630" s="86"/>
    </row>
    <row r="631" spans="2:6" s="82" customFormat="1" ht="15" customHeight="1" outlineLevel="2" x14ac:dyDescent="0.3">
      <c r="B631" s="444" t="s">
        <v>4250</v>
      </c>
      <c r="C631" s="460" t="s">
        <v>1355</v>
      </c>
      <c r="D631" s="454" t="s">
        <v>299</v>
      </c>
      <c r="E631" s="85"/>
      <c r="F631" s="86"/>
    </row>
    <row r="632" spans="2:6" s="82" customFormat="1" ht="15" customHeight="1" outlineLevel="2" x14ac:dyDescent="0.3">
      <c r="B632" s="444" t="s">
        <v>4251</v>
      </c>
      <c r="C632" s="460" t="s">
        <v>1376</v>
      </c>
      <c r="D632" s="454" t="s">
        <v>299</v>
      </c>
      <c r="E632" s="85"/>
      <c r="F632" s="86"/>
    </row>
    <row r="633" spans="2:6" s="82" customFormat="1" ht="15" customHeight="1" outlineLevel="2" x14ac:dyDescent="0.3">
      <c r="B633" s="444" t="s">
        <v>4252</v>
      </c>
      <c r="C633" s="460" t="s">
        <v>2039</v>
      </c>
      <c r="D633" s="454" t="s">
        <v>299</v>
      </c>
      <c r="E633" s="85"/>
      <c r="F633" s="86"/>
    </row>
    <row r="634" spans="2:6" s="82" customFormat="1" ht="15" customHeight="1" outlineLevel="2" x14ac:dyDescent="0.3">
      <c r="B634" s="444" t="s">
        <v>4253</v>
      </c>
      <c r="C634" s="460" t="s">
        <v>2040</v>
      </c>
      <c r="D634" s="454" t="s">
        <v>299</v>
      </c>
      <c r="E634" s="85"/>
      <c r="F634" s="86"/>
    </row>
    <row r="635" spans="2:6" s="82" customFormat="1" ht="15" customHeight="1" outlineLevel="2" x14ac:dyDescent="0.3">
      <c r="B635" s="444" t="s">
        <v>4254</v>
      </c>
      <c r="C635" s="460" t="s">
        <v>2041</v>
      </c>
      <c r="D635" s="454" t="s">
        <v>299</v>
      </c>
      <c r="E635" s="85"/>
      <c r="F635" s="86"/>
    </row>
    <row r="636" spans="2:6" s="82" customFormat="1" ht="15" customHeight="1" outlineLevel="2" x14ac:dyDescent="0.3">
      <c r="B636" s="444" t="s">
        <v>4255</v>
      </c>
      <c r="C636" s="460" t="s">
        <v>2042</v>
      </c>
      <c r="D636" s="454" t="s">
        <v>299</v>
      </c>
      <c r="E636" s="85"/>
      <c r="F636" s="86"/>
    </row>
    <row r="637" spans="2:6" s="82" customFormat="1" ht="15" customHeight="1" outlineLevel="2" x14ac:dyDescent="0.3">
      <c r="B637" s="444" t="s">
        <v>4256</v>
      </c>
      <c r="C637" s="460" t="s">
        <v>2043</v>
      </c>
      <c r="D637" s="454" t="s">
        <v>299</v>
      </c>
      <c r="E637" s="85"/>
      <c r="F637" s="86"/>
    </row>
    <row r="638" spans="2:6" s="82" customFormat="1" ht="15" customHeight="1" outlineLevel="2" x14ac:dyDescent="0.3">
      <c r="B638" s="444" t="s">
        <v>4257</v>
      </c>
      <c r="C638" s="460" t="s">
        <v>2044</v>
      </c>
      <c r="D638" s="454" t="s">
        <v>299</v>
      </c>
      <c r="E638" s="85"/>
      <c r="F638" s="86"/>
    </row>
    <row r="639" spans="2:6" s="82" customFormat="1" ht="15" customHeight="1" outlineLevel="2" x14ac:dyDescent="0.3">
      <c r="B639" s="444" t="s">
        <v>4258</v>
      </c>
      <c r="C639" s="460" t="s">
        <v>2045</v>
      </c>
      <c r="D639" s="454" t="s">
        <v>299</v>
      </c>
      <c r="E639" s="85"/>
      <c r="F639" s="86"/>
    </row>
    <row r="640" spans="2:6" s="82" customFormat="1" ht="15" customHeight="1" outlineLevel="2" x14ac:dyDescent="0.3">
      <c r="B640" s="444" t="s">
        <v>4259</v>
      </c>
      <c r="C640" s="460" t="s">
        <v>2046</v>
      </c>
      <c r="D640" s="454" t="s">
        <v>299</v>
      </c>
      <c r="E640" s="85"/>
      <c r="F640" s="86"/>
    </row>
    <row r="641" spans="2:6" s="82" customFormat="1" ht="15" customHeight="1" outlineLevel="2" x14ac:dyDescent="0.3">
      <c r="B641" s="444" t="s">
        <v>4260</v>
      </c>
      <c r="C641" s="460" t="s">
        <v>2047</v>
      </c>
      <c r="D641" s="454" t="s">
        <v>299</v>
      </c>
      <c r="E641" s="85"/>
      <c r="F641" s="86"/>
    </row>
    <row r="642" spans="2:6" s="82" customFormat="1" ht="15" customHeight="1" outlineLevel="2" x14ac:dyDescent="0.3">
      <c r="B642" s="444" t="s">
        <v>4261</v>
      </c>
      <c r="C642" s="460" t="s">
        <v>2048</v>
      </c>
      <c r="D642" s="454" t="s">
        <v>299</v>
      </c>
      <c r="E642" s="85"/>
      <c r="F642" s="86"/>
    </row>
    <row r="643" spans="2:6" s="82" customFormat="1" ht="15" customHeight="1" outlineLevel="2" x14ac:dyDescent="0.3">
      <c r="B643" s="444" t="s">
        <v>4262</v>
      </c>
      <c r="C643" s="460" t="s">
        <v>2049</v>
      </c>
      <c r="D643" s="454" t="s">
        <v>299</v>
      </c>
      <c r="E643" s="85"/>
      <c r="F643" s="86"/>
    </row>
    <row r="644" spans="2:6" s="82" customFormat="1" ht="15" customHeight="1" outlineLevel="2" x14ac:dyDescent="0.3">
      <c r="B644" s="444" t="s">
        <v>4263</v>
      </c>
      <c r="C644" s="460" t="s">
        <v>2050</v>
      </c>
      <c r="D644" s="454" t="s">
        <v>299</v>
      </c>
      <c r="E644" s="85"/>
      <c r="F644" s="86"/>
    </row>
    <row r="645" spans="2:6" s="82" customFormat="1" ht="15" customHeight="1" outlineLevel="2" x14ac:dyDescent="0.3">
      <c r="B645" s="444" t="s">
        <v>4264</v>
      </c>
      <c r="C645" s="460" t="s">
        <v>2051</v>
      </c>
      <c r="D645" s="454" t="s">
        <v>299</v>
      </c>
      <c r="E645" s="85"/>
      <c r="F645" s="86"/>
    </row>
    <row r="646" spans="2:6" s="82" customFormat="1" ht="15" customHeight="1" outlineLevel="2" x14ac:dyDescent="0.3">
      <c r="B646" s="444" t="s">
        <v>4265</v>
      </c>
      <c r="C646" s="460" t="s">
        <v>2052</v>
      </c>
      <c r="D646" s="454" t="s">
        <v>299</v>
      </c>
      <c r="E646" s="85"/>
      <c r="F646" s="86"/>
    </row>
    <row r="647" spans="2:6" s="82" customFormat="1" ht="15" customHeight="1" outlineLevel="2" x14ac:dyDescent="0.3">
      <c r="B647" s="444" t="s">
        <v>4266</v>
      </c>
      <c r="C647" s="460" t="s">
        <v>2053</v>
      </c>
      <c r="D647" s="454" t="s">
        <v>299</v>
      </c>
      <c r="E647" s="85"/>
      <c r="F647" s="86"/>
    </row>
    <row r="648" spans="2:6" s="82" customFormat="1" ht="15" customHeight="1" outlineLevel="2" x14ac:dyDescent="0.3">
      <c r="B648" s="444" t="s">
        <v>4267</v>
      </c>
      <c r="C648" s="460" t="s">
        <v>2054</v>
      </c>
      <c r="D648" s="454" t="s">
        <v>299</v>
      </c>
      <c r="E648" s="85"/>
      <c r="F648" s="86"/>
    </row>
    <row r="649" spans="2:6" s="10" customFormat="1" ht="15" customHeight="1" outlineLevel="1" x14ac:dyDescent="0.3">
      <c r="B649" s="444" t="s">
        <v>4268</v>
      </c>
      <c r="C649" s="459">
        <v>10.3</v>
      </c>
      <c r="D649" s="453" t="s">
        <v>304</v>
      </c>
      <c r="E649" s="71">
        <f>SUM(E650:E669)</f>
        <v>0</v>
      </c>
      <c r="F649" s="74">
        <f>SUM(F650:F669)</f>
        <v>0</v>
      </c>
    </row>
    <row r="650" spans="2:6" s="82" customFormat="1" ht="15" customHeight="1" outlineLevel="2" x14ac:dyDescent="0.3">
      <c r="B650" s="444" t="s">
        <v>4269</v>
      </c>
      <c r="C650" s="460" t="s">
        <v>1397</v>
      </c>
      <c r="D650" s="454" t="s">
        <v>299</v>
      </c>
      <c r="E650" s="72"/>
      <c r="F650" s="75"/>
    </row>
    <row r="651" spans="2:6" s="82" customFormat="1" ht="15" customHeight="1" outlineLevel="2" x14ac:dyDescent="0.3">
      <c r="B651" s="444" t="s">
        <v>4270</v>
      </c>
      <c r="C651" s="460" t="s">
        <v>381</v>
      </c>
      <c r="D651" s="454" t="s">
        <v>299</v>
      </c>
      <c r="E651" s="72"/>
      <c r="F651" s="75"/>
    </row>
    <row r="652" spans="2:6" s="82" customFormat="1" ht="15" customHeight="1" outlineLevel="2" x14ac:dyDescent="0.3">
      <c r="B652" s="444" t="s">
        <v>4271</v>
      </c>
      <c r="C652" s="460" t="s">
        <v>382</v>
      </c>
      <c r="D652" s="454" t="s">
        <v>299</v>
      </c>
      <c r="E652" s="72"/>
      <c r="F652" s="75"/>
    </row>
    <row r="653" spans="2:6" s="82" customFormat="1" ht="15" customHeight="1" outlineLevel="2" x14ac:dyDescent="0.3">
      <c r="B653" s="444" t="s">
        <v>4272</v>
      </c>
      <c r="C653" s="460" t="s">
        <v>383</v>
      </c>
      <c r="D653" s="454" t="s">
        <v>299</v>
      </c>
      <c r="E653" s="72"/>
      <c r="F653" s="75"/>
    </row>
    <row r="654" spans="2:6" s="82" customFormat="1" ht="15" customHeight="1" outlineLevel="2" x14ac:dyDescent="0.3">
      <c r="B654" s="444" t="s">
        <v>4273</v>
      </c>
      <c r="C654" s="460" t="s">
        <v>384</v>
      </c>
      <c r="D654" s="454" t="s">
        <v>299</v>
      </c>
      <c r="E654" s="72"/>
      <c r="F654" s="75"/>
    </row>
    <row r="655" spans="2:6" s="82" customFormat="1" ht="15" customHeight="1" outlineLevel="2" x14ac:dyDescent="0.3">
      <c r="B655" s="444" t="s">
        <v>4274</v>
      </c>
      <c r="C655" s="460" t="s">
        <v>385</v>
      </c>
      <c r="D655" s="454" t="s">
        <v>299</v>
      </c>
      <c r="E655" s="72"/>
      <c r="F655" s="75"/>
    </row>
    <row r="656" spans="2:6" s="82" customFormat="1" ht="15" customHeight="1" outlineLevel="2" x14ac:dyDescent="0.3">
      <c r="B656" s="444" t="s">
        <v>4275</v>
      </c>
      <c r="C656" s="460" t="s">
        <v>386</v>
      </c>
      <c r="D656" s="454" t="s">
        <v>299</v>
      </c>
      <c r="E656" s="72"/>
      <c r="F656" s="75"/>
    </row>
    <row r="657" spans="2:6" s="82" customFormat="1" ht="15" customHeight="1" outlineLevel="2" x14ac:dyDescent="0.3">
      <c r="B657" s="444" t="s">
        <v>4276</v>
      </c>
      <c r="C657" s="460" t="s">
        <v>387</v>
      </c>
      <c r="D657" s="454" t="s">
        <v>299</v>
      </c>
      <c r="E657" s="72"/>
      <c r="F657" s="75"/>
    </row>
    <row r="658" spans="2:6" s="82" customFormat="1" ht="15" customHeight="1" outlineLevel="2" x14ac:dyDescent="0.3">
      <c r="B658" s="444" t="s">
        <v>4277</v>
      </c>
      <c r="C658" s="460" t="s">
        <v>388</v>
      </c>
      <c r="D658" s="454" t="s">
        <v>299</v>
      </c>
      <c r="E658" s="72"/>
      <c r="F658" s="75"/>
    </row>
    <row r="659" spans="2:6" s="82" customFormat="1" ht="15" customHeight="1" outlineLevel="2" x14ac:dyDescent="0.3">
      <c r="B659" s="444" t="s">
        <v>4278</v>
      </c>
      <c r="C659" s="460" t="s">
        <v>389</v>
      </c>
      <c r="D659" s="454" t="s">
        <v>299</v>
      </c>
      <c r="E659" s="72"/>
      <c r="F659" s="75"/>
    </row>
    <row r="660" spans="2:6" s="82" customFormat="1" ht="15" customHeight="1" outlineLevel="2" x14ac:dyDescent="0.3">
      <c r="B660" s="444" t="s">
        <v>4279</v>
      </c>
      <c r="C660" s="460" t="s">
        <v>390</v>
      </c>
      <c r="D660" s="454" t="s">
        <v>299</v>
      </c>
      <c r="E660" s="72"/>
      <c r="F660" s="75"/>
    </row>
    <row r="661" spans="2:6" s="82" customFormat="1" ht="15" customHeight="1" outlineLevel="2" x14ac:dyDescent="0.3">
      <c r="B661" s="444" t="s">
        <v>4280</v>
      </c>
      <c r="C661" s="460" t="s">
        <v>391</v>
      </c>
      <c r="D661" s="454" t="s">
        <v>299</v>
      </c>
      <c r="E661" s="72"/>
      <c r="F661" s="75"/>
    </row>
    <row r="662" spans="2:6" s="82" customFormat="1" ht="15" customHeight="1" outlineLevel="2" x14ac:dyDescent="0.3">
      <c r="B662" s="444" t="s">
        <v>4281</v>
      </c>
      <c r="C662" s="460" t="s">
        <v>392</v>
      </c>
      <c r="D662" s="454" t="s">
        <v>299</v>
      </c>
      <c r="E662" s="72"/>
      <c r="F662" s="75"/>
    </row>
    <row r="663" spans="2:6" s="82" customFormat="1" ht="15" customHeight="1" outlineLevel="2" x14ac:dyDescent="0.3">
      <c r="B663" s="444" t="s">
        <v>4282</v>
      </c>
      <c r="C663" s="460" t="s">
        <v>393</v>
      </c>
      <c r="D663" s="454" t="s">
        <v>299</v>
      </c>
      <c r="E663" s="72"/>
      <c r="F663" s="75"/>
    </row>
    <row r="664" spans="2:6" s="82" customFormat="1" ht="15" customHeight="1" outlineLevel="2" x14ac:dyDescent="0.3">
      <c r="B664" s="444" t="s">
        <v>4283</v>
      </c>
      <c r="C664" s="460" t="s">
        <v>394</v>
      </c>
      <c r="D664" s="454" t="s">
        <v>299</v>
      </c>
      <c r="E664" s="72"/>
      <c r="F664" s="75"/>
    </row>
    <row r="665" spans="2:6" s="82" customFormat="1" ht="15" customHeight="1" outlineLevel="2" x14ac:dyDescent="0.3">
      <c r="B665" s="444" t="s">
        <v>4284</v>
      </c>
      <c r="C665" s="460" t="s">
        <v>395</v>
      </c>
      <c r="D665" s="454" t="s">
        <v>299</v>
      </c>
      <c r="E665" s="72"/>
      <c r="F665" s="75"/>
    </row>
    <row r="666" spans="2:6" s="82" customFormat="1" ht="15" customHeight="1" outlineLevel="2" x14ac:dyDescent="0.3">
      <c r="B666" s="444" t="s">
        <v>4285</v>
      </c>
      <c r="C666" s="460" t="s">
        <v>396</v>
      </c>
      <c r="D666" s="454" t="s">
        <v>299</v>
      </c>
      <c r="E666" s="72"/>
      <c r="F666" s="75"/>
    </row>
    <row r="667" spans="2:6" s="82" customFormat="1" ht="15" customHeight="1" outlineLevel="2" x14ac:dyDescent="0.3">
      <c r="B667" s="444" t="s">
        <v>4286</v>
      </c>
      <c r="C667" s="460" t="s">
        <v>397</v>
      </c>
      <c r="D667" s="454" t="s">
        <v>299</v>
      </c>
      <c r="E667" s="72"/>
      <c r="F667" s="75"/>
    </row>
    <row r="668" spans="2:6" s="82" customFormat="1" ht="15" customHeight="1" outlineLevel="2" x14ac:dyDescent="0.3">
      <c r="B668" s="444" t="s">
        <v>4287</v>
      </c>
      <c r="C668" s="460" t="s">
        <v>398</v>
      </c>
      <c r="D668" s="454" t="s">
        <v>299</v>
      </c>
      <c r="E668" s="72"/>
      <c r="F668" s="75"/>
    </row>
    <row r="669" spans="2:6" s="82" customFormat="1" ht="15" customHeight="1" outlineLevel="2" x14ac:dyDescent="0.3">
      <c r="B669" s="444" t="s">
        <v>4288</v>
      </c>
      <c r="C669" s="460" t="s">
        <v>399</v>
      </c>
      <c r="D669" s="454" t="s">
        <v>299</v>
      </c>
      <c r="E669" s="72"/>
      <c r="F669" s="75"/>
    </row>
    <row r="670" spans="2:6" s="10" customFormat="1" ht="15" customHeight="1" outlineLevel="1" x14ac:dyDescent="0.3">
      <c r="B670" s="444" t="s">
        <v>4289</v>
      </c>
      <c r="C670" s="459">
        <v>10.4</v>
      </c>
      <c r="D670" s="453" t="s">
        <v>4661</v>
      </c>
      <c r="E670" s="71">
        <f>SUM(E671:E690)</f>
        <v>0</v>
      </c>
      <c r="F670" s="74">
        <f>SUM(F671:F690)</f>
        <v>0</v>
      </c>
    </row>
    <row r="671" spans="2:6" s="82" customFormat="1" ht="15" customHeight="1" outlineLevel="2" x14ac:dyDescent="0.3">
      <c r="B671" s="444" t="s">
        <v>4290</v>
      </c>
      <c r="C671" s="460" t="s">
        <v>1478</v>
      </c>
      <c r="D671" s="454" t="s">
        <v>299</v>
      </c>
      <c r="E671" s="85"/>
      <c r="F671" s="86"/>
    </row>
    <row r="672" spans="2:6" s="82" customFormat="1" ht="15" customHeight="1" outlineLevel="2" x14ac:dyDescent="0.3">
      <c r="B672" s="444" t="s">
        <v>4291</v>
      </c>
      <c r="C672" s="460" t="s">
        <v>1499</v>
      </c>
      <c r="D672" s="454" t="s">
        <v>299</v>
      </c>
      <c r="E672" s="85"/>
      <c r="F672" s="86"/>
    </row>
    <row r="673" spans="2:6" s="82" customFormat="1" ht="15" customHeight="1" outlineLevel="2" x14ac:dyDescent="0.3">
      <c r="B673" s="444" t="s">
        <v>4292</v>
      </c>
      <c r="C673" s="460" t="s">
        <v>1520</v>
      </c>
      <c r="D673" s="454" t="s">
        <v>299</v>
      </c>
      <c r="E673" s="85"/>
      <c r="F673" s="86"/>
    </row>
    <row r="674" spans="2:6" s="82" customFormat="1" ht="15" customHeight="1" outlineLevel="2" x14ac:dyDescent="0.3">
      <c r="B674" s="444" t="s">
        <v>4293</v>
      </c>
      <c r="C674" s="460" t="s">
        <v>1541</v>
      </c>
      <c r="D674" s="454" t="s">
        <v>299</v>
      </c>
      <c r="E674" s="85"/>
      <c r="F674" s="86"/>
    </row>
    <row r="675" spans="2:6" s="82" customFormat="1" ht="15" customHeight="1" outlineLevel="2" x14ac:dyDescent="0.3">
      <c r="B675" s="444" t="s">
        <v>4294</v>
      </c>
      <c r="C675" s="460" t="s">
        <v>2055</v>
      </c>
      <c r="D675" s="454" t="s">
        <v>299</v>
      </c>
      <c r="E675" s="85"/>
      <c r="F675" s="86"/>
    </row>
    <row r="676" spans="2:6" s="82" customFormat="1" ht="15" customHeight="1" outlineLevel="2" x14ac:dyDescent="0.3">
      <c r="B676" s="444" t="s">
        <v>4295</v>
      </c>
      <c r="C676" s="460" t="s">
        <v>2056</v>
      </c>
      <c r="D676" s="454" t="s">
        <v>299</v>
      </c>
      <c r="E676" s="85"/>
      <c r="F676" s="86"/>
    </row>
    <row r="677" spans="2:6" s="82" customFormat="1" ht="15" customHeight="1" outlineLevel="2" x14ac:dyDescent="0.3">
      <c r="B677" s="444" t="s">
        <v>4296</v>
      </c>
      <c r="C677" s="460" t="s">
        <v>2057</v>
      </c>
      <c r="D677" s="454" t="s">
        <v>299</v>
      </c>
      <c r="E677" s="85"/>
      <c r="F677" s="86"/>
    </row>
    <row r="678" spans="2:6" s="82" customFormat="1" ht="15" customHeight="1" outlineLevel="2" x14ac:dyDescent="0.3">
      <c r="B678" s="444" t="s">
        <v>4297</v>
      </c>
      <c r="C678" s="460" t="s">
        <v>2058</v>
      </c>
      <c r="D678" s="454" t="s">
        <v>299</v>
      </c>
      <c r="E678" s="85"/>
      <c r="F678" s="86"/>
    </row>
    <row r="679" spans="2:6" s="82" customFormat="1" ht="15" customHeight="1" outlineLevel="2" x14ac:dyDescent="0.3">
      <c r="B679" s="444" t="s">
        <v>4298</v>
      </c>
      <c r="C679" s="460" t="s">
        <v>2059</v>
      </c>
      <c r="D679" s="454" t="s">
        <v>299</v>
      </c>
      <c r="E679" s="85"/>
      <c r="F679" s="86"/>
    </row>
    <row r="680" spans="2:6" s="82" customFormat="1" ht="15" customHeight="1" outlineLevel="2" x14ac:dyDescent="0.3">
      <c r="B680" s="444" t="s">
        <v>4299</v>
      </c>
      <c r="C680" s="460" t="s">
        <v>2060</v>
      </c>
      <c r="D680" s="454" t="s">
        <v>299</v>
      </c>
      <c r="E680" s="85"/>
      <c r="F680" s="86"/>
    </row>
    <row r="681" spans="2:6" s="82" customFormat="1" ht="15" customHeight="1" outlineLevel="2" x14ac:dyDescent="0.3">
      <c r="B681" s="444" t="s">
        <v>4300</v>
      </c>
      <c r="C681" s="460" t="s">
        <v>2061</v>
      </c>
      <c r="D681" s="454" t="s">
        <v>299</v>
      </c>
      <c r="E681" s="85"/>
      <c r="F681" s="86"/>
    </row>
    <row r="682" spans="2:6" s="82" customFormat="1" ht="15" customHeight="1" outlineLevel="2" x14ac:dyDescent="0.3">
      <c r="B682" s="444" t="s">
        <v>4301</v>
      </c>
      <c r="C682" s="460" t="s">
        <v>2062</v>
      </c>
      <c r="D682" s="454" t="s">
        <v>299</v>
      </c>
      <c r="E682" s="85"/>
      <c r="F682" s="86"/>
    </row>
    <row r="683" spans="2:6" s="82" customFormat="1" ht="15" customHeight="1" outlineLevel="2" x14ac:dyDescent="0.3">
      <c r="B683" s="444" t="s">
        <v>4302</v>
      </c>
      <c r="C683" s="460" t="s">
        <v>2063</v>
      </c>
      <c r="D683" s="454" t="s">
        <v>299</v>
      </c>
      <c r="E683" s="85"/>
      <c r="F683" s="86"/>
    </row>
    <row r="684" spans="2:6" s="82" customFormat="1" ht="15" customHeight="1" outlineLevel="2" x14ac:dyDescent="0.3">
      <c r="B684" s="444" t="s">
        <v>4303</v>
      </c>
      <c r="C684" s="460" t="s">
        <v>2064</v>
      </c>
      <c r="D684" s="454" t="s">
        <v>299</v>
      </c>
      <c r="E684" s="85"/>
      <c r="F684" s="86"/>
    </row>
    <row r="685" spans="2:6" s="82" customFormat="1" ht="15" customHeight="1" outlineLevel="2" x14ac:dyDescent="0.3">
      <c r="B685" s="444" t="s">
        <v>4304</v>
      </c>
      <c r="C685" s="460" t="s">
        <v>2065</v>
      </c>
      <c r="D685" s="454" t="s">
        <v>299</v>
      </c>
      <c r="E685" s="85"/>
      <c r="F685" s="86"/>
    </row>
    <row r="686" spans="2:6" s="82" customFormat="1" ht="15" customHeight="1" outlineLevel="2" x14ac:dyDescent="0.3">
      <c r="B686" s="444" t="s">
        <v>4305</v>
      </c>
      <c r="C686" s="460" t="s">
        <v>2066</v>
      </c>
      <c r="D686" s="454" t="s">
        <v>299</v>
      </c>
      <c r="E686" s="85"/>
      <c r="F686" s="86"/>
    </row>
    <row r="687" spans="2:6" s="82" customFormat="1" ht="15" customHeight="1" outlineLevel="2" x14ac:dyDescent="0.3">
      <c r="B687" s="444" t="s">
        <v>4306</v>
      </c>
      <c r="C687" s="460" t="s">
        <v>2067</v>
      </c>
      <c r="D687" s="454" t="s">
        <v>299</v>
      </c>
      <c r="E687" s="85"/>
      <c r="F687" s="86"/>
    </row>
    <row r="688" spans="2:6" s="82" customFormat="1" ht="15" customHeight="1" outlineLevel="2" x14ac:dyDescent="0.3">
      <c r="B688" s="444" t="s">
        <v>4307</v>
      </c>
      <c r="C688" s="460" t="s">
        <v>2068</v>
      </c>
      <c r="D688" s="454" t="s">
        <v>299</v>
      </c>
      <c r="E688" s="85"/>
      <c r="F688" s="86"/>
    </row>
    <row r="689" spans="2:7" s="82" customFormat="1" ht="15" customHeight="1" outlineLevel="2" x14ac:dyDescent="0.3">
      <c r="B689" s="444" t="s">
        <v>4308</v>
      </c>
      <c r="C689" s="460" t="s">
        <v>2069</v>
      </c>
      <c r="D689" s="454" t="s">
        <v>299</v>
      </c>
      <c r="E689" s="85"/>
      <c r="F689" s="86"/>
    </row>
    <row r="690" spans="2:7" s="82" customFormat="1" ht="15" customHeight="1" outlineLevel="2" thickBot="1" x14ac:dyDescent="0.35">
      <c r="B690" s="467" t="s">
        <v>4309</v>
      </c>
      <c r="C690" s="463" t="s">
        <v>2070</v>
      </c>
      <c r="D690" s="457" t="s">
        <v>299</v>
      </c>
      <c r="E690" s="87"/>
      <c r="F690" s="88"/>
    </row>
    <row r="691" spans="2:7" s="10" customFormat="1" ht="9" customHeight="1" thickBot="1" x14ac:dyDescent="0.35">
      <c r="B691" s="471"/>
      <c r="C691" s="468"/>
      <c r="D691" s="83"/>
      <c r="E691" s="89"/>
      <c r="F691" s="470"/>
    </row>
    <row r="692" spans="2:7" s="14" customFormat="1" ht="15" customHeight="1" x14ac:dyDescent="0.3">
      <c r="B692" s="439" t="s">
        <v>4310</v>
      </c>
      <c r="C692" s="464">
        <v>11</v>
      </c>
      <c r="D692" s="451" t="s">
        <v>3318</v>
      </c>
      <c r="E692" s="450">
        <f>E693+E778+E863+E948</f>
        <v>0</v>
      </c>
      <c r="F692" s="443">
        <f>F693+F778+F863+F948</f>
        <v>0</v>
      </c>
      <c r="G692" s="48"/>
    </row>
    <row r="693" spans="2:7" s="82" customFormat="1" ht="15" customHeight="1" x14ac:dyDescent="0.3">
      <c r="B693" s="444" t="s">
        <v>4311</v>
      </c>
      <c r="C693" s="458">
        <v>12</v>
      </c>
      <c r="D693" s="452" t="s">
        <v>281</v>
      </c>
      <c r="E693" s="70">
        <f>E694+E715+E736+E757</f>
        <v>0</v>
      </c>
      <c r="F693" s="73">
        <f>F694+F715+F736+F757</f>
        <v>0</v>
      </c>
    </row>
    <row r="694" spans="2:7" s="10" customFormat="1" ht="15" customHeight="1" outlineLevel="1" x14ac:dyDescent="0.3">
      <c r="B694" s="444" t="s">
        <v>4312</v>
      </c>
      <c r="C694" s="459">
        <v>12.1</v>
      </c>
      <c r="D694" s="453" t="s">
        <v>303</v>
      </c>
      <c r="E694" s="71">
        <f>SUM(E695:E714)</f>
        <v>0</v>
      </c>
      <c r="F694" s="74">
        <f>SUM(F695:F714)</f>
        <v>0</v>
      </c>
    </row>
    <row r="695" spans="2:7" s="82" customFormat="1" ht="15" customHeight="1" outlineLevel="2" x14ac:dyDescent="0.3">
      <c r="B695" s="444" t="s">
        <v>4313</v>
      </c>
      <c r="C695" s="460" t="s">
        <v>2071</v>
      </c>
      <c r="D695" s="454" t="s">
        <v>299</v>
      </c>
      <c r="E695" s="72"/>
      <c r="F695" s="75"/>
    </row>
    <row r="696" spans="2:7" s="82" customFormat="1" ht="15" customHeight="1" outlineLevel="2" x14ac:dyDescent="0.3">
      <c r="B696" s="444" t="s">
        <v>4314</v>
      </c>
      <c r="C696" s="460" t="s">
        <v>2072</v>
      </c>
      <c r="D696" s="454" t="s">
        <v>299</v>
      </c>
      <c r="E696" s="72"/>
      <c r="F696" s="75"/>
    </row>
    <row r="697" spans="2:7" s="82" customFormat="1" ht="15" customHeight="1" outlineLevel="2" x14ac:dyDescent="0.3">
      <c r="B697" s="444" t="s">
        <v>4315</v>
      </c>
      <c r="C697" s="460" t="s">
        <v>2073</v>
      </c>
      <c r="D697" s="454" t="s">
        <v>299</v>
      </c>
      <c r="E697" s="72"/>
      <c r="F697" s="75"/>
    </row>
    <row r="698" spans="2:7" s="82" customFormat="1" ht="15" customHeight="1" outlineLevel="2" x14ac:dyDescent="0.3">
      <c r="B698" s="444" t="s">
        <v>4316</v>
      </c>
      <c r="C698" s="460" t="s">
        <v>2074</v>
      </c>
      <c r="D698" s="454" t="s">
        <v>299</v>
      </c>
      <c r="E698" s="72"/>
      <c r="F698" s="75"/>
    </row>
    <row r="699" spans="2:7" s="82" customFormat="1" ht="15" customHeight="1" outlineLevel="2" x14ac:dyDescent="0.3">
      <c r="B699" s="444" t="s">
        <v>4317</v>
      </c>
      <c r="C699" s="460" t="s">
        <v>2075</v>
      </c>
      <c r="D699" s="454" t="s">
        <v>299</v>
      </c>
      <c r="E699" s="72"/>
      <c r="F699" s="75"/>
    </row>
    <row r="700" spans="2:7" s="82" customFormat="1" ht="15" customHeight="1" outlineLevel="2" x14ac:dyDescent="0.3">
      <c r="B700" s="444" t="s">
        <v>4318</v>
      </c>
      <c r="C700" s="460" t="s">
        <v>2076</v>
      </c>
      <c r="D700" s="454" t="s">
        <v>299</v>
      </c>
      <c r="E700" s="72"/>
      <c r="F700" s="75"/>
    </row>
    <row r="701" spans="2:7" s="82" customFormat="1" ht="15" customHeight="1" outlineLevel="2" x14ac:dyDescent="0.3">
      <c r="B701" s="444" t="s">
        <v>4319</v>
      </c>
      <c r="C701" s="460" t="s">
        <v>2077</v>
      </c>
      <c r="D701" s="454" t="s">
        <v>299</v>
      </c>
      <c r="E701" s="72"/>
      <c r="F701" s="75"/>
    </row>
    <row r="702" spans="2:7" s="82" customFormat="1" ht="15" customHeight="1" outlineLevel="2" x14ac:dyDescent="0.3">
      <c r="B702" s="444" t="s">
        <v>4320</v>
      </c>
      <c r="C702" s="460" t="s">
        <v>2078</v>
      </c>
      <c r="D702" s="454" t="s">
        <v>299</v>
      </c>
      <c r="E702" s="72"/>
      <c r="F702" s="75"/>
    </row>
    <row r="703" spans="2:7" s="82" customFormat="1" ht="15" customHeight="1" outlineLevel="2" x14ac:dyDescent="0.3">
      <c r="B703" s="444" t="s">
        <v>4321</v>
      </c>
      <c r="C703" s="460" t="s">
        <v>2079</v>
      </c>
      <c r="D703" s="454" t="s">
        <v>299</v>
      </c>
      <c r="E703" s="72"/>
      <c r="F703" s="75"/>
    </row>
    <row r="704" spans="2:7" s="82" customFormat="1" ht="15" customHeight="1" outlineLevel="2" x14ac:dyDescent="0.3">
      <c r="B704" s="444" t="s">
        <v>4322</v>
      </c>
      <c r="C704" s="460" t="s">
        <v>2080</v>
      </c>
      <c r="D704" s="454" t="s">
        <v>299</v>
      </c>
      <c r="E704" s="72"/>
      <c r="F704" s="75"/>
    </row>
    <row r="705" spans="2:6" s="82" customFormat="1" ht="15" customHeight="1" outlineLevel="2" x14ac:dyDescent="0.3">
      <c r="B705" s="444" t="s">
        <v>4323</v>
      </c>
      <c r="C705" s="460" t="s">
        <v>2081</v>
      </c>
      <c r="D705" s="454" t="s">
        <v>299</v>
      </c>
      <c r="E705" s="72"/>
      <c r="F705" s="75"/>
    </row>
    <row r="706" spans="2:6" s="82" customFormat="1" ht="15" customHeight="1" outlineLevel="2" x14ac:dyDescent="0.3">
      <c r="B706" s="444" t="s">
        <v>4324</v>
      </c>
      <c r="C706" s="460" t="s">
        <v>2082</v>
      </c>
      <c r="D706" s="454" t="s">
        <v>299</v>
      </c>
      <c r="E706" s="72"/>
      <c r="F706" s="75"/>
    </row>
    <row r="707" spans="2:6" s="82" customFormat="1" ht="15" customHeight="1" outlineLevel="2" x14ac:dyDescent="0.3">
      <c r="B707" s="444" t="s">
        <v>4325</v>
      </c>
      <c r="C707" s="460" t="s">
        <v>2083</v>
      </c>
      <c r="D707" s="454" t="s">
        <v>299</v>
      </c>
      <c r="E707" s="72"/>
      <c r="F707" s="75"/>
    </row>
    <row r="708" spans="2:6" s="82" customFormat="1" ht="15" customHeight="1" outlineLevel="2" x14ac:dyDescent="0.3">
      <c r="B708" s="444" t="s">
        <v>4326</v>
      </c>
      <c r="C708" s="460" t="s">
        <v>2084</v>
      </c>
      <c r="D708" s="454" t="s">
        <v>299</v>
      </c>
      <c r="E708" s="72"/>
      <c r="F708" s="75"/>
    </row>
    <row r="709" spans="2:6" s="82" customFormat="1" ht="15" customHeight="1" outlineLevel="2" x14ac:dyDescent="0.3">
      <c r="B709" s="444" t="s">
        <v>4327</v>
      </c>
      <c r="C709" s="460" t="s">
        <v>2085</v>
      </c>
      <c r="D709" s="454" t="s">
        <v>299</v>
      </c>
      <c r="E709" s="72"/>
      <c r="F709" s="75"/>
    </row>
    <row r="710" spans="2:6" s="82" customFormat="1" ht="15" customHeight="1" outlineLevel="2" x14ac:dyDescent="0.3">
      <c r="B710" s="444" t="s">
        <v>4328</v>
      </c>
      <c r="C710" s="460" t="s">
        <v>2086</v>
      </c>
      <c r="D710" s="454" t="s">
        <v>299</v>
      </c>
      <c r="E710" s="72"/>
      <c r="F710" s="75"/>
    </row>
    <row r="711" spans="2:6" s="82" customFormat="1" ht="15" customHeight="1" outlineLevel="2" x14ac:dyDescent="0.3">
      <c r="B711" s="444" t="s">
        <v>4329</v>
      </c>
      <c r="C711" s="460" t="s">
        <v>2087</v>
      </c>
      <c r="D711" s="454" t="s">
        <v>299</v>
      </c>
      <c r="E711" s="72"/>
      <c r="F711" s="75"/>
    </row>
    <row r="712" spans="2:6" s="82" customFormat="1" ht="15" customHeight="1" outlineLevel="2" x14ac:dyDescent="0.3">
      <c r="B712" s="444" t="s">
        <v>4330</v>
      </c>
      <c r="C712" s="460" t="s">
        <v>2088</v>
      </c>
      <c r="D712" s="454" t="s">
        <v>299</v>
      </c>
      <c r="E712" s="72"/>
      <c r="F712" s="75"/>
    </row>
    <row r="713" spans="2:6" s="82" customFormat="1" ht="15" customHeight="1" outlineLevel="2" x14ac:dyDescent="0.3">
      <c r="B713" s="444" t="s">
        <v>4331</v>
      </c>
      <c r="C713" s="460" t="s">
        <v>2089</v>
      </c>
      <c r="D713" s="454" t="s">
        <v>299</v>
      </c>
      <c r="E713" s="72"/>
      <c r="F713" s="75"/>
    </row>
    <row r="714" spans="2:6" s="82" customFormat="1" ht="15" customHeight="1" outlineLevel="2" x14ac:dyDescent="0.3">
      <c r="B714" s="444" t="s">
        <v>4332</v>
      </c>
      <c r="C714" s="460" t="s">
        <v>2090</v>
      </c>
      <c r="D714" s="454" t="s">
        <v>299</v>
      </c>
      <c r="E714" s="72"/>
      <c r="F714" s="75"/>
    </row>
    <row r="715" spans="2:6" s="10" customFormat="1" ht="15" customHeight="1" outlineLevel="1" x14ac:dyDescent="0.3">
      <c r="B715" s="444" t="s">
        <v>4333</v>
      </c>
      <c r="C715" s="459">
        <v>12.2</v>
      </c>
      <c r="D715" s="453" t="s">
        <v>4660</v>
      </c>
      <c r="E715" s="71">
        <f>SUM(E716:E735)</f>
        <v>0</v>
      </c>
      <c r="F715" s="74">
        <f>SUM(F716:F735)</f>
        <v>0</v>
      </c>
    </row>
    <row r="716" spans="2:6" s="82" customFormat="1" ht="15" customHeight="1" outlineLevel="2" x14ac:dyDescent="0.3">
      <c r="B716" s="444" t="s">
        <v>4334</v>
      </c>
      <c r="C716" s="460" t="s">
        <v>2091</v>
      </c>
      <c r="D716" s="454" t="s">
        <v>299</v>
      </c>
      <c r="E716" s="85"/>
      <c r="F716" s="86"/>
    </row>
    <row r="717" spans="2:6" s="82" customFormat="1" ht="15" customHeight="1" outlineLevel="2" x14ac:dyDescent="0.3">
      <c r="B717" s="444" t="s">
        <v>4335</v>
      </c>
      <c r="C717" s="460" t="s">
        <v>2092</v>
      </c>
      <c r="D717" s="454" t="s">
        <v>299</v>
      </c>
      <c r="E717" s="85"/>
      <c r="F717" s="86"/>
    </row>
    <row r="718" spans="2:6" s="82" customFormat="1" ht="15" customHeight="1" outlineLevel="2" x14ac:dyDescent="0.3">
      <c r="B718" s="444" t="s">
        <v>4336</v>
      </c>
      <c r="C718" s="460" t="s">
        <v>2093</v>
      </c>
      <c r="D718" s="454" t="s">
        <v>299</v>
      </c>
      <c r="E718" s="85"/>
      <c r="F718" s="86"/>
    </row>
    <row r="719" spans="2:6" s="82" customFormat="1" ht="15" customHeight="1" outlineLevel="2" x14ac:dyDescent="0.3">
      <c r="B719" s="444" t="s">
        <v>4337</v>
      </c>
      <c r="C719" s="460" t="s">
        <v>2094</v>
      </c>
      <c r="D719" s="454" t="s">
        <v>299</v>
      </c>
      <c r="E719" s="85"/>
      <c r="F719" s="86"/>
    </row>
    <row r="720" spans="2:6" s="82" customFormat="1" ht="15" customHeight="1" outlineLevel="2" x14ac:dyDescent="0.3">
      <c r="B720" s="444" t="s">
        <v>4338</v>
      </c>
      <c r="C720" s="460" t="s">
        <v>2095</v>
      </c>
      <c r="D720" s="454" t="s">
        <v>299</v>
      </c>
      <c r="E720" s="85"/>
      <c r="F720" s="86"/>
    </row>
    <row r="721" spans="2:6" s="82" customFormat="1" ht="15" customHeight="1" outlineLevel="2" x14ac:dyDescent="0.3">
      <c r="B721" s="444" t="s">
        <v>4339</v>
      </c>
      <c r="C721" s="460" t="s">
        <v>2096</v>
      </c>
      <c r="D721" s="454" t="s">
        <v>299</v>
      </c>
      <c r="E721" s="85"/>
      <c r="F721" s="86"/>
    </row>
    <row r="722" spans="2:6" s="82" customFormat="1" ht="15" customHeight="1" outlineLevel="2" x14ac:dyDescent="0.3">
      <c r="B722" s="444" t="s">
        <v>4340</v>
      </c>
      <c r="C722" s="460" t="s">
        <v>2097</v>
      </c>
      <c r="D722" s="454" t="s">
        <v>299</v>
      </c>
      <c r="E722" s="85"/>
      <c r="F722" s="86"/>
    </row>
    <row r="723" spans="2:6" s="82" customFormat="1" ht="15" customHeight="1" outlineLevel="2" x14ac:dyDescent="0.3">
      <c r="B723" s="444" t="s">
        <v>4341</v>
      </c>
      <c r="C723" s="460" t="s">
        <v>2098</v>
      </c>
      <c r="D723" s="454" t="s">
        <v>299</v>
      </c>
      <c r="E723" s="85"/>
      <c r="F723" s="86"/>
    </row>
    <row r="724" spans="2:6" s="82" customFormat="1" ht="15" customHeight="1" outlineLevel="2" x14ac:dyDescent="0.3">
      <c r="B724" s="444" t="s">
        <v>4342</v>
      </c>
      <c r="C724" s="460" t="s">
        <v>2099</v>
      </c>
      <c r="D724" s="454" t="s">
        <v>299</v>
      </c>
      <c r="E724" s="85"/>
      <c r="F724" s="86"/>
    </row>
    <row r="725" spans="2:6" s="82" customFormat="1" ht="15" customHeight="1" outlineLevel="2" x14ac:dyDescent="0.3">
      <c r="B725" s="444" t="s">
        <v>4343</v>
      </c>
      <c r="C725" s="460" t="s">
        <v>2100</v>
      </c>
      <c r="D725" s="454" t="s">
        <v>299</v>
      </c>
      <c r="E725" s="85"/>
      <c r="F725" s="86"/>
    </row>
    <row r="726" spans="2:6" s="82" customFormat="1" ht="15" customHeight="1" outlineLevel="2" x14ac:dyDescent="0.3">
      <c r="B726" s="444" t="s">
        <v>4344</v>
      </c>
      <c r="C726" s="460" t="s">
        <v>2101</v>
      </c>
      <c r="D726" s="454" t="s">
        <v>299</v>
      </c>
      <c r="E726" s="85"/>
      <c r="F726" s="86"/>
    </row>
    <row r="727" spans="2:6" s="82" customFormat="1" ht="15" customHeight="1" outlineLevel="2" x14ac:dyDescent="0.3">
      <c r="B727" s="444" t="s">
        <v>4345</v>
      </c>
      <c r="C727" s="460" t="s">
        <v>2102</v>
      </c>
      <c r="D727" s="454" t="s">
        <v>299</v>
      </c>
      <c r="E727" s="85"/>
      <c r="F727" s="86"/>
    </row>
    <row r="728" spans="2:6" s="82" customFormat="1" ht="15" customHeight="1" outlineLevel="2" x14ac:dyDescent="0.3">
      <c r="B728" s="444" t="s">
        <v>4346</v>
      </c>
      <c r="C728" s="460" t="s">
        <v>2103</v>
      </c>
      <c r="D728" s="454" t="s">
        <v>299</v>
      </c>
      <c r="E728" s="85"/>
      <c r="F728" s="86"/>
    </row>
    <row r="729" spans="2:6" s="82" customFormat="1" ht="15" customHeight="1" outlineLevel="2" x14ac:dyDescent="0.3">
      <c r="B729" s="444" t="s">
        <v>4347</v>
      </c>
      <c r="C729" s="460" t="s">
        <v>2104</v>
      </c>
      <c r="D729" s="454" t="s">
        <v>299</v>
      </c>
      <c r="E729" s="85"/>
      <c r="F729" s="86"/>
    </row>
    <row r="730" spans="2:6" s="82" customFormat="1" ht="15" customHeight="1" outlineLevel="2" x14ac:dyDescent="0.3">
      <c r="B730" s="444" t="s">
        <v>4348</v>
      </c>
      <c r="C730" s="460" t="s">
        <v>2105</v>
      </c>
      <c r="D730" s="454" t="s">
        <v>299</v>
      </c>
      <c r="E730" s="85"/>
      <c r="F730" s="86"/>
    </row>
    <row r="731" spans="2:6" s="82" customFormat="1" ht="15" customHeight="1" outlineLevel="2" x14ac:dyDescent="0.3">
      <c r="B731" s="444" t="s">
        <v>4349</v>
      </c>
      <c r="C731" s="460" t="s">
        <v>2106</v>
      </c>
      <c r="D731" s="454" t="s">
        <v>299</v>
      </c>
      <c r="E731" s="85"/>
      <c r="F731" s="86"/>
    </row>
    <row r="732" spans="2:6" s="82" customFormat="1" ht="15" customHeight="1" outlineLevel="2" x14ac:dyDescent="0.3">
      <c r="B732" s="444" t="s">
        <v>4350</v>
      </c>
      <c r="C732" s="460" t="s">
        <v>2107</v>
      </c>
      <c r="D732" s="454" t="s">
        <v>299</v>
      </c>
      <c r="E732" s="85"/>
      <c r="F732" s="86"/>
    </row>
    <row r="733" spans="2:6" s="82" customFormat="1" ht="15" customHeight="1" outlineLevel="2" x14ac:dyDescent="0.3">
      <c r="B733" s="444" t="s">
        <v>4351</v>
      </c>
      <c r="C733" s="460" t="s">
        <v>2108</v>
      </c>
      <c r="D733" s="454" t="s">
        <v>299</v>
      </c>
      <c r="E733" s="85"/>
      <c r="F733" s="86"/>
    </row>
    <row r="734" spans="2:6" s="82" customFormat="1" ht="15" customHeight="1" outlineLevel="2" x14ac:dyDescent="0.3">
      <c r="B734" s="444" t="s">
        <v>4352</v>
      </c>
      <c r="C734" s="460" t="s">
        <v>2109</v>
      </c>
      <c r="D734" s="454" t="s">
        <v>299</v>
      </c>
      <c r="E734" s="85"/>
      <c r="F734" s="86"/>
    </row>
    <row r="735" spans="2:6" s="82" customFormat="1" ht="15" customHeight="1" outlineLevel="2" x14ac:dyDescent="0.3">
      <c r="B735" s="444" t="s">
        <v>4353</v>
      </c>
      <c r="C735" s="460" t="s">
        <v>2110</v>
      </c>
      <c r="D735" s="454" t="s">
        <v>299</v>
      </c>
      <c r="E735" s="85"/>
      <c r="F735" s="86"/>
    </row>
    <row r="736" spans="2:6" s="10" customFormat="1" ht="15" customHeight="1" outlineLevel="1" x14ac:dyDescent="0.3">
      <c r="B736" s="444" t="s">
        <v>4354</v>
      </c>
      <c r="C736" s="459">
        <v>12.3</v>
      </c>
      <c r="D736" s="453" t="s">
        <v>304</v>
      </c>
      <c r="E736" s="71">
        <f>SUM(E737:E756)</f>
        <v>0</v>
      </c>
      <c r="F736" s="74">
        <f>SUM(F737:F756)</f>
        <v>0</v>
      </c>
    </row>
    <row r="737" spans="2:6" s="82" customFormat="1" ht="15" customHeight="1" outlineLevel="2" x14ac:dyDescent="0.3">
      <c r="B737" s="444" t="s">
        <v>4355</v>
      </c>
      <c r="C737" s="460" t="s">
        <v>2111</v>
      </c>
      <c r="D737" s="454" t="s">
        <v>299</v>
      </c>
      <c r="E737" s="72"/>
      <c r="F737" s="75"/>
    </row>
    <row r="738" spans="2:6" s="82" customFormat="1" ht="15" customHeight="1" outlineLevel="2" x14ac:dyDescent="0.3">
      <c r="B738" s="444" t="s">
        <v>4356</v>
      </c>
      <c r="C738" s="460" t="s">
        <v>2112</v>
      </c>
      <c r="D738" s="454" t="s">
        <v>299</v>
      </c>
      <c r="E738" s="72"/>
      <c r="F738" s="75"/>
    </row>
    <row r="739" spans="2:6" s="82" customFormat="1" ht="15" customHeight="1" outlineLevel="2" x14ac:dyDescent="0.3">
      <c r="B739" s="444" t="s">
        <v>4357</v>
      </c>
      <c r="C739" s="460" t="s">
        <v>2113</v>
      </c>
      <c r="D739" s="454" t="s">
        <v>299</v>
      </c>
      <c r="E739" s="72"/>
      <c r="F739" s="75"/>
    </row>
    <row r="740" spans="2:6" s="82" customFormat="1" ht="15" customHeight="1" outlineLevel="2" x14ac:dyDescent="0.3">
      <c r="B740" s="444" t="s">
        <v>4358</v>
      </c>
      <c r="C740" s="460" t="s">
        <v>2114</v>
      </c>
      <c r="D740" s="454" t="s">
        <v>299</v>
      </c>
      <c r="E740" s="72"/>
      <c r="F740" s="75"/>
    </row>
    <row r="741" spans="2:6" s="82" customFormat="1" ht="15" customHeight="1" outlineLevel="2" x14ac:dyDescent="0.3">
      <c r="B741" s="444" t="s">
        <v>4359</v>
      </c>
      <c r="C741" s="460" t="s">
        <v>2115</v>
      </c>
      <c r="D741" s="454" t="s">
        <v>299</v>
      </c>
      <c r="E741" s="72"/>
      <c r="F741" s="75"/>
    </row>
    <row r="742" spans="2:6" s="82" customFormat="1" ht="15" customHeight="1" outlineLevel="2" x14ac:dyDescent="0.3">
      <c r="B742" s="444" t="s">
        <v>4360</v>
      </c>
      <c r="C742" s="460" t="s">
        <v>2116</v>
      </c>
      <c r="D742" s="454" t="s">
        <v>299</v>
      </c>
      <c r="E742" s="72"/>
      <c r="F742" s="75"/>
    </row>
    <row r="743" spans="2:6" s="82" customFormat="1" ht="15" customHeight="1" outlineLevel="2" x14ac:dyDescent="0.3">
      <c r="B743" s="444" t="s">
        <v>4361</v>
      </c>
      <c r="C743" s="460" t="s">
        <v>2117</v>
      </c>
      <c r="D743" s="454" t="s">
        <v>299</v>
      </c>
      <c r="E743" s="72"/>
      <c r="F743" s="75"/>
    </row>
    <row r="744" spans="2:6" s="82" customFormat="1" ht="15" customHeight="1" outlineLevel="2" x14ac:dyDescent="0.3">
      <c r="B744" s="444" t="s">
        <v>4362</v>
      </c>
      <c r="C744" s="460" t="s">
        <v>2118</v>
      </c>
      <c r="D744" s="454" t="s">
        <v>299</v>
      </c>
      <c r="E744" s="72"/>
      <c r="F744" s="75"/>
    </row>
    <row r="745" spans="2:6" s="82" customFormat="1" ht="15" customHeight="1" outlineLevel="2" x14ac:dyDescent="0.3">
      <c r="B745" s="444" t="s">
        <v>4363</v>
      </c>
      <c r="C745" s="460" t="s">
        <v>2119</v>
      </c>
      <c r="D745" s="454" t="s">
        <v>299</v>
      </c>
      <c r="E745" s="72"/>
      <c r="F745" s="75"/>
    </row>
    <row r="746" spans="2:6" s="82" customFormat="1" ht="15" customHeight="1" outlineLevel="2" x14ac:dyDescent="0.3">
      <c r="B746" s="444" t="s">
        <v>4364</v>
      </c>
      <c r="C746" s="460" t="s">
        <v>2120</v>
      </c>
      <c r="D746" s="454" t="s">
        <v>299</v>
      </c>
      <c r="E746" s="72"/>
      <c r="F746" s="75"/>
    </row>
    <row r="747" spans="2:6" s="82" customFormat="1" ht="15" customHeight="1" outlineLevel="2" x14ac:dyDescent="0.3">
      <c r="B747" s="444" t="s">
        <v>4365</v>
      </c>
      <c r="C747" s="460" t="s">
        <v>2121</v>
      </c>
      <c r="D747" s="454" t="s">
        <v>299</v>
      </c>
      <c r="E747" s="72"/>
      <c r="F747" s="75"/>
    </row>
    <row r="748" spans="2:6" s="82" customFormat="1" ht="15" customHeight="1" outlineLevel="2" x14ac:dyDescent="0.3">
      <c r="B748" s="444" t="s">
        <v>4366</v>
      </c>
      <c r="C748" s="460" t="s">
        <v>2122</v>
      </c>
      <c r="D748" s="454" t="s">
        <v>299</v>
      </c>
      <c r="E748" s="72"/>
      <c r="F748" s="75"/>
    </row>
    <row r="749" spans="2:6" s="82" customFormat="1" ht="15" customHeight="1" outlineLevel="2" x14ac:dyDescent="0.3">
      <c r="B749" s="444" t="s">
        <v>4367</v>
      </c>
      <c r="C749" s="460" t="s">
        <v>2123</v>
      </c>
      <c r="D749" s="454" t="s">
        <v>299</v>
      </c>
      <c r="E749" s="72"/>
      <c r="F749" s="75"/>
    </row>
    <row r="750" spans="2:6" s="82" customFormat="1" ht="15" customHeight="1" outlineLevel="2" x14ac:dyDescent="0.3">
      <c r="B750" s="444" t="s">
        <v>4368</v>
      </c>
      <c r="C750" s="460" t="s">
        <v>2124</v>
      </c>
      <c r="D750" s="454" t="s">
        <v>299</v>
      </c>
      <c r="E750" s="72"/>
      <c r="F750" s="75"/>
    </row>
    <row r="751" spans="2:6" s="82" customFormat="1" ht="15" customHeight="1" outlineLevel="2" x14ac:dyDescent="0.3">
      <c r="B751" s="444" t="s">
        <v>4369</v>
      </c>
      <c r="C751" s="460" t="s">
        <v>2125</v>
      </c>
      <c r="D751" s="454" t="s">
        <v>299</v>
      </c>
      <c r="E751" s="72"/>
      <c r="F751" s="75"/>
    </row>
    <row r="752" spans="2:6" s="82" customFormat="1" ht="15" customHeight="1" outlineLevel="2" x14ac:dyDescent="0.3">
      <c r="B752" s="444" t="s">
        <v>4370</v>
      </c>
      <c r="C752" s="460" t="s">
        <v>2126</v>
      </c>
      <c r="D752" s="454" t="s">
        <v>299</v>
      </c>
      <c r="E752" s="72"/>
      <c r="F752" s="75"/>
    </row>
    <row r="753" spans="2:6" s="82" customFormat="1" ht="15" customHeight="1" outlineLevel="2" x14ac:dyDescent="0.3">
      <c r="B753" s="444" t="s">
        <v>4371</v>
      </c>
      <c r="C753" s="460" t="s">
        <v>2127</v>
      </c>
      <c r="D753" s="454" t="s">
        <v>299</v>
      </c>
      <c r="E753" s="72"/>
      <c r="F753" s="75"/>
    </row>
    <row r="754" spans="2:6" s="82" customFormat="1" ht="15" customHeight="1" outlineLevel="2" x14ac:dyDescent="0.3">
      <c r="B754" s="444" t="s">
        <v>4372</v>
      </c>
      <c r="C754" s="460" t="s">
        <v>2128</v>
      </c>
      <c r="D754" s="454" t="s">
        <v>299</v>
      </c>
      <c r="E754" s="72"/>
      <c r="F754" s="75"/>
    </row>
    <row r="755" spans="2:6" s="82" customFormat="1" ht="15" customHeight="1" outlineLevel="2" x14ac:dyDescent="0.3">
      <c r="B755" s="444" t="s">
        <v>4373</v>
      </c>
      <c r="C755" s="460" t="s">
        <v>2129</v>
      </c>
      <c r="D755" s="454" t="s">
        <v>299</v>
      </c>
      <c r="E755" s="72"/>
      <c r="F755" s="75"/>
    </row>
    <row r="756" spans="2:6" s="82" customFormat="1" ht="15" customHeight="1" outlineLevel="2" x14ac:dyDescent="0.3">
      <c r="B756" s="444" t="s">
        <v>4374</v>
      </c>
      <c r="C756" s="460" t="s">
        <v>2130</v>
      </c>
      <c r="D756" s="454" t="s">
        <v>299</v>
      </c>
      <c r="E756" s="72"/>
      <c r="F756" s="75"/>
    </row>
    <row r="757" spans="2:6" s="10" customFormat="1" ht="15" customHeight="1" outlineLevel="1" x14ac:dyDescent="0.3">
      <c r="B757" s="444" t="s">
        <v>4375</v>
      </c>
      <c r="C757" s="459">
        <v>12.4</v>
      </c>
      <c r="D757" s="453" t="s">
        <v>4661</v>
      </c>
      <c r="E757" s="71">
        <f>SUM(E758:E777)</f>
        <v>0</v>
      </c>
      <c r="F757" s="74">
        <f>SUM(F758:F777)</f>
        <v>0</v>
      </c>
    </row>
    <row r="758" spans="2:6" s="82" customFormat="1" ht="15" customHeight="1" outlineLevel="2" x14ac:dyDescent="0.3">
      <c r="B758" s="444" t="s">
        <v>4376</v>
      </c>
      <c r="C758" s="460" t="s">
        <v>2131</v>
      </c>
      <c r="D758" s="454" t="s">
        <v>299</v>
      </c>
      <c r="E758" s="85"/>
      <c r="F758" s="86"/>
    </row>
    <row r="759" spans="2:6" s="82" customFormat="1" ht="15" customHeight="1" outlineLevel="2" x14ac:dyDescent="0.3">
      <c r="B759" s="444" t="s">
        <v>4377</v>
      </c>
      <c r="C759" s="460" t="s">
        <v>2132</v>
      </c>
      <c r="D759" s="454" t="s">
        <v>299</v>
      </c>
      <c r="E759" s="85"/>
      <c r="F759" s="86"/>
    </row>
    <row r="760" spans="2:6" s="82" customFormat="1" ht="15" customHeight="1" outlineLevel="2" x14ac:dyDescent="0.3">
      <c r="B760" s="444" t="s">
        <v>4378</v>
      </c>
      <c r="C760" s="460" t="s">
        <v>2133</v>
      </c>
      <c r="D760" s="454" t="s">
        <v>299</v>
      </c>
      <c r="E760" s="85"/>
      <c r="F760" s="86"/>
    </row>
    <row r="761" spans="2:6" s="82" customFormat="1" ht="15" customHeight="1" outlineLevel="2" x14ac:dyDescent="0.3">
      <c r="B761" s="444" t="s">
        <v>4379</v>
      </c>
      <c r="C761" s="460" t="s">
        <v>2134</v>
      </c>
      <c r="D761" s="454" t="s">
        <v>299</v>
      </c>
      <c r="E761" s="85"/>
      <c r="F761" s="86"/>
    </row>
    <row r="762" spans="2:6" s="82" customFormat="1" ht="15" customHeight="1" outlineLevel="2" x14ac:dyDescent="0.3">
      <c r="B762" s="444" t="s">
        <v>4380</v>
      </c>
      <c r="C762" s="460" t="s">
        <v>2135</v>
      </c>
      <c r="D762" s="454" t="s">
        <v>299</v>
      </c>
      <c r="E762" s="85"/>
      <c r="F762" s="86"/>
    </row>
    <row r="763" spans="2:6" s="82" customFormat="1" ht="15" customHeight="1" outlineLevel="2" x14ac:dyDescent="0.3">
      <c r="B763" s="444" t="s">
        <v>4381</v>
      </c>
      <c r="C763" s="460" t="s">
        <v>2136</v>
      </c>
      <c r="D763" s="454" t="s">
        <v>299</v>
      </c>
      <c r="E763" s="85"/>
      <c r="F763" s="86"/>
    </row>
    <row r="764" spans="2:6" s="82" customFormat="1" ht="15" customHeight="1" outlineLevel="2" x14ac:dyDescent="0.3">
      <c r="B764" s="444" t="s">
        <v>4382</v>
      </c>
      <c r="C764" s="460" t="s">
        <v>2137</v>
      </c>
      <c r="D764" s="454" t="s">
        <v>299</v>
      </c>
      <c r="E764" s="85"/>
      <c r="F764" s="86"/>
    </row>
    <row r="765" spans="2:6" s="82" customFormat="1" ht="15" customHeight="1" outlineLevel="2" x14ac:dyDescent="0.3">
      <c r="B765" s="444" t="s">
        <v>4383</v>
      </c>
      <c r="C765" s="460" t="s">
        <v>2138</v>
      </c>
      <c r="D765" s="454" t="s">
        <v>299</v>
      </c>
      <c r="E765" s="85"/>
      <c r="F765" s="86"/>
    </row>
    <row r="766" spans="2:6" s="82" customFormat="1" ht="15" customHeight="1" outlineLevel="2" x14ac:dyDescent="0.3">
      <c r="B766" s="444" t="s">
        <v>4384</v>
      </c>
      <c r="C766" s="460" t="s">
        <v>2139</v>
      </c>
      <c r="D766" s="454" t="s">
        <v>299</v>
      </c>
      <c r="E766" s="85"/>
      <c r="F766" s="86"/>
    </row>
    <row r="767" spans="2:6" s="82" customFormat="1" ht="15" customHeight="1" outlineLevel="2" x14ac:dyDescent="0.3">
      <c r="B767" s="444" t="s">
        <v>4385</v>
      </c>
      <c r="C767" s="460" t="s">
        <v>2140</v>
      </c>
      <c r="D767" s="454" t="s">
        <v>299</v>
      </c>
      <c r="E767" s="85"/>
      <c r="F767" s="86"/>
    </row>
    <row r="768" spans="2:6" s="82" customFormat="1" ht="15" customHeight="1" outlineLevel="2" x14ac:dyDescent="0.3">
      <c r="B768" s="444" t="s">
        <v>4386</v>
      </c>
      <c r="C768" s="460" t="s">
        <v>2141</v>
      </c>
      <c r="D768" s="454" t="s">
        <v>299</v>
      </c>
      <c r="E768" s="85"/>
      <c r="F768" s="86"/>
    </row>
    <row r="769" spans="2:6" s="82" customFormat="1" ht="15" customHeight="1" outlineLevel="2" x14ac:dyDescent="0.3">
      <c r="B769" s="444" t="s">
        <v>4387</v>
      </c>
      <c r="C769" s="460" t="s">
        <v>2142</v>
      </c>
      <c r="D769" s="454" t="s">
        <v>299</v>
      </c>
      <c r="E769" s="85"/>
      <c r="F769" s="86"/>
    </row>
    <row r="770" spans="2:6" s="82" customFormat="1" ht="15" customHeight="1" outlineLevel="2" x14ac:dyDescent="0.3">
      <c r="B770" s="444" t="s">
        <v>4388</v>
      </c>
      <c r="C770" s="460" t="s">
        <v>2143</v>
      </c>
      <c r="D770" s="454" t="s">
        <v>299</v>
      </c>
      <c r="E770" s="85"/>
      <c r="F770" s="86"/>
    </row>
    <row r="771" spans="2:6" s="82" customFormat="1" ht="15" customHeight="1" outlineLevel="2" x14ac:dyDescent="0.3">
      <c r="B771" s="444" t="s">
        <v>4389</v>
      </c>
      <c r="C771" s="460" t="s">
        <v>2144</v>
      </c>
      <c r="D771" s="454" t="s">
        <v>299</v>
      </c>
      <c r="E771" s="85"/>
      <c r="F771" s="86"/>
    </row>
    <row r="772" spans="2:6" s="82" customFormat="1" ht="15" customHeight="1" outlineLevel="2" x14ac:dyDescent="0.3">
      <c r="B772" s="444" t="s">
        <v>4390</v>
      </c>
      <c r="C772" s="460" t="s">
        <v>2145</v>
      </c>
      <c r="D772" s="454" t="s">
        <v>299</v>
      </c>
      <c r="E772" s="85"/>
      <c r="F772" s="86"/>
    </row>
    <row r="773" spans="2:6" s="82" customFormat="1" ht="15" customHeight="1" outlineLevel="2" x14ac:dyDescent="0.3">
      <c r="B773" s="444" t="s">
        <v>4391</v>
      </c>
      <c r="C773" s="460" t="s">
        <v>2146</v>
      </c>
      <c r="D773" s="454" t="s">
        <v>299</v>
      </c>
      <c r="E773" s="85"/>
      <c r="F773" s="86"/>
    </row>
    <row r="774" spans="2:6" s="82" customFormat="1" ht="15" customHeight="1" outlineLevel="2" x14ac:dyDescent="0.3">
      <c r="B774" s="444" t="s">
        <v>4392</v>
      </c>
      <c r="C774" s="460" t="s">
        <v>2147</v>
      </c>
      <c r="D774" s="454" t="s">
        <v>299</v>
      </c>
      <c r="E774" s="85"/>
      <c r="F774" s="86"/>
    </row>
    <row r="775" spans="2:6" s="82" customFormat="1" ht="15" customHeight="1" outlineLevel="2" x14ac:dyDescent="0.3">
      <c r="B775" s="444" t="s">
        <v>4393</v>
      </c>
      <c r="C775" s="460" t="s">
        <v>2148</v>
      </c>
      <c r="D775" s="454" t="s">
        <v>299</v>
      </c>
      <c r="E775" s="85"/>
      <c r="F775" s="86"/>
    </row>
    <row r="776" spans="2:6" s="82" customFormat="1" ht="15" customHeight="1" outlineLevel="2" x14ac:dyDescent="0.3">
      <c r="B776" s="444" t="s">
        <v>4394</v>
      </c>
      <c r="C776" s="460" t="s">
        <v>2149</v>
      </c>
      <c r="D776" s="454" t="s">
        <v>299</v>
      </c>
      <c r="E776" s="85"/>
      <c r="F776" s="86"/>
    </row>
    <row r="777" spans="2:6" s="82" customFormat="1" ht="15" customHeight="1" outlineLevel="2" x14ac:dyDescent="0.3">
      <c r="B777" s="444" t="s">
        <v>4395</v>
      </c>
      <c r="C777" s="460" t="s">
        <v>2150</v>
      </c>
      <c r="D777" s="454" t="s">
        <v>299</v>
      </c>
      <c r="E777" s="85"/>
      <c r="F777" s="86"/>
    </row>
    <row r="778" spans="2:6" s="81" customFormat="1" ht="15" customHeight="1" x14ac:dyDescent="0.3">
      <c r="B778" s="444" t="s">
        <v>4396</v>
      </c>
      <c r="C778" s="461">
        <v>13</v>
      </c>
      <c r="D778" s="455" t="s">
        <v>290</v>
      </c>
      <c r="E778" s="70">
        <f>E779+E800+E821+E842</f>
        <v>0</v>
      </c>
      <c r="F778" s="73">
        <f>F779+F800+F821+F842</f>
        <v>0</v>
      </c>
    </row>
    <row r="779" spans="2:6" s="10" customFormat="1" ht="15" customHeight="1" outlineLevel="1" x14ac:dyDescent="0.3">
      <c r="B779" s="444" t="s">
        <v>4397</v>
      </c>
      <c r="C779" s="459">
        <v>13.1</v>
      </c>
      <c r="D779" s="453" t="s">
        <v>303</v>
      </c>
      <c r="E779" s="71">
        <f>SUM(E780:E799)</f>
        <v>0</v>
      </c>
      <c r="F779" s="74">
        <f>SUM(F780:F799)</f>
        <v>0</v>
      </c>
    </row>
    <row r="780" spans="2:6" s="82" customFormat="1" ht="15" customHeight="1" outlineLevel="2" x14ac:dyDescent="0.3">
      <c r="B780" s="444" t="s">
        <v>4398</v>
      </c>
      <c r="C780" s="460" t="s">
        <v>2151</v>
      </c>
      <c r="D780" s="454" t="s">
        <v>299</v>
      </c>
      <c r="E780" s="72"/>
      <c r="F780" s="75"/>
    </row>
    <row r="781" spans="2:6" s="82" customFormat="1" ht="15" customHeight="1" outlineLevel="2" x14ac:dyDescent="0.3">
      <c r="B781" s="444" t="s">
        <v>4399</v>
      </c>
      <c r="C781" s="460" t="s">
        <v>2152</v>
      </c>
      <c r="D781" s="454" t="s">
        <v>299</v>
      </c>
      <c r="E781" s="72"/>
      <c r="F781" s="75"/>
    </row>
    <row r="782" spans="2:6" s="82" customFormat="1" ht="15" customHeight="1" outlineLevel="2" x14ac:dyDescent="0.3">
      <c r="B782" s="444" t="s">
        <v>4400</v>
      </c>
      <c r="C782" s="460" t="s">
        <v>2153</v>
      </c>
      <c r="D782" s="454" t="s">
        <v>299</v>
      </c>
      <c r="E782" s="72"/>
      <c r="F782" s="75"/>
    </row>
    <row r="783" spans="2:6" s="82" customFormat="1" ht="15" customHeight="1" outlineLevel="2" x14ac:dyDescent="0.3">
      <c r="B783" s="444" t="s">
        <v>4401</v>
      </c>
      <c r="C783" s="460" t="s">
        <v>2154</v>
      </c>
      <c r="D783" s="454" t="s">
        <v>299</v>
      </c>
      <c r="E783" s="72"/>
      <c r="F783" s="75"/>
    </row>
    <row r="784" spans="2:6" s="82" customFormat="1" ht="15" customHeight="1" outlineLevel="2" x14ac:dyDescent="0.3">
      <c r="B784" s="444" t="s">
        <v>4402</v>
      </c>
      <c r="C784" s="460" t="s">
        <v>2155</v>
      </c>
      <c r="D784" s="454" t="s">
        <v>299</v>
      </c>
      <c r="E784" s="72"/>
      <c r="F784" s="75"/>
    </row>
    <row r="785" spans="2:6" s="82" customFormat="1" ht="15" customHeight="1" outlineLevel="2" x14ac:dyDescent="0.3">
      <c r="B785" s="444" t="s">
        <v>4403</v>
      </c>
      <c r="C785" s="460" t="s">
        <v>2156</v>
      </c>
      <c r="D785" s="454" t="s">
        <v>299</v>
      </c>
      <c r="E785" s="72"/>
      <c r="F785" s="75"/>
    </row>
    <row r="786" spans="2:6" s="82" customFormat="1" ht="15" customHeight="1" outlineLevel="2" x14ac:dyDescent="0.3">
      <c r="B786" s="444" t="s">
        <v>4404</v>
      </c>
      <c r="C786" s="460" t="s">
        <v>2157</v>
      </c>
      <c r="D786" s="454" t="s">
        <v>299</v>
      </c>
      <c r="E786" s="72"/>
      <c r="F786" s="75"/>
    </row>
    <row r="787" spans="2:6" s="82" customFormat="1" ht="15" customHeight="1" outlineLevel="2" x14ac:dyDescent="0.3">
      <c r="B787" s="444" t="s">
        <v>4405</v>
      </c>
      <c r="C787" s="460" t="s">
        <v>2158</v>
      </c>
      <c r="D787" s="454" t="s">
        <v>299</v>
      </c>
      <c r="E787" s="72"/>
      <c r="F787" s="75"/>
    </row>
    <row r="788" spans="2:6" s="82" customFormat="1" ht="15" customHeight="1" outlineLevel="2" x14ac:dyDescent="0.3">
      <c r="B788" s="444" t="s">
        <v>4406</v>
      </c>
      <c r="C788" s="460" t="s">
        <v>2159</v>
      </c>
      <c r="D788" s="454" t="s">
        <v>299</v>
      </c>
      <c r="E788" s="72"/>
      <c r="F788" s="75"/>
    </row>
    <row r="789" spans="2:6" s="82" customFormat="1" ht="15" customHeight="1" outlineLevel="2" x14ac:dyDescent="0.3">
      <c r="B789" s="444" t="s">
        <v>4407</v>
      </c>
      <c r="C789" s="460" t="s">
        <v>2160</v>
      </c>
      <c r="D789" s="454" t="s">
        <v>299</v>
      </c>
      <c r="E789" s="72"/>
      <c r="F789" s="75"/>
    </row>
    <row r="790" spans="2:6" s="82" customFormat="1" ht="15" customHeight="1" outlineLevel="2" x14ac:dyDescent="0.3">
      <c r="B790" s="444" t="s">
        <v>4408</v>
      </c>
      <c r="C790" s="460" t="s">
        <v>2161</v>
      </c>
      <c r="D790" s="454" t="s">
        <v>299</v>
      </c>
      <c r="E790" s="72"/>
      <c r="F790" s="75"/>
    </row>
    <row r="791" spans="2:6" s="82" customFormat="1" ht="15" customHeight="1" outlineLevel="2" x14ac:dyDescent="0.3">
      <c r="B791" s="444" t="s">
        <v>4409</v>
      </c>
      <c r="C791" s="460" t="s">
        <v>2162</v>
      </c>
      <c r="D791" s="454" t="s">
        <v>299</v>
      </c>
      <c r="E791" s="72"/>
      <c r="F791" s="75"/>
    </row>
    <row r="792" spans="2:6" s="82" customFormat="1" ht="15" customHeight="1" outlineLevel="2" x14ac:dyDescent="0.3">
      <c r="B792" s="444" t="s">
        <v>4410</v>
      </c>
      <c r="C792" s="460" t="s">
        <v>2163</v>
      </c>
      <c r="D792" s="454" t="s">
        <v>299</v>
      </c>
      <c r="E792" s="72"/>
      <c r="F792" s="75"/>
    </row>
    <row r="793" spans="2:6" s="82" customFormat="1" ht="15" customHeight="1" outlineLevel="2" x14ac:dyDescent="0.3">
      <c r="B793" s="444" t="s">
        <v>4411</v>
      </c>
      <c r="C793" s="460" t="s">
        <v>2164</v>
      </c>
      <c r="D793" s="454" t="s">
        <v>299</v>
      </c>
      <c r="E793" s="72"/>
      <c r="F793" s="75"/>
    </row>
    <row r="794" spans="2:6" s="82" customFormat="1" ht="15" customHeight="1" outlineLevel="2" x14ac:dyDescent="0.3">
      <c r="B794" s="444" t="s">
        <v>4412</v>
      </c>
      <c r="C794" s="460" t="s">
        <v>2165</v>
      </c>
      <c r="D794" s="454" t="s">
        <v>299</v>
      </c>
      <c r="E794" s="72"/>
      <c r="F794" s="75"/>
    </row>
    <row r="795" spans="2:6" s="82" customFormat="1" ht="15" customHeight="1" outlineLevel="2" x14ac:dyDescent="0.3">
      <c r="B795" s="444" t="s">
        <v>4413</v>
      </c>
      <c r="C795" s="460" t="s">
        <v>2166</v>
      </c>
      <c r="D795" s="454" t="s">
        <v>299</v>
      </c>
      <c r="E795" s="72"/>
      <c r="F795" s="75"/>
    </row>
    <row r="796" spans="2:6" s="82" customFormat="1" ht="15" customHeight="1" outlineLevel="2" x14ac:dyDescent="0.3">
      <c r="B796" s="444" t="s">
        <v>4414</v>
      </c>
      <c r="C796" s="460" t="s">
        <v>2167</v>
      </c>
      <c r="D796" s="454" t="s">
        <v>299</v>
      </c>
      <c r="E796" s="72"/>
      <c r="F796" s="75"/>
    </row>
    <row r="797" spans="2:6" s="82" customFormat="1" ht="15" customHeight="1" outlineLevel="2" x14ac:dyDescent="0.3">
      <c r="B797" s="444" t="s">
        <v>4415</v>
      </c>
      <c r="C797" s="460" t="s">
        <v>2168</v>
      </c>
      <c r="D797" s="454" t="s">
        <v>299</v>
      </c>
      <c r="E797" s="72"/>
      <c r="F797" s="75"/>
    </row>
    <row r="798" spans="2:6" s="82" customFormat="1" ht="15" customHeight="1" outlineLevel="2" x14ac:dyDescent="0.3">
      <c r="B798" s="444" t="s">
        <v>4416</v>
      </c>
      <c r="C798" s="460" t="s">
        <v>2169</v>
      </c>
      <c r="D798" s="454" t="s">
        <v>299</v>
      </c>
      <c r="E798" s="72"/>
      <c r="F798" s="75"/>
    </row>
    <row r="799" spans="2:6" s="82" customFormat="1" ht="15" customHeight="1" outlineLevel="2" x14ac:dyDescent="0.3">
      <c r="B799" s="444" t="s">
        <v>4417</v>
      </c>
      <c r="C799" s="460" t="s">
        <v>2170</v>
      </c>
      <c r="D799" s="454" t="s">
        <v>299</v>
      </c>
      <c r="E799" s="72"/>
      <c r="F799" s="75"/>
    </row>
    <row r="800" spans="2:6" s="10" customFormat="1" ht="15" customHeight="1" outlineLevel="1" x14ac:dyDescent="0.3">
      <c r="B800" s="444" t="s">
        <v>4418</v>
      </c>
      <c r="C800" s="459">
        <v>13.2</v>
      </c>
      <c r="D800" s="453" t="s">
        <v>4660</v>
      </c>
      <c r="E800" s="71">
        <f>SUM(E801:E820)</f>
        <v>0</v>
      </c>
      <c r="F800" s="74">
        <f>SUM(F801:F820)</f>
        <v>0</v>
      </c>
    </row>
    <row r="801" spans="2:6" s="82" customFormat="1" ht="15" customHeight="1" outlineLevel="2" x14ac:dyDescent="0.3">
      <c r="B801" s="444" t="s">
        <v>4419</v>
      </c>
      <c r="C801" s="460" t="s">
        <v>2171</v>
      </c>
      <c r="D801" s="454" t="s">
        <v>299</v>
      </c>
      <c r="E801" s="85"/>
      <c r="F801" s="86"/>
    </row>
    <row r="802" spans="2:6" s="82" customFormat="1" ht="15" customHeight="1" outlineLevel="2" x14ac:dyDescent="0.3">
      <c r="B802" s="444" t="s">
        <v>4420</v>
      </c>
      <c r="C802" s="460" t="s">
        <v>2172</v>
      </c>
      <c r="D802" s="454" t="s">
        <v>299</v>
      </c>
      <c r="E802" s="85"/>
      <c r="F802" s="86"/>
    </row>
    <row r="803" spans="2:6" s="82" customFormat="1" ht="15" customHeight="1" outlineLevel="2" x14ac:dyDescent="0.3">
      <c r="B803" s="444" t="s">
        <v>4421</v>
      </c>
      <c r="C803" s="460" t="s">
        <v>2173</v>
      </c>
      <c r="D803" s="454" t="s">
        <v>299</v>
      </c>
      <c r="E803" s="85"/>
      <c r="F803" s="86"/>
    </row>
    <row r="804" spans="2:6" s="82" customFormat="1" ht="15" customHeight="1" outlineLevel="2" x14ac:dyDescent="0.3">
      <c r="B804" s="444" t="s">
        <v>4422</v>
      </c>
      <c r="C804" s="460" t="s">
        <v>2174</v>
      </c>
      <c r="D804" s="454" t="s">
        <v>299</v>
      </c>
      <c r="E804" s="85"/>
      <c r="F804" s="86"/>
    </row>
    <row r="805" spans="2:6" s="82" customFormat="1" ht="15" customHeight="1" outlineLevel="2" x14ac:dyDescent="0.3">
      <c r="B805" s="444" t="s">
        <v>4423</v>
      </c>
      <c r="C805" s="460" t="s">
        <v>2175</v>
      </c>
      <c r="D805" s="454" t="s">
        <v>299</v>
      </c>
      <c r="E805" s="85"/>
      <c r="F805" s="86"/>
    </row>
    <row r="806" spans="2:6" s="82" customFormat="1" ht="15" customHeight="1" outlineLevel="2" x14ac:dyDescent="0.3">
      <c r="B806" s="444" t="s">
        <v>4424</v>
      </c>
      <c r="C806" s="460" t="s">
        <v>2176</v>
      </c>
      <c r="D806" s="454" t="s">
        <v>299</v>
      </c>
      <c r="E806" s="85"/>
      <c r="F806" s="86"/>
    </row>
    <row r="807" spans="2:6" s="82" customFormat="1" ht="15" customHeight="1" outlineLevel="2" x14ac:dyDescent="0.3">
      <c r="B807" s="444" t="s">
        <v>4425</v>
      </c>
      <c r="C807" s="460" t="s">
        <v>2177</v>
      </c>
      <c r="D807" s="454" t="s">
        <v>299</v>
      </c>
      <c r="E807" s="85"/>
      <c r="F807" s="86"/>
    </row>
    <row r="808" spans="2:6" s="82" customFormat="1" ht="15" customHeight="1" outlineLevel="2" x14ac:dyDescent="0.3">
      <c r="B808" s="444" t="s">
        <v>4426</v>
      </c>
      <c r="C808" s="460" t="s">
        <v>2178</v>
      </c>
      <c r="D808" s="454" t="s">
        <v>299</v>
      </c>
      <c r="E808" s="85"/>
      <c r="F808" s="86"/>
    </row>
    <row r="809" spans="2:6" s="82" customFormat="1" ht="15" customHeight="1" outlineLevel="2" x14ac:dyDescent="0.3">
      <c r="B809" s="444" t="s">
        <v>4427</v>
      </c>
      <c r="C809" s="460" t="s">
        <v>2179</v>
      </c>
      <c r="D809" s="454" t="s">
        <v>299</v>
      </c>
      <c r="E809" s="85"/>
      <c r="F809" s="86"/>
    </row>
    <row r="810" spans="2:6" s="82" customFormat="1" ht="15" customHeight="1" outlineLevel="2" x14ac:dyDescent="0.3">
      <c r="B810" s="444" t="s">
        <v>4428</v>
      </c>
      <c r="C810" s="460" t="s">
        <v>2180</v>
      </c>
      <c r="D810" s="454" t="s">
        <v>299</v>
      </c>
      <c r="E810" s="85"/>
      <c r="F810" s="86"/>
    </row>
    <row r="811" spans="2:6" s="82" customFormat="1" ht="15" customHeight="1" outlineLevel="2" x14ac:dyDescent="0.3">
      <c r="B811" s="444" t="s">
        <v>4429</v>
      </c>
      <c r="C811" s="460" t="s">
        <v>2181</v>
      </c>
      <c r="D811" s="454" t="s">
        <v>299</v>
      </c>
      <c r="E811" s="85"/>
      <c r="F811" s="86"/>
    </row>
    <row r="812" spans="2:6" s="82" customFormat="1" ht="15" customHeight="1" outlineLevel="2" x14ac:dyDescent="0.3">
      <c r="B812" s="444" t="s">
        <v>4430</v>
      </c>
      <c r="C812" s="460" t="s">
        <v>2182</v>
      </c>
      <c r="D812" s="454" t="s">
        <v>299</v>
      </c>
      <c r="E812" s="85"/>
      <c r="F812" s="86"/>
    </row>
    <row r="813" spans="2:6" s="82" customFormat="1" ht="15" customHeight="1" outlineLevel="2" x14ac:dyDescent="0.3">
      <c r="B813" s="444" t="s">
        <v>4431</v>
      </c>
      <c r="C813" s="460" t="s">
        <v>2183</v>
      </c>
      <c r="D813" s="454" t="s">
        <v>299</v>
      </c>
      <c r="E813" s="85"/>
      <c r="F813" s="86"/>
    </row>
    <row r="814" spans="2:6" s="82" customFormat="1" ht="15" customHeight="1" outlineLevel="2" x14ac:dyDescent="0.3">
      <c r="B814" s="444" t="s">
        <v>4432</v>
      </c>
      <c r="C814" s="460" t="s">
        <v>2184</v>
      </c>
      <c r="D814" s="454" t="s">
        <v>299</v>
      </c>
      <c r="E814" s="85"/>
      <c r="F814" s="86"/>
    </row>
    <row r="815" spans="2:6" s="82" customFormat="1" ht="15" customHeight="1" outlineLevel="2" x14ac:dyDescent="0.3">
      <c r="B815" s="444" t="s">
        <v>4433</v>
      </c>
      <c r="C815" s="460" t="s">
        <v>2185</v>
      </c>
      <c r="D815" s="454" t="s">
        <v>299</v>
      </c>
      <c r="E815" s="85"/>
      <c r="F815" s="86"/>
    </row>
    <row r="816" spans="2:6" s="82" customFormat="1" ht="15" customHeight="1" outlineLevel="2" x14ac:dyDescent="0.3">
      <c r="B816" s="444" t="s">
        <v>4434</v>
      </c>
      <c r="C816" s="460" t="s">
        <v>2186</v>
      </c>
      <c r="D816" s="454" t="s">
        <v>299</v>
      </c>
      <c r="E816" s="85"/>
      <c r="F816" s="86"/>
    </row>
    <row r="817" spans="2:6" s="82" customFormat="1" ht="15" customHeight="1" outlineLevel="2" x14ac:dyDescent="0.3">
      <c r="B817" s="444" t="s">
        <v>4435</v>
      </c>
      <c r="C817" s="460" t="s">
        <v>2187</v>
      </c>
      <c r="D817" s="454" t="s">
        <v>299</v>
      </c>
      <c r="E817" s="85"/>
      <c r="F817" s="86"/>
    </row>
    <row r="818" spans="2:6" s="82" customFormat="1" ht="15" customHeight="1" outlineLevel="2" x14ac:dyDescent="0.3">
      <c r="B818" s="444" t="s">
        <v>4436</v>
      </c>
      <c r="C818" s="460" t="s">
        <v>2188</v>
      </c>
      <c r="D818" s="454" t="s">
        <v>299</v>
      </c>
      <c r="E818" s="85"/>
      <c r="F818" s="86"/>
    </row>
    <row r="819" spans="2:6" s="82" customFormat="1" ht="15" customHeight="1" outlineLevel="2" x14ac:dyDescent="0.3">
      <c r="B819" s="444" t="s">
        <v>4437</v>
      </c>
      <c r="C819" s="460" t="s">
        <v>2189</v>
      </c>
      <c r="D819" s="454" t="s">
        <v>299</v>
      </c>
      <c r="E819" s="85"/>
      <c r="F819" s="86"/>
    </row>
    <row r="820" spans="2:6" s="82" customFormat="1" ht="15" customHeight="1" outlineLevel="2" x14ac:dyDescent="0.3">
      <c r="B820" s="444" t="s">
        <v>4438</v>
      </c>
      <c r="C820" s="460" t="s">
        <v>2190</v>
      </c>
      <c r="D820" s="454" t="s">
        <v>299</v>
      </c>
      <c r="E820" s="85"/>
      <c r="F820" s="86"/>
    </row>
    <row r="821" spans="2:6" s="10" customFormat="1" ht="15" customHeight="1" outlineLevel="1" x14ac:dyDescent="0.3">
      <c r="B821" s="444" t="s">
        <v>4439</v>
      </c>
      <c r="C821" s="459">
        <v>13.3</v>
      </c>
      <c r="D821" s="453" t="s">
        <v>304</v>
      </c>
      <c r="E821" s="71">
        <f>SUM(E822:E841)</f>
        <v>0</v>
      </c>
      <c r="F821" s="74">
        <f>SUM(F822:F841)</f>
        <v>0</v>
      </c>
    </row>
    <row r="822" spans="2:6" s="82" customFormat="1" ht="15" customHeight="1" outlineLevel="2" x14ac:dyDescent="0.3">
      <c r="B822" s="444" t="s">
        <v>4440</v>
      </c>
      <c r="C822" s="460" t="s">
        <v>2191</v>
      </c>
      <c r="D822" s="454" t="s">
        <v>299</v>
      </c>
      <c r="E822" s="72"/>
      <c r="F822" s="75"/>
    </row>
    <row r="823" spans="2:6" s="82" customFormat="1" ht="15" customHeight="1" outlineLevel="2" x14ac:dyDescent="0.3">
      <c r="B823" s="444" t="s">
        <v>4441</v>
      </c>
      <c r="C823" s="460" t="s">
        <v>2192</v>
      </c>
      <c r="D823" s="454" t="s">
        <v>299</v>
      </c>
      <c r="E823" s="72"/>
      <c r="F823" s="75"/>
    </row>
    <row r="824" spans="2:6" s="82" customFormat="1" ht="15" customHeight="1" outlineLevel="2" x14ac:dyDescent="0.3">
      <c r="B824" s="444" t="s">
        <v>4442</v>
      </c>
      <c r="C824" s="460" t="s">
        <v>2193</v>
      </c>
      <c r="D824" s="454" t="s">
        <v>299</v>
      </c>
      <c r="E824" s="72"/>
      <c r="F824" s="75"/>
    </row>
    <row r="825" spans="2:6" s="82" customFormat="1" ht="15" customHeight="1" outlineLevel="2" x14ac:dyDescent="0.3">
      <c r="B825" s="444" t="s">
        <v>4443</v>
      </c>
      <c r="C825" s="460" t="s">
        <v>2194</v>
      </c>
      <c r="D825" s="454" t="s">
        <v>299</v>
      </c>
      <c r="E825" s="72"/>
      <c r="F825" s="75"/>
    </row>
    <row r="826" spans="2:6" s="82" customFormat="1" ht="15" customHeight="1" outlineLevel="2" x14ac:dyDescent="0.3">
      <c r="B826" s="444" t="s">
        <v>4444</v>
      </c>
      <c r="C826" s="460" t="s">
        <v>2195</v>
      </c>
      <c r="D826" s="454" t="s">
        <v>299</v>
      </c>
      <c r="E826" s="72"/>
      <c r="F826" s="75"/>
    </row>
    <row r="827" spans="2:6" s="82" customFormat="1" ht="15" customHeight="1" outlineLevel="2" x14ac:dyDescent="0.3">
      <c r="B827" s="444" t="s">
        <v>4445</v>
      </c>
      <c r="C827" s="460" t="s">
        <v>2196</v>
      </c>
      <c r="D827" s="454" t="s">
        <v>299</v>
      </c>
      <c r="E827" s="72"/>
      <c r="F827" s="75"/>
    </row>
    <row r="828" spans="2:6" s="82" customFormat="1" ht="15" customHeight="1" outlineLevel="2" x14ac:dyDescent="0.3">
      <c r="B828" s="444" t="s">
        <v>4446</v>
      </c>
      <c r="C828" s="460" t="s">
        <v>2197</v>
      </c>
      <c r="D828" s="454" t="s">
        <v>299</v>
      </c>
      <c r="E828" s="72"/>
      <c r="F828" s="75"/>
    </row>
    <row r="829" spans="2:6" s="82" customFormat="1" ht="15" customHeight="1" outlineLevel="2" x14ac:dyDescent="0.3">
      <c r="B829" s="444" t="s">
        <v>4447</v>
      </c>
      <c r="C829" s="460" t="s">
        <v>2198</v>
      </c>
      <c r="D829" s="454" t="s">
        <v>299</v>
      </c>
      <c r="E829" s="72"/>
      <c r="F829" s="75"/>
    </row>
    <row r="830" spans="2:6" s="82" customFormat="1" ht="15" customHeight="1" outlineLevel="2" x14ac:dyDescent="0.3">
      <c r="B830" s="444" t="s">
        <v>4448</v>
      </c>
      <c r="C830" s="460" t="s">
        <v>2199</v>
      </c>
      <c r="D830" s="454" t="s">
        <v>299</v>
      </c>
      <c r="E830" s="72"/>
      <c r="F830" s="75"/>
    </row>
    <row r="831" spans="2:6" s="82" customFormat="1" ht="15" customHeight="1" outlineLevel="2" x14ac:dyDescent="0.3">
      <c r="B831" s="444" t="s">
        <v>4449</v>
      </c>
      <c r="C831" s="460" t="s">
        <v>2200</v>
      </c>
      <c r="D831" s="454" t="s">
        <v>299</v>
      </c>
      <c r="E831" s="72"/>
      <c r="F831" s="75"/>
    </row>
    <row r="832" spans="2:6" s="82" customFormat="1" ht="15" customHeight="1" outlineLevel="2" x14ac:dyDescent="0.3">
      <c r="B832" s="444" t="s">
        <v>4450</v>
      </c>
      <c r="C832" s="460" t="s">
        <v>2201</v>
      </c>
      <c r="D832" s="454" t="s">
        <v>299</v>
      </c>
      <c r="E832" s="72"/>
      <c r="F832" s="75"/>
    </row>
    <row r="833" spans="2:6" s="82" customFormat="1" ht="15" customHeight="1" outlineLevel="2" x14ac:dyDescent="0.3">
      <c r="B833" s="444" t="s">
        <v>4451</v>
      </c>
      <c r="C833" s="460" t="s">
        <v>2202</v>
      </c>
      <c r="D833" s="454" t="s">
        <v>299</v>
      </c>
      <c r="E833" s="72"/>
      <c r="F833" s="75"/>
    </row>
    <row r="834" spans="2:6" s="82" customFormat="1" ht="15" customHeight="1" outlineLevel="2" x14ac:dyDescent="0.3">
      <c r="B834" s="444" t="s">
        <v>4452</v>
      </c>
      <c r="C834" s="460" t="s">
        <v>2203</v>
      </c>
      <c r="D834" s="454" t="s">
        <v>299</v>
      </c>
      <c r="E834" s="72"/>
      <c r="F834" s="75"/>
    </row>
    <row r="835" spans="2:6" s="82" customFormat="1" ht="15" customHeight="1" outlineLevel="2" x14ac:dyDescent="0.3">
      <c r="B835" s="444" t="s">
        <v>4453</v>
      </c>
      <c r="C835" s="460" t="s">
        <v>2204</v>
      </c>
      <c r="D835" s="454" t="s">
        <v>299</v>
      </c>
      <c r="E835" s="72"/>
      <c r="F835" s="75"/>
    </row>
    <row r="836" spans="2:6" s="82" customFormat="1" ht="15" customHeight="1" outlineLevel="2" x14ac:dyDescent="0.3">
      <c r="B836" s="444" t="s">
        <v>4454</v>
      </c>
      <c r="C836" s="460" t="s">
        <v>2205</v>
      </c>
      <c r="D836" s="454" t="s">
        <v>299</v>
      </c>
      <c r="E836" s="72"/>
      <c r="F836" s="75"/>
    </row>
    <row r="837" spans="2:6" s="82" customFormat="1" ht="15" customHeight="1" outlineLevel="2" x14ac:dyDescent="0.3">
      <c r="B837" s="444" t="s">
        <v>4455</v>
      </c>
      <c r="C837" s="460" t="s">
        <v>2206</v>
      </c>
      <c r="D837" s="454" t="s">
        <v>299</v>
      </c>
      <c r="E837" s="72"/>
      <c r="F837" s="75"/>
    </row>
    <row r="838" spans="2:6" s="82" customFormat="1" ht="15" customHeight="1" outlineLevel="2" x14ac:dyDescent="0.3">
      <c r="B838" s="444" t="s">
        <v>4456</v>
      </c>
      <c r="C838" s="460" t="s">
        <v>2207</v>
      </c>
      <c r="D838" s="454" t="s">
        <v>299</v>
      </c>
      <c r="E838" s="72"/>
      <c r="F838" s="75"/>
    </row>
    <row r="839" spans="2:6" s="82" customFormat="1" ht="15" customHeight="1" outlineLevel="2" x14ac:dyDescent="0.3">
      <c r="B839" s="444" t="s">
        <v>4457</v>
      </c>
      <c r="C839" s="460" t="s">
        <v>2208</v>
      </c>
      <c r="D839" s="454" t="s">
        <v>299</v>
      </c>
      <c r="E839" s="72"/>
      <c r="F839" s="75"/>
    </row>
    <row r="840" spans="2:6" s="82" customFormat="1" ht="15" customHeight="1" outlineLevel="2" x14ac:dyDescent="0.3">
      <c r="B840" s="444" t="s">
        <v>4458</v>
      </c>
      <c r="C840" s="460" t="s">
        <v>2209</v>
      </c>
      <c r="D840" s="454" t="s">
        <v>299</v>
      </c>
      <c r="E840" s="72"/>
      <c r="F840" s="75"/>
    </row>
    <row r="841" spans="2:6" s="82" customFormat="1" ht="15" customHeight="1" outlineLevel="2" x14ac:dyDescent="0.3">
      <c r="B841" s="444" t="s">
        <v>4459</v>
      </c>
      <c r="C841" s="460" t="s">
        <v>2210</v>
      </c>
      <c r="D841" s="454" t="s">
        <v>299</v>
      </c>
      <c r="E841" s="72"/>
      <c r="F841" s="75"/>
    </row>
    <row r="842" spans="2:6" s="10" customFormat="1" ht="15" customHeight="1" outlineLevel="1" x14ac:dyDescent="0.3">
      <c r="B842" s="444" t="s">
        <v>4460</v>
      </c>
      <c r="C842" s="459">
        <v>13.4</v>
      </c>
      <c r="D842" s="453" t="s">
        <v>4661</v>
      </c>
      <c r="E842" s="71">
        <f>SUM(E843:E862)</f>
        <v>0</v>
      </c>
      <c r="F842" s="74">
        <f>SUM(F843:F862)</f>
        <v>0</v>
      </c>
    </row>
    <row r="843" spans="2:6" s="82" customFormat="1" ht="15" customHeight="1" outlineLevel="2" x14ac:dyDescent="0.3">
      <c r="B843" s="444" t="s">
        <v>4461</v>
      </c>
      <c r="C843" s="460" t="s">
        <v>2211</v>
      </c>
      <c r="D843" s="454" t="s">
        <v>299</v>
      </c>
      <c r="E843" s="85"/>
      <c r="F843" s="86"/>
    </row>
    <row r="844" spans="2:6" s="82" customFormat="1" ht="15" customHeight="1" outlineLevel="2" x14ac:dyDescent="0.3">
      <c r="B844" s="444" t="s">
        <v>4462</v>
      </c>
      <c r="C844" s="460" t="s">
        <v>2212</v>
      </c>
      <c r="D844" s="454" t="s">
        <v>299</v>
      </c>
      <c r="E844" s="85"/>
      <c r="F844" s="86"/>
    </row>
    <row r="845" spans="2:6" s="82" customFormat="1" ht="15" customHeight="1" outlineLevel="2" x14ac:dyDescent="0.3">
      <c r="B845" s="444" t="s">
        <v>4463</v>
      </c>
      <c r="C845" s="460" t="s">
        <v>2213</v>
      </c>
      <c r="D845" s="454" t="s">
        <v>299</v>
      </c>
      <c r="E845" s="85"/>
      <c r="F845" s="86"/>
    </row>
    <row r="846" spans="2:6" s="82" customFormat="1" ht="15" customHeight="1" outlineLevel="2" x14ac:dyDescent="0.3">
      <c r="B846" s="444" t="s">
        <v>4464</v>
      </c>
      <c r="C846" s="460" t="s">
        <v>2214</v>
      </c>
      <c r="D846" s="454" t="s">
        <v>299</v>
      </c>
      <c r="E846" s="85"/>
      <c r="F846" s="86"/>
    </row>
    <row r="847" spans="2:6" s="82" customFormat="1" ht="15" customHeight="1" outlineLevel="2" x14ac:dyDescent="0.3">
      <c r="B847" s="444" t="s">
        <v>4465</v>
      </c>
      <c r="C847" s="460" t="s">
        <v>2215</v>
      </c>
      <c r="D847" s="454" t="s">
        <v>299</v>
      </c>
      <c r="E847" s="85"/>
      <c r="F847" s="86"/>
    </row>
    <row r="848" spans="2:6" s="82" customFormat="1" ht="15" customHeight="1" outlineLevel="2" x14ac:dyDescent="0.3">
      <c r="B848" s="444" t="s">
        <v>4466</v>
      </c>
      <c r="C848" s="460" t="s">
        <v>2216</v>
      </c>
      <c r="D848" s="454" t="s">
        <v>299</v>
      </c>
      <c r="E848" s="85"/>
      <c r="F848" s="86"/>
    </row>
    <row r="849" spans="2:6" s="82" customFormat="1" ht="15" customHeight="1" outlineLevel="2" x14ac:dyDescent="0.3">
      <c r="B849" s="444" t="s">
        <v>4467</v>
      </c>
      <c r="C849" s="460" t="s">
        <v>2217</v>
      </c>
      <c r="D849" s="454" t="s">
        <v>299</v>
      </c>
      <c r="E849" s="85"/>
      <c r="F849" s="86"/>
    </row>
    <row r="850" spans="2:6" s="82" customFormat="1" ht="15" customHeight="1" outlineLevel="2" x14ac:dyDescent="0.3">
      <c r="B850" s="444" t="s">
        <v>4468</v>
      </c>
      <c r="C850" s="460" t="s">
        <v>2218</v>
      </c>
      <c r="D850" s="454" t="s">
        <v>299</v>
      </c>
      <c r="E850" s="85"/>
      <c r="F850" s="86"/>
    </row>
    <row r="851" spans="2:6" s="82" customFormat="1" ht="15" customHeight="1" outlineLevel="2" x14ac:dyDescent="0.3">
      <c r="B851" s="444" t="s">
        <v>4469</v>
      </c>
      <c r="C851" s="460" t="s">
        <v>2219</v>
      </c>
      <c r="D851" s="454" t="s">
        <v>299</v>
      </c>
      <c r="E851" s="85"/>
      <c r="F851" s="86"/>
    </row>
    <row r="852" spans="2:6" s="82" customFormat="1" ht="15" customHeight="1" outlineLevel="2" x14ac:dyDescent="0.3">
      <c r="B852" s="444" t="s">
        <v>4470</v>
      </c>
      <c r="C852" s="460" t="s">
        <v>2220</v>
      </c>
      <c r="D852" s="454" t="s">
        <v>299</v>
      </c>
      <c r="E852" s="85"/>
      <c r="F852" s="86"/>
    </row>
    <row r="853" spans="2:6" s="82" customFormat="1" ht="15" customHeight="1" outlineLevel="2" x14ac:dyDescent="0.3">
      <c r="B853" s="444" t="s">
        <v>4471</v>
      </c>
      <c r="C853" s="460" t="s">
        <v>2221</v>
      </c>
      <c r="D853" s="454" t="s">
        <v>299</v>
      </c>
      <c r="E853" s="85"/>
      <c r="F853" s="86"/>
    </row>
    <row r="854" spans="2:6" s="82" customFormat="1" ht="15" customHeight="1" outlineLevel="2" x14ac:dyDescent="0.3">
      <c r="B854" s="444" t="s">
        <v>4472</v>
      </c>
      <c r="C854" s="460" t="s">
        <v>2222</v>
      </c>
      <c r="D854" s="454" t="s">
        <v>299</v>
      </c>
      <c r="E854" s="85"/>
      <c r="F854" s="86"/>
    </row>
    <row r="855" spans="2:6" s="82" customFormat="1" ht="15" customHeight="1" outlineLevel="2" x14ac:dyDescent="0.3">
      <c r="B855" s="444" t="s">
        <v>4473</v>
      </c>
      <c r="C855" s="460" t="s">
        <v>2223</v>
      </c>
      <c r="D855" s="454" t="s">
        <v>299</v>
      </c>
      <c r="E855" s="85"/>
      <c r="F855" s="86"/>
    </row>
    <row r="856" spans="2:6" s="82" customFormat="1" ht="15" customHeight="1" outlineLevel="2" x14ac:dyDescent="0.3">
      <c r="B856" s="444" t="s">
        <v>4474</v>
      </c>
      <c r="C856" s="460" t="s">
        <v>2224</v>
      </c>
      <c r="D856" s="454" t="s">
        <v>299</v>
      </c>
      <c r="E856" s="85"/>
      <c r="F856" s="86"/>
    </row>
    <row r="857" spans="2:6" s="82" customFormat="1" ht="15" customHeight="1" outlineLevel="2" x14ac:dyDescent="0.3">
      <c r="B857" s="444" t="s">
        <v>4475</v>
      </c>
      <c r="C857" s="460" t="s">
        <v>2225</v>
      </c>
      <c r="D857" s="454" t="s">
        <v>299</v>
      </c>
      <c r="E857" s="85"/>
      <c r="F857" s="86"/>
    </row>
    <row r="858" spans="2:6" s="82" customFormat="1" ht="15" customHeight="1" outlineLevel="2" x14ac:dyDescent="0.3">
      <c r="B858" s="444" t="s">
        <v>4476</v>
      </c>
      <c r="C858" s="460" t="s">
        <v>2226</v>
      </c>
      <c r="D858" s="454" t="s">
        <v>299</v>
      </c>
      <c r="E858" s="85"/>
      <c r="F858" s="86"/>
    </row>
    <row r="859" spans="2:6" s="82" customFormat="1" ht="15" customHeight="1" outlineLevel="2" x14ac:dyDescent="0.3">
      <c r="B859" s="444" t="s">
        <v>4477</v>
      </c>
      <c r="C859" s="460" t="s">
        <v>2227</v>
      </c>
      <c r="D859" s="454" t="s">
        <v>299</v>
      </c>
      <c r="E859" s="85"/>
      <c r="F859" s="86"/>
    </row>
    <row r="860" spans="2:6" s="82" customFormat="1" ht="15" customHeight="1" outlineLevel="2" x14ac:dyDescent="0.3">
      <c r="B860" s="444" t="s">
        <v>4478</v>
      </c>
      <c r="C860" s="460" t="s">
        <v>2228</v>
      </c>
      <c r="D860" s="454" t="s">
        <v>299</v>
      </c>
      <c r="E860" s="85"/>
      <c r="F860" s="86"/>
    </row>
    <row r="861" spans="2:6" s="82" customFormat="1" ht="15" customHeight="1" outlineLevel="2" x14ac:dyDescent="0.3">
      <c r="B861" s="444" t="s">
        <v>4479</v>
      </c>
      <c r="C861" s="460" t="s">
        <v>2229</v>
      </c>
      <c r="D861" s="454" t="s">
        <v>299</v>
      </c>
      <c r="E861" s="85"/>
      <c r="F861" s="86"/>
    </row>
    <row r="862" spans="2:6" s="82" customFormat="1" ht="15" customHeight="1" outlineLevel="2" x14ac:dyDescent="0.3">
      <c r="B862" s="444" t="s">
        <v>4480</v>
      </c>
      <c r="C862" s="460" t="s">
        <v>2230</v>
      </c>
      <c r="D862" s="454" t="s">
        <v>299</v>
      </c>
      <c r="E862" s="85"/>
      <c r="F862" s="86"/>
    </row>
    <row r="863" spans="2:6" s="82" customFormat="1" ht="15" customHeight="1" x14ac:dyDescent="0.3">
      <c r="B863" s="444" t="s">
        <v>4481</v>
      </c>
      <c r="C863" s="461">
        <v>14</v>
      </c>
      <c r="D863" s="455" t="s">
        <v>282</v>
      </c>
      <c r="E863" s="70">
        <f>E864+E885+E906+E927</f>
        <v>0</v>
      </c>
      <c r="F863" s="73">
        <f>F864+F885+F906+F927</f>
        <v>0</v>
      </c>
    </row>
    <row r="864" spans="2:6" s="10" customFormat="1" ht="15" customHeight="1" outlineLevel="1" x14ac:dyDescent="0.3">
      <c r="B864" s="444" t="s">
        <v>4482</v>
      </c>
      <c r="C864" s="459">
        <v>14.1</v>
      </c>
      <c r="D864" s="453" t="s">
        <v>303</v>
      </c>
      <c r="E864" s="71">
        <f>SUM(E865:E884)</f>
        <v>0</v>
      </c>
      <c r="F864" s="74">
        <f>SUM(F865:F884)</f>
        <v>0</v>
      </c>
    </row>
    <row r="865" spans="2:6" s="82" customFormat="1" ht="15" customHeight="1" outlineLevel="2" x14ac:dyDescent="0.3">
      <c r="B865" s="444" t="s">
        <v>4483</v>
      </c>
      <c r="C865" s="460" t="s">
        <v>2231</v>
      </c>
      <c r="D865" s="454" t="s">
        <v>299</v>
      </c>
      <c r="E865" s="72"/>
      <c r="F865" s="75"/>
    </row>
    <row r="866" spans="2:6" s="82" customFormat="1" ht="15" customHeight="1" outlineLevel="2" x14ac:dyDescent="0.3">
      <c r="B866" s="444" t="s">
        <v>4484</v>
      </c>
      <c r="C866" s="460" t="s">
        <v>2232</v>
      </c>
      <c r="D866" s="454" t="s">
        <v>299</v>
      </c>
      <c r="E866" s="72"/>
      <c r="F866" s="75"/>
    </row>
    <row r="867" spans="2:6" s="82" customFormat="1" ht="15" customHeight="1" outlineLevel="2" x14ac:dyDescent="0.3">
      <c r="B867" s="444" t="s">
        <v>4485</v>
      </c>
      <c r="C867" s="460" t="s">
        <v>2233</v>
      </c>
      <c r="D867" s="454" t="s">
        <v>299</v>
      </c>
      <c r="E867" s="72"/>
      <c r="F867" s="75"/>
    </row>
    <row r="868" spans="2:6" s="82" customFormat="1" ht="15" customHeight="1" outlineLevel="2" x14ac:dyDescent="0.3">
      <c r="B868" s="444" t="s">
        <v>4486</v>
      </c>
      <c r="C868" s="460" t="s">
        <v>2234</v>
      </c>
      <c r="D868" s="454" t="s">
        <v>299</v>
      </c>
      <c r="E868" s="72"/>
      <c r="F868" s="75"/>
    </row>
    <row r="869" spans="2:6" s="82" customFormat="1" ht="15" customHeight="1" outlineLevel="2" x14ac:dyDescent="0.3">
      <c r="B869" s="444" t="s">
        <v>4487</v>
      </c>
      <c r="C869" s="460" t="s">
        <v>2235</v>
      </c>
      <c r="D869" s="454" t="s">
        <v>299</v>
      </c>
      <c r="E869" s="72"/>
      <c r="F869" s="75"/>
    </row>
    <row r="870" spans="2:6" s="82" customFormat="1" ht="15" customHeight="1" outlineLevel="2" x14ac:dyDescent="0.3">
      <c r="B870" s="444" t="s">
        <v>4488</v>
      </c>
      <c r="C870" s="460" t="s">
        <v>2236</v>
      </c>
      <c r="D870" s="454" t="s">
        <v>299</v>
      </c>
      <c r="E870" s="72"/>
      <c r="F870" s="75"/>
    </row>
    <row r="871" spans="2:6" s="82" customFormat="1" ht="15" customHeight="1" outlineLevel="2" x14ac:dyDescent="0.3">
      <c r="B871" s="444" t="s">
        <v>4489</v>
      </c>
      <c r="C871" s="460" t="s">
        <v>2237</v>
      </c>
      <c r="D871" s="454" t="s">
        <v>299</v>
      </c>
      <c r="E871" s="72"/>
      <c r="F871" s="75"/>
    </row>
    <row r="872" spans="2:6" s="82" customFormat="1" ht="15" customHeight="1" outlineLevel="2" x14ac:dyDescent="0.3">
      <c r="B872" s="444" t="s">
        <v>4490</v>
      </c>
      <c r="C872" s="460" t="s">
        <v>2238</v>
      </c>
      <c r="D872" s="454" t="s">
        <v>299</v>
      </c>
      <c r="E872" s="72"/>
      <c r="F872" s="75"/>
    </row>
    <row r="873" spans="2:6" s="82" customFormat="1" ht="15" customHeight="1" outlineLevel="2" x14ac:dyDescent="0.3">
      <c r="B873" s="444" t="s">
        <v>4491</v>
      </c>
      <c r="C873" s="460" t="s">
        <v>2239</v>
      </c>
      <c r="D873" s="454" t="s">
        <v>299</v>
      </c>
      <c r="E873" s="72"/>
      <c r="F873" s="75"/>
    </row>
    <row r="874" spans="2:6" s="82" customFormat="1" ht="15" customHeight="1" outlineLevel="2" x14ac:dyDescent="0.3">
      <c r="B874" s="444" t="s">
        <v>4492</v>
      </c>
      <c r="C874" s="460" t="s">
        <v>2240</v>
      </c>
      <c r="D874" s="454" t="s">
        <v>299</v>
      </c>
      <c r="E874" s="72"/>
      <c r="F874" s="75"/>
    </row>
    <row r="875" spans="2:6" s="82" customFormat="1" ht="15" customHeight="1" outlineLevel="2" x14ac:dyDescent="0.3">
      <c r="B875" s="444" t="s">
        <v>4493</v>
      </c>
      <c r="C875" s="460" t="s">
        <v>2241</v>
      </c>
      <c r="D875" s="454" t="s">
        <v>299</v>
      </c>
      <c r="E875" s="72"/>
      <c r="F875" s="75"/>
    </row>
    <row r="876" spans="2:6" s="82" customFormat="1" ht="15" customHeight="1" outlineLevel="2" x14ac:dyDescent="0.3">
      <c r="B876" s="444" t="s">
        <v>4494</v>
      </c>
      <c r="C876" s="460" t="s">
        <v>2242</v>
      </c>
      <c r="D876" s="454" t="s">
        <v>299</v>
      </c>
      <c r="E876" s="72"/>
      <c r="F876" s="75"/>
    </row>
    <row r="877" spans="2:6" s="82" customFormat="1" ht="15" customHeight="1" outlineLevel="2" x14ac:dyDescent="0.3">
      <c r="B877" s="444" t="s">
        <v>4495</v>
      </c>
      <c r="C877" s="460" t="s">
        <v>2243</v>
      </c>
      <c r="D877" s="454" t="s">
        <v>299</v>
      </c>
      <c r="E877" s="72"/>
      <c r="F877" s="75"/>
    </row>
    <row r="878" spans="2:6" s="82" customFormat="1" ht="15" customHeight="1" outlineLevel="2" x14ac:dyDescent="0.3">
      <c r="B878" s="444" t="s">
        <v>4496</v>
      </c>
      <c r="C878" s="460" t="s">
        <v>2244</v>
      </c>
      <c r="D878" s="454" t="s">
        <v>299</v>
      </c>
      <c r="E878" s="72"/>
      <c r="F878" s="75"/>
    </row>
    <row r="879" spans="2:6" s="82" customFormat="1" ht="15" customHeight="1" outlineLevel="2" x14ac:dyDescent="0.3">
      <c r="B879" s="444" t="s">
        <v>4497</v>
      </c>
      <c r="C879" s="460" t="s">
        <v>2245</v>
      </c>
      <c r="D879" s="454" t="s">
        <v>299</v>
      </c>
      <c r="E879" s="72"/>
      <c r="F879" s="75"/>
    </row>
    <row r="880" spans="2:6" s="82" customFormat="1" ht="15" customHeight="1" outlineLevel="2" x14ac:dyDescent="0.3">
      <c r="B880" s="444" t="s">
        <v>4498</v>
      </c>
      <c r="C880" s="460" t="s">
        <v>2246</v>
      </c>
      <c r="D880" s="454" t="s">
        <v>299</v>
      </c>
      <c r="E880" s="72"/>
      <c r="F880" s="75"/>
    </row>
    <row r="881" spans="2:6" s="82" customFormat="1" ht="15" customHeight="1" outlineLevel="2" x14ac:dyDescent="0.3">
      <c r="B881" s="444" t="s">
        <v>4499</v>
      </c>
      <c r="C881" s="460" t="s">
        <v>2247</v>
      </c>
      <c r="D881" s="454" t="s">
        <v>299</v>
      </c>
      <c r="E881" s="72"/>
      <c r="F881" s="75"/>
    </row>
    <row r="882" spans="2:6" s="82" customFormat="1" ht="15" customHeight="1" outlineLevel="2" x14ac:dyDescent="0.3">
      <c r="B882" s="444" t="s">
        <v>4500</v>
      </c>
      <c r="C882" s="460" t="s">
        <v>2248</v>
      </c>
      <c r="D882" s="454" t="s">
        <v>299</v>
      </c>
      <c r="E882" s="72"/>
      <c r="F882" s="75"/>
    </row>
    <row r="883" spans="2:6" s="82" customFormat="1" ht="15" customHeight="1" outlineLevel="2" x14ac:dyDescent="0.3">
      <c r="B883" s="444" t="s">
        <v>4501</v>
      </c>
      <c r="C883" s="460" t="s">
        <v>2249</v>
      </c>
      <c r="D883" s="454" t="s">
        <v>299</v>
      </c>
      <c r="E883" s="72"/>
      <c r="F883" s="75"/>
    </row>
    <row r="884" spans="2:6" s="82" customFormat="1" ht="15" customHeight="1" outlineLevel="2" x14ac:dyDescent="0.3">
      <c r="B884" s="444" t="s">
        <v>4502</v>
      </c>
      <c r="C884" s="460" t="s">
        <v>2250</v>
      </c>
      <c r="D884" s="454" t="s">
        <v>299</v>
      </c>
      <c r="E884" s="72"/>
      <c r="F884" s="75"/>
    </row>
    <row r="885" spans="2:6" s="10" customFormat="1" ht="15" customHeight="1" outlineLevel="1" x14ac:dyDescent="0.3">
      <c r="B885" s="444" t="s">
        <v>4503</v>
      </c>
      <c r="C885" s="459">
        <v>14.2</v>
      </c>
      <c r="D885" s="453" t="s">
        <v>4660</v>
      </c>
      <c r="E885" s="71">
        <f>SUM(E886:E905)</f>
        <v>0</v>
      </c>
      <c r="F885" s="74">
        <f>SUM(F886:F905)</f>
        <v>0</v>
      </c>
    </row>
    <row r="886" spans="2:6" s="82" customFormat="1" ht="15" customHeight="1" outlineLevel="2" x14ac:dyDescent="0.3">
      <c r="B886" s="444" t="s">
        <v>4504</v>
      </c>
      <c r="C886" s="460" t="s">
        <v>2251</v>
      </c>
      <c r="D886" s="454" t="s">
        <v>299</v>
      </c>
      <c r="E886" s="85"/>
      <c r="F886" s="86"/>
    </row>
    <row r="887" spans="2:6" s="82" customFormat="1" ht="15" customHeight="1" outlineLevel="2" x14ac:dyDescent="0.3">
      <c r="B887" s="444" t="s">
        <v>4505</v>
      </c>
      <c r="C887" s="460" t="s">
        <v>2252</v>
      </c>
      <c r="D887" s="454" t="s">
        <v>299</v>
      </c>
      <c r="E887" s="85"/>
      <c r="F887" s="86"/>
    </row>
    <row r="888" spans="2:6" s="82" customFormat="1" ht="15" customHeight="1" outlineLevel="2" x14ac:dyDescent="0.3">
      <c r="B888" s="444" t="s">
        <v>4506</v>
      </c>
      <c r="C888" s="460" t="s">
        <v>2253</v>
      </c>
      <c r="D888" s="454" t="s">
        <v>299</v>
      </c>
      <c r="E888" s="85"/>
      <c r="F888" s="86"/>
    </row>
    <row r="889" spans="2:6" s="82" customFormat="1" ht="15" customHeight="1" outlineLevel="2" x14ac:dyDescent="0.3">
      <c r="B889" s="444" t="s">
        <v>4507</v>
      </c>
      <c r="C889" s="460" t="s">
        <v>2254</v>
      </c>
      <c r="D889" s="454" t="s">
        <v>299</v>
      </c>
      <c r="E889" s="85"/>
      <c r="F889" s="86"/>
    </row>
    <row r="890" spans="2:6" s="82" customFormat="1" ht="15" customHeight="1" outlineLevel="2" x14ac:dyDescent="0.3">
      <c r="B890" s="444" t="s">
        <v>4508</v>
      </c>
      <c r="C890" s="460" t="s">
        <v>2255</v>
      </c>
      <c r="D890" s="454" t="s">
        <v>299</v>
      </c>
      <c r="E890" s="85"/>
      <c r="F890" s="86"/>
    </row>
    <row r="891" spans="2:6" s="82" customFormat="1" ht="15" customHeight="1" outlineLevel="2" x14ac:dyDescent="0.3">
      <c r="B891" s="444" t="s">
        <v>4509</v>
      </c>
      <c r="C891" s="460" t="s">
        <v>2256</v>
      </c>
      <c r="D891" s="454" t="s">
        <v>299</v>
      </c>
      <c r="E891" s="85"/>
      <c r="F891" s="86"/>
    </row>
    <row r="892" spans="2:6" s="82" customFormat="1" ht="15" customHeight="1" outlineLevel="2" x14ac:dyDescent="0.3">
      <c r="B892" s="444" t="s">
        <v>4510</v>
      </c>
      <c r="C892" s="460" t="s">
        <v>2257</v>
      </c>
      <c r="D892" s="454" t="s">
        <v>299</v>
      </c>
      <c r="E892" s="85"/>
      <c r="F892" s="86"/>
    </row>
    <row r="893" spans="2:6" s="82" customFormat="1" ht="15" customHeight="1" outlineLevel="2" x14ac:dyDescent="0.3">
      <c r="B893" s="444" t="s">
        <v>4511</v>
      </c>
      <c r="C893" s="460" t="s">
        <v>2258</v>
      </c>
      <c r="D893" s="454" t="s">
        <v>299</v>
      </c>
      <c r="E893" s="85"/>
      <c r="F893" s="86"/>
    </row>
    <row r="894" spans="2:6" s="82" customFormat="1" ht="15" customHeight="1" outlineLevel="2" x14ac:dyDescent="0.3">
      <c r="B894" s="444" t="s">
        <v>4512</v>
      </c>
      <c r="C894" s="460" t="s">
        <v>2259</v>
      </c>
      <c r="D894" s="454" t="s">
        <v>299</v>
      </c>
      <c r="E894" s="85"/>
      <c r="F894" s="86"/>
    </row>
    <row r="895" spans="2:6" s="82" customFormat="1" ht="15" customHeight="1" outlineLevel="2" x14ac:dyDescent="0.3">
      <c r="B895" s="444" t="s">
        <v>4513</v>
      </c>
      <c r="C895" s="460" t="s">
        <v>2260</v>
      </c>
      <c r="D895" s="454" t="s">
        <v>299</v>
      </c>
      <c r="E895" s="85"/>
      <c r="F895" s="86"/>
    </row>
    <row r="896" spans="2:6" s="82" customFormat="1" ht="15" customHeight="1" outlineLevel="2" x14ac:dyDescent="0.3">
      <c r="B896" s="444" t="s">
        <v>4514</v>
      </c>
      <c r="C896" s="460" t="s">
        <v>2261</v>
      </c>
      <c r="D896" s="454" t="s">
        <v>299</v>
      </c>
      <c r="E896" s="85"/>
      <c r="F896" s="86"/>
    </row>
    <row r="897" spans="2:6" s="82" customFormat="1" ht="15" customHeight="1" outlineLevel="2" x14ac:dyDescent="0.3">
      <c r="B897" s="444" t="s">
        <v>4515</v>
      </c>
      <c r="C897" s="460" t="s">
        <v>2262</v>
      </c>
      <c r="D897" s="454" t="s">
        <v>299</v>
      </c>
      <c r="E897" s="85"/>
      <c r="F897" s="86"/>
    </row>
    <row r="898" spans="2:6" s="82" customFormat="1" ht="15" customHeight="1" outlineLevel="2" x14ac:dyDescent="0.3">
      <c r="B898" s="444" t="s">
        <v>4516</v>
      </c>
      <c r="C898" s="460" t="s">
        <v>2263</v>
      </c>
      <c r="D898" s="454" t="s">
        <v>299</v>
      </c>
      <c r="E898" s="85"/>
      <c r="F898" s="86"/>
    </row>
    <row r="899" spans="2:6" s="82" customFormat="1" ht="15" customHeight="1" outlineLevel="2" x14ac:dyDescent="0.3">
      <c r="B899" s="444" t="s">
        <v>4517</v>
      </c>
      <c r="C899" s="460" t="s">
        <v>2264</v>
      </c>
      <c r="D899" s="454" t="s">
        <v>299</v>
      </c>
      <c r="E899" s="85"/>
      <c r="F899" s="86"/>
    </row>
    <row r="900" spans="2:6" s="82" customFormat="1" ht="15" customHeight="1" outlineLevel="2" x14ac:dyDescent="0.3">
      <c r="B900" s="444" t="s">
        <v>4518</v>
      </c>
      <c r="C900" s="460" t="s">
        <v>2265</v>
      </c>
      <c r="D900" s="454" t="s">
        <v>299</v>
      </c>
      <c r="E900" s="85"/>
      <c r="F900" s="86"/>
    </row>
    <row r="901" spans="2:6" s="82" customFormat="1" ht="15" customHeight="1" outlineLevel="2" x14ac:dyDescent="0.3">
      <c r="B901" s="444" t="s">
        <v>4519</v>
      </c>
      <c r="C901" s="460" t="s">
        <v>2266</v>
      </c>
      <c r="D901" s="454" t="s">
        <v>299</v>
      </c>
      <c r="E901" s="85"/>
      <c r="F901" s="86"/>
    </row>
    <row r="902" spans="2:6" s="82" customFormat="1" ht="15" customHeight="1" outlineLevel="2" x14ac:dyDescent="0.3">
      <c r="B902" s="444" t="s">
        <v>4520</v>
      </c>
      <c r="C902" s="460" t="s">
        <v>2267</v>
      </c>
      <c r="D902" s="454" t="s">
        <v>299</v>
      </c>
      <c r="E902" s="85"/>
      <c r="F902" s="86"/>
    </row>
    <row r="903" spans="2:6" s="82" customFormat="1" ht="15" customHeight="1" outlineLevel="2" x14ac:dyDescent="0.3">
      <c r="B903" s="444" t="s">
        <v>4521</v>
      </c>
      <c r="C903" s="460" t="s">
        <v>2268</v>
      </c>
      <c r="D903" s="454" t="s">
        <v>299</v>
      </c>
      <c r="E903" s="85"/>
      <c r="F903" s="86"/>
    </row>
    <row r="904" spans="2:6" s="82" customFormat="1" ht="15" customHeight="1" outlineLevel="2" x14ac:dyDescent="0.3">
      <c r="B904" s="444" t="s">
        <v>4522</v>
      </c>
      <c r="C904" s="460" t="s">
        <v>2269</v>
      </c>
      <c r="D904" s="454" t="s">
        <v>299</v>
      </c>
      <c r="E904" s="85"/>
      <c r="F904" s="86"/>
    </row>
    <row r="905" spans="2:6" s="82" customFormat="1" ht="15" customHeight="1" outlineLevel="2" x14ac:dyDescent="0.3">
      <c r="B905" s="444" t="s">
        <v>4523</v>
      </c>
      <c r="C905" s="460" t="s">
        <v>2270</v>
      </c>
      <c r="D905" s="454" t="s">
        <v>299</v>
      </c>
      <c r="E905" s="85"/>
      <c r="F905" s="86"/>
    </row>
    <row r="906" spans="2:6" s="10" customFormat="1" ht="15" customHeight="1" outlineLevel="1" x14ac:dyDescent="0.3">
      <c r="B906" s="444" t="s">
        <v>4524</v>
      </c>
      <c r="C906" s="459">
        <v>14.3</v>
      </c>
      <c r="D906" s="453" t="s">
        <v>304</v>
      </c>
      <c r="E906" s="71">
        <f>SUM(E907:E926)</f>
        <v>0</v>
      </c>
      <c r="F906" s="74">
        <f>SUM(F907:F926)</f>
        <v>0</v>
      </c>
    </row>
    <row r="907" spans="2:6" s="82" customFormat="1" ht="15" customHeight="1" outlineLevel="2" x14ac:dyDescent="0.3">
      <c r="B907" s="444" t="s">
        <v>4525</v>
      </c>
      <c r="C907" s="460" t="s">
        <v>2271</v>
      </c>
      <c r="D907" s="454" t="s">
        <v>299</v>
      </c>
      <c r="E907" s="72"/>
      <c r="F907" s="75"/>
    </row>
    <row r="908" spans="2:6" s="82" customFormat="1" ht="15" customHeight="1" outlineLevel="2" x14ac:dyDescent="0.3">
      <c r="B908" s="444" t="s">
        <v>4526</v>
      </c>
      <c r="C908" s="460" t="s">
        <v>2272</v>
      </c>
      <c r="D908" s="454" t="s">
        <v>299</v>
      </c>
      <c r="E908" s="72"/>
      <c r="F908" s="75"/>
    </row>
    <row r="909" spans="2:6" s="82" customFormat="1" ht="15" customHeight="1" outlineLevel="2" x14ac:dyDescent="0.3">
      <c r="B909" s="444" t="s">
        <v>4527</v>
      </c>
      <c r="C909" s="460" t="s">
        <v>2273</v>
      </c>
      <c r="D909" s="454" t="s">
        <v>299</v>
      </c>
      <c r="E909" s="72"/>
      <c r="F909" s="75"/>
    </row>
    <row r="910" spans="2:6" s="82" customFormat="1" ht="15" customHeight="1" outlineLevel="2" x14ac:dyDescent="0.3">
      <c r="B910" s="444" t="s">
        <v>4528</v>
      </c>
      <c r="C910" s="460" t="s">
        <v>2274</v>
      </c>
      <c r="D910" s="454" t="s">
        <v>299</v>
      </c>
      <c r="E910" s="72"/>
      <c r="F910" s="75"/>
    </row>
    <row r="911" spans="2:6" s="82" customFormat="1" ht="15" customHeight="1" outlineLevel="2" x14ac:dyDescent="0.3">
      <c r="B911" s="444" t="s">
        <v>4529</v>
      </c>
      <c r="C911" s="460" t="s">
        <v>2275</v>
      </c>
      <c r="D911" s="454" t="s">
        <v>299</v>
      </c>
      <c r="E911" s="72"/>
      <c r="F911" s="75"/>
    </row>
    <row r="912" spans="2:6" s="82" customFormat="1" ht="15" customHeight="1" outlineLevel="2" x14ac:dyDescent="0.3">
      <c r="B912" s="444" t="s">
        <v>4530</v>
      </c>
      <c r="C912" s="460" t="s">
        <v>2276</v>
      </c>
      <c r="D912" s="454" t="s">
        <v>299</v>
      </c>
      <c r="E912" s="72"/>
      <c r="F912" s="75"/>
    </row>
    <row r="913" spans="2:6" s="82" customFormat="1" ht="15" customHeight="1" outlineLevel="2" x14ac:dyDescent="0.3">
      <c r="B913" s="444" t="s">
        <v>4531</v>
      </c>
      <c r="C913" s="460" t="s">
        <v>2277</v>
      </c>
      <c r="D913" s="454" t="s">
        <v>299</v>
      </c>
      <c r="E913" s="72"/>
      <c r="F913" s="75"/>
    </row>
    <row r="914" spans="2:6" s="82" customFormat="1" ht="15" customHeight="1" outlineLevel="2" x14ac:dyDescent="0.3">
      <c r="B914" s="444" t="s">
        <v>4532</v>
      </c>
      <c r="C914" s="460" t="s">
        <v>2278</v>
      </c>
      <c r="D914" s="454" t="s">
        <v>299</v>
      </c>
      <c r="E914" s="72"/>
      <c r="F914" s="75"/>
    </row>
    <row r="915" spans="2:6" s="82" customFormat="1" ht="15" customHeight="1" outlineLevel="2" x14ac:dyDescent="0.3">
      <c r="B915" s="444" t="s">
        <v>4533</v>
      </c>
      <c r="C915" s="460" t="s">
        <v>2279</v>
      </c>
      <c r="D915" s="454" t="s">
        <v>299</v>
      </c>
      <c r="E915" s="72"/>
      <c r="F915" s="75"/>
    </row>
    <row r="916" spans="2:6" s="82" customFormat="1" ht="15" customHeight="1" outlineLevel="2" x14ac:dyDescent="0.3">
      <c r="B916" s="444" t="s">
        <v>4534</v>
      </c>
      <c r="C916" s="460" t="s">
        <v>2280</v>
      </c>
      <c r="D916" s="454" t="s">
        <v>299</v>
      </c>
      <c r="E916" s="72"/>
      <c r="F916" s="75"/>
    </row>
    <row r="917" spans="2:6" s="82" customFormat="1" ht="15" customHeight="1" outlineLevel="2" x14ac:dyDescent="0.3">
      <c r="B917" s="444" t="s">
        <v>4535</v>
      </c>
      <c r="C917" s="460" t="s">
        <v>2281</v>
      </c>
      <c r="D917" s="454" t="s">
        <v>299</v>
      </c>
      <c r="E917" s="72"/>
      <c r="F917" s="75"/>
    </row>
    <row r="918" spans="2:6" s="82" customFormat="1" ht="15" customHeight="1" outlineLevel="2" x14ac:dyDescent="0.3">
      <c r="B918" s="444" t="s">
        <v>4536</v>
      </c>
      <c r="C918" s="460" t="s">
        <v>2282</v>
      </c>
      <c r="D918" s="454" t="s">
        <v>299</v>
      </c>
      <c r="E918" s="72"/>
      <c r="F918" s="75"/>
    </row>
    <row r="919" spans="2:6" s="82" customFormat="1" ht="15" customHeight="1" outlineLevel="2" x14ac:dyDescent="0.3">
      <c r="B919" s="444" t="s">
        <v>4537</v>
      </c>
      <c r="C919" s="460" t="s">
        <v>2283</v>
      </c>
      <c r="D919" s="454" t="s">
        <v>299</v>
      </c>
      <c r="E919" s="72"/>
      <c r="F919" s="75"/>
    </row>
    <row r="920" spans="2:6" s="82" customFormat="1" ht="15" customHeight="1" outlineLevel="2" x14ac:dyDescent="0.3">
      <c r="B920" s="444" t="s">
        <v>4538</v>
      </c>
      <c r="C920" s="460" t="s">
        <v>2284</v>
      </c>
      <c r="D920" s="454" t="s">
        <v>299</v>
      </c>
      <c r="E920" s="72"/>
      <c r="F920" s="75"/>
    </row>
    <row r="921" spans="2:6" s="82" customFormat="1" ht="15" customHeight="1" outlineLevel="2" x14ac:dyDescent="0.3">
      <c r="B921" s="444" t="s">
        <v>4539</v>
      </c>
      <c r="C921" s="460" t="s">
        <v>2285</v>
      </c>
      <c r="D921" s="454" t="s">
        <v>299</v>
      </c>
      <c r="E921" s="72"/>
      <c r="F921" s="75"/>
    </row>
    <row r="922" spans="2:6" s="82" customFormat="1" ht="15" customHeight="1" outlineLevel="2" x14ac:dyDescent="0.3">
      <c r="B922" s="444" t="s">
        <v>4540</v>
      </c>
      <c r="C922" s="460" t="s">
        <v>2286</v>
      </c>
      <c r="D922" s="454" t="s">
        <v>299</v>
      </c>
      <c r="E922" s="72"/>
      <c r="F922" s="75"/>
    </row>
    <row r="923" spans="2:6" s="82" customFormat="1" ht="15" customHeight="1" outlineLevel="2" x14ac:dyDescent="0.3">
      <c r="B923" s="444" t="s">
        <v>4541</v>
      </c>
      <c r="C923" s="460" t="s">
        <v>2287</v>
      </c>
      <c r="D923" s="454" t="s">
        <v>299</v>
      </c>
      <c r="E923" s="72"/>
      <c r="F923" s="75"/>
    </row>
    <row r="924" spans="2:6" s="82" customFormat="1" ht="15" customHeight="1" outlineLevel="2" x14ac:dyDescent="0.3">
      <c r="B924" s="444" t="s">
        <v>4542</v>
      </c>
      <c r="C924" s="460" t="s">
        <v>2288</v>
      </c>
      <c r="D924" s="454" t="s">
        <v>299</v>
      </c>
      <c r="E924" s="72"/>
      <c r="F924" s="75"/>
    </row>
    <row r="925" spans="2:6" s="82" customFormat="1" ht="15" customHeight="1" outlineLevel="2" x14ac:dyDescent="0.3">
      <c r="B925" s="444" t="s">
        <v>4543</v>
      </c>
      <c r="C925" s="460" t="s">
        <v>2289</v>
      </c>
      <c r="D925" s="454" t="s">
        <v>299</v>
      </c>
      <c r="E925" s="72"/>
      <c r="F925" s="75"/>
    </row>
    <row r="926" spans="2:6" s="82" customFormat="1" ht="15" customHeight="1" outlineLevel="2" x14ac:dyDescent="0.3">
      <c r="B926" s="444" t="s">
        <v>4544</v>
      </c>
      <c r="C926" s="460" t="s">
        <v>2290</v>
      </c>
      <c r="D926" s="454" t="s">
        <v>299</v>
      </c>
      <c r="E926" s="72"/>
      <c r="F926" s="75"/>
    </row>
    <row r="927" spans="2:6" s="10" customFormat="1" ht="15" customHeight="1" outlineLevel="1" x14ac:dyDescent="0.3">
      <c r="B927" s="444" t="s">
        <v>4545</v>
      </c>
      <c r="C927" s="459">
        <v>14.4</v>
      </c>
      <c r="D927" s="453" t="s">
        <v>4661</v>
      </c>
      <c r="E927" s="71">
        <f>SUM(E928:E947)</f>
        <v>0</v>
      </c>
      <c r="F927" s="74">
        <f>SUM(F928:F947)</f>
        <v>0</v>
      </c>
    </row>
    <row r="928" spans="2:6" s="82" customFormat="1" ht="15" customHeight="1" outlineLevel="2" x14ac:dyDescent="0.3">
      <c r="B928" s="444" t="s">
        <v>4546</v>
      </c>
      <c r="C928" s="460" t="s">
        <v>2291</v>
      </c>
      <c r="D928" s="454" t="s">
        <v>299</v>
      </c>
      <c r="E928" s="85"/>
      <c r="F928" s="86"/>
    </row>
    <row r="929" spans="2:6" s="82" customFormat="1" ht="15" customHeight="1" outlineLevel="2" x14ac:dyDescent="0.3">
      <c r="B929" s="444" t="s">
        <v>4547</v>
      </c>
      <c r="C929" s="460" t="s">
        <v>2292</v>
      </c>
      <c r="D929" s="454" t="s">
        <v>299</v>
      </c>
      <c r="E929" s="85"/>
      <c r="F929" s="86"/>
    </row>
    <row r="930" spans="2:6" s="82" customFormat="1" ht="15" customHeight="1" outlineLevel="2" x14ac:dyDescent="0.3">
      <c r="B930" s="444" t="s">
        <v>4548</v>
      </c>
      <c r="C930" s="460" t="s">
        <v>2293</v>
      </c>
      <c r="D930" s="454" t="s">
        <v>299</v>
      </c>
      <c r="E930" s="85"/>
      <c r="F930" s="86"/>
    </row>
    <row r="931" spans="2:6" s="82" customFormat="1" ht="15" customHeight="1" outlineLevel="2" x14ac:dyDescent="0.3">
      <c r="B931" s="444" t="s">
        <v>4549</v>
      </c>
      <c r="C931" s="460" t="s">
        <v>2294</v>
      </c>
      <c r="D931" s="454" t="s">
        <v>299</v>
      </c>
      <c r="E931" s="85"/>
      <c r="F931" s="86"/>
    </row>
    <row r="932" spans="2:6" s="82" customFormat="1" ht="15" customHeight="1" outlineLevel="2" x14ac:dyDescent="0.3">
      <c r="B932" s="444" t="s">
        <v>4550</v>
      </c>
      <c r="C932" s="460" t="s">
        <v>2295</v>
      </c>
      <c r="D932" s="454" t="s">
        <v>299</v>
      </c>
      <c r="E932" s="85"/>
      <c r="F932" s="86"/>
    </row>
    <row r="933" spans="2:6" s="82" customFormat="1" ht="15" customHeight="1" outlineLevel="2" x14ac:dyDescent="0.3">
      <c r="B933" s="444" t="s">
        <v>4551</v>
      </c>
      <c r="C933" s="460" t="s">
        <v>2296</v>
      </c>
      <c r="D933" s="454" t="s">
        <v>299</v>
      </c>
      <c r="E933" s="85"/>
      <c r="F933" s="86"/>
    </row>
    <row r="934" spans="2:6" s="82" customFormat="1" ht="15" customHeight="1" outlineLevel="2" x14ac:dyDescent="0.3">
      <c r="B934" s="444" t="s">
        <v>4552</v>
      </c>
      <c r="C934" s="460" t="s">
        <v>2297</v>
      </c>
      <c r="D934" s="454" t="s">
        <v>299</v>
      </c>
      <c r="E934" s="85"/>
      <c r="F934" s="86"/>
    </row>
    <row r="935" spans="2:6" s="82" customFormat="1" ht="15" customHeight="1" outlineLevel="2" x14ac:dyDescent="0.3">
      <c r="B935" s="444" t="s">
        <v>4553</v>
      </c>
      <c r="C935" s="460" t="s">
        <v>2298</v>
      </c>
      <c r="D935" s="454" t="s">
        <v>299</v>
      </c>
      <c r="E935" s="85"/>
      <c r="F935" s="86"/>
    </row>
    <row r="936" spans="2:6" s="82" customFormat="1" ht="15" customHeight="1" outlineLevel="2" x14ac:dyDescent="0.3">
      <c r="B936" s="444" t="s">
        <v>4554</v>
      </c>
      <c r="C936" s="460" t="s">
        <v>2299</v>
      </c>
      <c r="D936" s="454" t="s">
        <v>299</v>
      </c>
      <c r="E936" s="85"/>
      <c r="F936" s="86"/>
    </row>
    <row r="937" spans="2:6" s="82" customFormat="1" ht="15" customHeight="1" outlineLevel="2" x14ac:dyDescent="0.3">
      <c r="B937" s="444" t="s">
        <v>4555</v>
      </c>
      <c r="C937" s="460" t="s">
        <v>2300</v>
      </c>
      <c r="D937" s="454" t="s">
        <v>299</v>
      </c>
      <c r="E937" s="85"/>
      <c r="F937" s="86"/>
    </row>
    <row r="938" spans="2:6" s="82" customFormat="1" ht="15" customHeight="1" outlineLevel="2" x14ac:dyDescent="0.3">
      <c r="B938" s="444" t="s">
        <v>4556</v>
      </c>
      <c r="C938" s="460" t="s">
        <v>2301</v>
      </c>
      <c r="D938" s="454" t="s">
        <v>299</v>
      </c>
      <c r="E938" s="85"/>
      <c r="F938" s="86"/>
    </row>
    <row r="939" spans="2:6" s="82" customFormat="1" ht="15" customHeight="1" outlineLevel="2" x14ac:dyDescent="0.3">
      <c r="B939" s="444" t="s">
        <v>4557</v>
      </c>
      <c r="C939" s="460" t="s">
        <v>2302</v>
      </c>
      <c r="D939" s="454" t="s">
        <v>299</v>
      </c>
      <c r="E939" s="85"/>
      <c r="F939" s="86"/>
    </row>
    <row r="940" spans="2:6" s="82" customFormat="1" ht="15" customHeight="1" outlineLevel="2" x14ac:dyDescent="0.3">
      <c r="B940" s="444" t="s">
        <v>4558</v>
      </c>
      <c r="C940" s="460" t="s">
        <v>2303</v>
      </c>
      <c r="D940" s="454" t="s">
        <v>299</v>
      </c>
      <c r="E940" s="85"/>
      <c r="F940" s="86"/>
    </row>
    <row r="941" spans="2:6" s="82" customFormat="1" ht="15" customHeight="1" outlineLevel="2" x14ac:dyDescent="0.3">
      <c r="B941" s="444" t="s">
        <v>4559</v>
      </c>
      <c r="C941" s="460" t="s">
        <v>2304</v>
      </c>
      <c r="D941" s="454" t="s">
        <v>299</v>
      </c>
      <c r="E941" s="85"/>
      <c r="F941" s="86"/>
    </row>
    <row r="942" spans="2:6" s="82" customFormat="1" ht="15" customHeight="1" outlineLevel="2" x14ac:dyDescent="0.3">
      <c r="B942" s="444" t="s">
        <v>4560</v>
      </c>
      <c r="C942" s="460" t="s">
        <v>2305</v>
      </c>
      <c r="D942" s="454" t="s">
        <v>299</v>
      </c>
      <c r="E942" s="85"/>
      <c r="F942" s="86"/>
    </row>
    <row r="943" spans="2:6" s="82" customFormat="1" ht="15" customHeight="1" outlineLevel="2" x14ac:dyDescent="0.3">
      <c r="B943" s="444" t="s">
        <v>4561</v>
      </c>
      <c r="C943" s="460" t="s">
        <v>2306</v>
      </c>
      <c r="D943" s="454" t="s">
        <v>299</v>
      </c>
      <c r="E943" s="85"/>
      <c r="F943" s="86"/>
    </row>
    <row r="944" spans="2:6" s="82" customFormat="1" ht="15" customHeight="1" outlineLevel="2" x14ac:dyDescent="0.3">
      <c r="B944" s="444" t="s">
        <v>4562</v>
      </c>
      <c r="C944" s="460" t="s">
        <v>2307</v>
      </c>
      <c r="D944" s="454" t="s">
        <v>299</v>
      </c>
      <c r="E944" s="85"/>
      <c r="F944" s="86"/>
    </row>
    <row r="945" spans="2:9" s="82" customFormat="1" ht="15" customHeight="1" outlineLevel="2" x14ac:dyDescent="0.3">
      <c r="B945" s="444" t="s">
        <v>4563</v>
      </c>
      <c r="C945" s="460" t="s">
        <v>2308</v>
      </c>
      <c r="D945" s="454" t="s">
        <v>299</v>
      </c>
      <c r="E945" s="85"/>
      <c r="F945" s="86"/>
    </row>
    <row r="946" spans="2:9" s="82" customFormat="1" ht="15" customHeight="1" outlineLevel="2" x14ac:dyDescent="0.3">
      <c r="B946" s="444" t="s">
        <v>4564</v>
      </c>
      <c r="C946" s="460" t="s">
        <v>2309</v>
      </c>
      <c r="D946" s="454" t="s">
        <v>299</v>
      </c>
      <c r="E946" s="85"/>
      <c r="F946" s="86"/>
    </row>
    <row r="947" spans="2:9" s="82" customFormat="1" ht="15" customHeight="1" outlineLevel="2" x14ac:dyDescent="0.3">
      <c r="B947" s="444" t="s">
        <v>4565</v>
      </c>
      <c r="C947" s="460" t="s">
        <v>2310</v>
      </c>
      <c r="D947" s="454" t="s">
        <v>299</v>
      </c>
      <c r="E947" s="85"/>
      <c r="F947" s="86"/>
    </row>
    <row r="948" spans="2:9" s="82" customFormat="1" ht="15" customHeight="1" x14ac:dyDescent="0.3">
      <c r="B948" s="444" t="s">
        <v>4566</v>
      </c>
      <c r="C948" s="461">
        <v>15</v>
      </c>
      <c r="D948" s="455" t="s">
        <v>307</v>
      </c>
      <c r="E948" s="70">
        <f>E949+E970+E991+E1012</f>
        <v>0</v>
      </c>
      <c r="F948" s="73">
        <f>F949+F970+F991+F1012</f>
        <v>0</v>
      </c>
      <c r="H948" s="50"/>
      <c r="I948" s="50"/>
    </row>
    <row r="949" spans="2:9" s="10" customFormat="1" ht="15" customHeight="1" outlineLevel="1" x14ac:dyDescent="0.3">
      <c r="B949" s="466" t="s">
        <v>4567</v>
      </c>
      <c r="C949" s="462">
        <v>15.1</v>
      </c>
      <c r="D949" s="456" t="s">
        <v>303</v>
      </c>
      <c r="E949" s="448">
        <f>SUM(E950:E969)</f>
        <v>0</v>
      </c>
      <c r="F949" s="449">
        <f>SUM(F950:F969)</f>
        <v>0</v>
      </c>
    </row>
    <row r="950" spans="2:9" s="82" customFormat="1" ht="15" customHeight="1" outlineLevel="2" x14ac:dyDescent="0.3">
      <c r="B950" s="444" t="s">
        <v>4568</v>
      </c>
      <c r="C950" s="460" t="s">
        <v>2311</v>
      </c>
      <c r="D950" s="454" t="s">
        <v>299</v>
      </c>
      <c r="E950" s="72"/>
      <c r="F950" s="75"/>
    </row>
    <row r="951" spans="2:9" s="82" customFormat="1" ht="15" customHeight="1" outlineLevel="2" x14ac:dyDescent="0.3">
      <c r="B951" s="444" t="s">
        <v>4569</v>
      </c>
      <c r="C951" s="460" t="s">
        <v>2312</v>
      </c>
      <c r="D951" s="454" t="s">
        <v>299</v>
      </c>
      <c r="E951" s="72"/>
      <c r="F951" s="75"/>
    </row>
    <row r="952" spans="2:9" s="82" customFormat="1" ht="15" customHeight="1" outlineLevel="2" x14ac:dyDescent="0.3">
      <c r="B952" s="444" t="s">
        <v>4570</v>
      </c>
      <c r="C952" s="460" t="s">
        <v>2313</v>
      </c>
      <c r="D952" s="454" t="s">
        <v>299</v>
      </c>
      <c r="E952" s="72"/>
      <c r="F952" s="75"/>
    </row>
    <row r="953" spans="2:9" s="82" customFormat="1" ht="15" customHeight="1" outlineLevel="2" x14ac:dyDescent="0.3">
      <c r="B953" s="444" t="s">
        <v>4571</v>
      </c>
      <c r="C953" s="460" t="s">
        <v>2314</v>
      </c>
      <c r="D953" s="454" t="s">
        <v>299</v>
      </c>
      <c r="E953" s="72"/>
      <c r="F953" s="75"/>
    </row>
    <row r="954" spans="2:9" s="82" customFormat="1" ht="15" customHeight="1" outlineLevel="2" x14ac:dyDescent="0.3">
      <c r="B954" s="444" t="s">
        <v>4572</v>
      </c>
      <c r="C954" s="460" t="s">
        <v>2315</v>
      </c>
      <c r="D954" s="454" t="s">
        <v>299</v>
      </c>
      <c r="E954" s="72"/>
      <c r="F954" s="75"/>
    </row>
    <row r="955" spans="2:9" s="82" customFormat="1" ht="15" customHeight="1" outlineLevel="2" x14ac:dyDescent="0.3">
      <c r="B955" s="444" t="s">
        <v>4573</v>
      </c>
      <c r="C955" s="460" t="s">
        <v>2316</v>
      </c>
      <c r="D955" s="454" t="s">
        <v>299</v>
      </c>
      <c r="E955" s="72"/>
      <c r="F955" s="75"/>
    </row>
    <row r="956" spans="2:9" s="82" customFormat="1" ht="15" customHeight="1" outlineLevel="2" x14ac:dyDescent="0.3">
      <c r="B956" s="444" t="s">
        <v>4574</v>
      </c>
      <c r="C956" s="460" t="s">
        <v>2317</v>
      </c>
      <c r="D956" s="454" t="s">
        <v>299</v>
      </c>
      <c r="E956" s="72"/>
      <c r="F956" s="75"/>
    </row>
    <row r="957" spans="2:9" s="82" customFormat="1" ht="15" customHeight="1" outlineLevel="2" x14ac:dyDescent="0.3">
      <c r="B957" s="444" t="s">
        <v>4575</v>
      </c>
      <c r="C957" s="460" t="s">
        <v>2318</v>
      </c>
      <c r="D957" s="454" t="s">
        <v>299</v>
      </c>
      <c r="E957" s="72"/>
      <c r="F957" s="75"/>
    </row>
    <row r="958" spans="2:9" s="82" customFormat="1" ht="15" customHeight="1" outlineLevel="2" x14ac:dyDescent="0.3">
      <c r="B958" s="444" t="s">
        <v>4576</v>
      </c>
      <c r="C958" s="460" t="s">
        <v>2319</v>
      </c>
      <c r="D958" s="454" t="s">
        <v>299</v>
      </c>
      <c r="E958" s="72"/>
      <c r="F958" s="75"/>
    </row>
    <row r="959" spans="2:9" s="82" customFormat="1" ht="15" customHeight="1" outlineLevel="2" x14ac:dyDescent="0.3">
      <c r="B959" s="444" t="s">
        <v>4577</v>
      </c>
      <c r="C959" s="460" t="s">
        <v>2320</v>
      </c>
      <c r="D959" s="454" t="s">
        <v>299</v>
      </c>
      <c r="E959" s="72"/>
      <c r="F959" s="75"/>
    </row>
    <row r="960" spans="2:9" s="82" customFormat="1" ht="15" customHeight="1" outlineLevel="2" x14ac:dyDescent="0.3">
      <c r="B960" s="444" t="s">
        <v>4578</v>
      </c>
      <c r="C960" s="460" t="s">
        <v>2321</v>
      </c>
      <c r="D960" s="454" t="s">
        <v>299</v>
      </c>
      <c r="E960" s="72"/>
      <c r="F960" s="75"/>
    </row>
    <row r="961" spans="2:6" s="82" customFormat="1" ht="15" customHeight="1" outlineLevel="2" x14ac:dyDescent="0.3">
      <c r="B961" s="444" t="s">
        <v>4579</v>
      </c>
      <c r="C961" s="460" t="s">
        <v>2322</v>
      </c>
      <c r="D961" s="454" t="s">
        <v>299</v>
      </c>
      <c r="E961" s="72"/>
      <c r="F961" s="75"/>
    </row>
    <row r="962" spans="2:6" s="82" customFormat="1" ht="15" customHeight="1" outlineLevel="2" x14ac:dyDescent="0.3">
      <c r="B962" s="444" t="s">
        <v>4580</v>
      </c>
      <c r="C962" s="460" t="s">
        <v>2323</v>
      </c>
      <c r="D962" s="454" t="s">
        <v>299</v>
      </c>
      <c r="E962" s="72"/>
      <c r="F962" s="75"/>
    </row>
    <row r="963" spans="2:6" s="82" customFormat="1" ht="15" customHeight="1" outlineLevel="2" x14ac:dyDescent="0.3">
      <c r="B963" s="444" t="s">
        <v>4581</v>
      </c>
      <c r="C963" s="460" t="s">
        <v>2324</v>
      </c>
      <c r="D963" s="454" t="s">
        <v>299</v>
      </c>
      <c r="E963" s="72"/>
      <c r="F963" s="75"/>
    </row>
    <row r="964" spans="2:6" s="82" customFormat="1" ht="15" customHeight="1" outlineLevel="2" x14ac:dyDescent="0.3">
      <c r="B964" s="444" t="s">
        <v>4582</v>
      </c>
      <c r="C964" s="460" t="s">
        <v>2325</v>
      </c>
      <c r="D964" s="454" t="s">
        <v>299</v>
      </c>
      <c r="E964" s="72"/>
      <c r="F964" s="75"/>
    </row>
    <row r="965" spans="2:6" s="82" customFormat="1" ht="15" customHeight="1" outlineLevel="2" x14ac:dyDescent="0.3">
      <c r="B965" s="444" t="s">
        <v>4583</v>
      </c>
      <c r="C965" s="460" t="s">
        <v>2326</v>
      </c>
      <c r="D965" s="454" t="s">
        <v>299</v>
      </c>
      <c r="E965" s="72"/>
      <c r="F965" s="75"/>
    </row>
    <row r="966" spans="2:6" s="82" customFormat="1" ht="15" customHeight="1" outlineLevel="2" x14ac:dyDescent="0.3">
      <c r="B966" s="444" t="s">
        <v>4584</v>
      </c>
      <c r="C966" s="460" t="s">
        <v>2327</v>
      </c>
      <c r="D966" s="454" t="s">
        <v>299</v>
      </c>
      <c r="E966" s="72"/>
      <c r="F966" s="75"/>
    </row>
    <row r="967" spans="2:6" s="82" customFormat="1" ht="15" customHeight="1" outlineLevel="2" x14ac:dyDescent="0.3">
      <c r="B967" s="444" t="s">
        <v>4585</v>
      </c>
      <c r="C967" s="460" t="s">
        <v>2328</v>
      </c>
      <c r="D967" s="454" t="s">
        <v>299</v>
      </c>
      <c r="E967" s="72"/>
      <c r="F967" s="75"/>
    </row>
    <row r="968" spans="2:6" s="82" customFormat="1" ht="15" customHeight="1" outlineLevel="2" x14ac:dyDescent="0.3">
      <c r="B968" s="444" t="s">
        <v>4586</v>
      </c>
      <c r="C968" s="460" t="s">
        <v>2329</v>
      </c>
      <c r="D968" s="454" t="s">
        <v>299</v>
      </c>
      <c r="E968" s="72"/>
      <c r="F968" s="75"/>
    </row>
    <row r="969" spans="2:6" s="82" customFormat="1" ht="15" customHeight="1" outlineLevel="2" x14ac:dyDescent="0.3">
      <c r="B969" s="444" t="s">
        <v>4587</v>
      </c>
      <c r="C969" s="460" t="s">
        <v>2330</v>
      </c>
      <c r="D969" s="454" t="s">
        <v>299</v>
      </c>
      <c r="E969" s="72"/>
      <c r="F969" s="75"/>
    </row>
    <row r="970" spans="2:6" s="10" customFormat="1" ht="15" customHeight="1" outlineLevel="1" x14ac:dyDescent="0.3">
      <c r="B970" s="444" t="s">
        <v>4588</v>
      </c>
      <c r="C970" s="459">
        <v>15.2</v>
      </c>
      <c r="D970" s="453" t="s">
        <v>4660</v>
      </c>
      <c r="E970" s="71">
        <f>SUM(E971:E990)</f>
        <v>0</v>
      </c>
      <c r="F970" s="74">
        <f>SUM(F971:F990)</f>
        <v>0</v>
      </c>
    </row>
    <row r="971" spans="2:6" s="82" customFormat="1" ht="15" customHeight="1" outlineLevel="2" x14ac:dyDescent="0.3">
      <c r="B971" s="444" t="s">
        <v>4589</v>
      </c>
      <c r="C971" s="460" t="s">
        <v>2331</v>
      </c>
      <c r="D971" s="454" t="s">
        <v>299</v>
      </c>
      <c r="E971" s="85"/>
      <c r="F971" s="86"/>
    </row>
    <row r="972" spans="2:6" s="82" customFormat="1" ht="15" customHeight="1" outlineLevel="2" x14ac:dyDescent="0.3">
      <c r="B972" s="444" t="s">
        <v>4590</v>
      </c>
      <c r="C972" s="460" t="s">
        <v>2332</v>
      </c>
      <c r="D972" s="454" t="s">
        <v>299</v>
      </c>
      <c r="E972" s="85"/>
      <c r="F972" s="86"/>
    </row>
    <row r="973" spans="2:6" s="82" customFormat="1" ht="15" customHeight="1" outlineLevel="2" x14ac:dyDescent="0.3">
      <c r="B973" s="444" t="s">
        <v>4591</v>
      </c>
      <c r="C973" s="460" t="s">
        <v>2333</v>
      </c>
      <c r="D973" s="454" t="s">
        <v>299</v>
      </c>
      <c r="E973" s="85"/>
      <c r="F973" s="86"/>
    </row>
    <row r="974" spans="2:6" s="82" customFormat="1" ht="15" customHeight="1" outlineLevel="2" x14ac:dyDescent="0.3">
      <c r="B974" s="444" t="s">
        <v>4592</v>
      </c>
      <c r="C974" s="460" t="s">
        <v>2334</v>
      </c>
      <c r="D974" s="454" t="s">
        <v>299</v>
      </c>
      <c r="E974" s="85"/>
      <c r="F974" s="86"/>
    </row>
    <row r="975" spans="2:6" s="82" customFormat="1" ht="15" customHeight="1" outlineLevel="2" x14ac:dyDescent="0.3">
      <c r="B975" s="444" t="s">
        <v>4593</v>
      </c>
      <c r="C975" s="460" t="s">
        <v>2335</v>
      </c>
      <c r="D975" s="454" t="s">
        <v>299</v>
      </c>
      <c r="E975" s="85"/>
      <c r="F975" s="86"/>
    </row>
    <row r="976" spans="2:6" s="82" customFormat="1" ht="15" customHeight="1" outlineLevel="2" x14ac:dyDescent="0.3">
      <c r="B976" s="444" t="s">
        <v>4594</v>
      </c>
      <c r="C976" s="460" t="s">
        <v>2336</v>
      </c>
      <c r="D976" s="454" t="s">
        <v>299</v>
      </c>
      <c r="E976" s="85"/>
      <c r="F976" s="86"/>
    </row>
    <row r="977" spans="2:6" s="82" customFormat="1" ht="15" customHeight="1" outlineLevel="2" x14ac:dyDescent="0.3">
      <c r="B977" s="444" t="s">
        <v>4595</v>
      </c>
      <c r="C977" s="460" t="s">
        <v>2337</v>
      </c>
      <c r="D977" s="454" t="s">
        <v>299</v>
      </c>
      <c r="E977" s="85"/>
      <c r="F977" s="86"/>
    </row>
    <row r="978" spans="2:6" s="82" customFormat="1" ht="15" customHeight="1" outlineLevel="2" x14ac:dyDescent="0.3">
      <c r="B978" s="444" t="s">
        <v>4596</v>
      </c>
      <c r="C978" s="460" t="s">
        <v>2338</v>
      </c>
      <c r="D978" s="454" t="s">
        <v>299</v>
      </c>
      <c r="E978" s="85"/>
      <c r="F978" s="86"/>
    </row>
    <row r="979" spans="2:6" s="82" customFormat="1" ht="15" customHeight="1" outlineLevel="2" x14ac:dyDescent="0.3">
      <c r="B979" s="444" t="s">
        <v>4597</v>
      </c>
      <c r="C979" s="460" t="s">
        <v>2339</v>
      </c>
      <c r="D979" s="454" t="s">
        <v>299</v>
      </c>
      <c r="E979" s="85"/>
      <c r="F979" s="86"/>
    </row>
    <row r="980" spans="2:6" s="82" customFormat="1" ht="15" customHeight="1" outlineLevel="2" x14ac:dyDescent="0.3">
      <c r="B980" s="444" t="s">
        <v>4598</v>
      </c>
      <c r="C980" s="460" t="s">
        <v>2340</v>
      </c>
      <c r="D980" s="454" t="s">
        <v>299</v>
      </c>
      <c r="E980" s="85"/>
      <c r="F980" s="86"/>
    </row>
    <row r="981" spans="2:6" s="82" customFormat="1" ht="15" customHeight="1" outlineLevel="2" x14ac:dyDescent="0.3">
      <c r="B981" s="444" t="s">
        <v>4599</v>
      </c>
      <c r="C981" s="460" t="s">
        <v>2341</v>
      </c>
      <c r="D981" s="454" t="s">
        <v>299</v>
      </c>
      <c r="E981" s="85"/>
      <c r="F981" s="86"/>
    </row>
    <row r="982" spans="2:6" s="82" customFormat="1" ht="15" customHeight="1" outlineLevel="2" x14ac:dyDescent="0.3">
      <c r="B982" s="444" t="s">
        <v>4600</v>
      </c>
      <c r="C982" s="460" t="s">
        <v>2342</v>
      </c>
      <c r="D982" s="454" t="s">
        <v>299</v>
      </c>
      <c r="E982" s="85"/>
      <c r="F982" s="86"/>
    </row>
    <row r="983" spans="2:6" s="82" customFormat="1" ht="15" customHeight="1" outlineLevel="2" x14ac:dyDescent="0.3">
      <c r="B983" s="444" t="s">
        <v>4601</v>
      </c>
      <c r="C983" s="460" t="s">
        <v>2343</v>
      </c>
      <c r="D983" s="454" t="s">
        <v>299</v>
      </c>
      <c r="E983" s="85"/>
      <c r="F983" s="86"/>
    </row>
    <row r="984" spans="2:6" s="82" customFormat="1" ht="15" customHeight="1" outlineLevel="2" x14ac:dyDescent="0.3">
      <c r="B984" s="444" t="s">
        <v>4602</v>
      </c>
      <c r="C984" s="460" t="s">
        <v>2344</v>
      </c>
      <c r="D984" s="454" t="s">
        <v>299</v>
      </c>
      <c r="E984" s="85"/>
      <c r="F984" s="86"/>
    </row>
    <row r="985" spans="2:6" s="82" customFormat="1" ht="15" customHeight="1" outlineLevel="2" x14ac:dyDescent="0.3">
      <c r="B985" s="444" t="s">
        <v>4603</v>
      </c>
      <c r="C985" s="460" t="s">
        <v>2345</v>
      </c>
      <c r="D985" s="454" t="s">
        <v>299</v>
      </c>
      <c r="E985" s="85"/>
      <c r="F985" s="86"/>
    </row>
    <row r="986" spans="2:6" s="82" customFormat="1" ht="15" customHeight="1" outlineLevel="2" x14ac:dyDescent="0.3">
      <c r="B986" s="444" t="s">
        <v>4604</v>
      </c>
      <c r="C986" s="460" t="s">
        <v>2346</v>
      </c>
      <c r="D986" s="454" t="s">
        <v>299</v>
      </c>
      <c r="E986" s="85"/>
      <c r="F986" s="86"/>
    </row>
    <row r="987" spans="2:6" s="82" customFormat="1" ht="15" customHeight="1" outlineLevel="2" x14ac:dyDescent="0.3">
      <c r="B987" s="444" t="s">
        <v>4605</v>
      </c>
      <c r="C987" s="460" t="s">
        <v>2347</v>
      </c>
      <c r="D987" s="454" t="s">
        <v>299</v>
      </c>
      <c r="E987" s="85"/>
      <c r="F987" s="86"/>
    </row>
    <row r="988" spans="2:6" s="82" customFormat="1" ht="15" customHeight="1" outlineLevel="2" x14ac:dyDescent="0.3">
      <c r="B988" s="444" t="s">
        <v>4606</v>
      </c>
      <c r="C988" s="460" t="s">
        <v>2348</v>
      </c>
      <c r="D988" s="454" t="s">
        <v>299</v>
      </c>
      <c r="E988" s="85"/>
      <c r="F988" s="86"/>
    </row>
    <row r="989" spans="2:6" s="82" customFormat="1" ht="15" customHeight="1" outlineLevel="2" x14ac:dyDescent="0.3">
      <c r="B989" s="444" t="s">
        <v>4607</v>
      </c>
      <c r="C989" s="460" t="s">
        <v>2349</v>
      </c>
      <c r="D989" s="454" t="s">
        <v>299</v>
      </c>
      <c r="E989" s="85"/>
      <c r="F989" s="86"/>
    </row>
    <row r="990" spans="2:6" s="82" customFormat="1" ht="15" customHeight="1" outlineLevel="2" x14ac:dyDescent="0.3">
      <c r="B990" s="444" t="s">
        <v>4608</v>
      </c>
      <c r="C990" s="460" t="s">
        <v>2350</v>
      </c>
      <c r="D990" s="454" t="s">
        <v>299</v>
      </c>
      <c r="E990" s="85"/>
      <c r="F990" s="86"/>
    </row>
    <row r="991" spans="2:6" s="10" customFormat="1" ht="15" customHeight="1" outlineLevel="1" x14ac:dyDescent="0.3">
      <c r="B991" s="444" t="s">
        <v>4609</v>
      </c>
      <c r="C991" s="459">
        <v>15.3</v>
      </c>
      <c r="D991" s="453" t="s">
        <v>304</v>
      </c>
      <c r="E991" s="71">
        <f>SUM(E992:E1011)</f>
        <v>0</v>
      </c>
      <c r="F991" s="74">
        <f>SUM(F992:F1011)</f>
        <v>0</v>
      </c>
    </row>
    <row r="992" spans="2:6" s="82" customFormat="1" ht="15" customHeight="1" outlineLevel="2" x14ac:dyDescent="0.3">
      <c r="B992" s="444" t="s">
        <v>4610</v>
      </c>
      <c r="C992" s="460" t="s">
        <v>2351</v>
      </c>
      <c r="D992" s="454" t="s">
        <v>299</v>
      </c>
      <c r="E992" s="72"/>
      <c r="F992" s="75"/>
    </row>
    <row r="993" spans="2:6" s="82" customFormat="1" ht="15" customHeight="1" outlineLevel="2" x14ac:dyDescent="0.3">
      <c r="B993" s="444" t="s">
        <v>4611</v>
      </c>
      <c r="C993" s="460" t="s">
        <v>2352</v>
      </c>
      <c r="D993" s="454" t="s">
        <v>299</v>
      </c>
      <c r="E993" s="72"/>
      <c r="F993" s="75"/>
    </row>
    <row r="994" spans="2:6" s="82" customFormat="1" ht="15" customHeight="1" outlineLevel="2" x14ac:dyDescent="0.3">
      <c r="B994" s="444" t="s">
        <v>4612</v>
      </c>
      <c r="C994" s="460" t="s">
        <v>2353</v>
      </c>
      <c r="D994" s="454" t="s">
        <v>299</v>
      </c>
      <c r="E994" s="72"/>
      <c r="F994" s="75"/>
    </row>
    <row r="995" spans="2:6" s="82" customFormat="1" ht="15" customHeight="1" outlineLevel="2" x14ac:dyDescent="0.3">
      <c r="B995" s="444" t="s">
        <v>4613</v>
      </c>
      <c r="C995" s="460" t="s">
        <v>2354</v>
      </c>
      <c r="D995" s="454" t="s">
        <v>299</v>
      </c>
      <c r="E995" s="72"/>
      <c r="F995" s="75"/>
    </row>
    <row r="996" spans="2:6" s="82" customFormat="1" ht="15" customHeight="1" outlineLevel="2" x14ac:dyDescent="0.3">
      <c r="B996" s="444" t="s">
        <v>4614</v>
      </c>
      <c r="C996" s="460" t="s">
        <v>2355</v>
      </c>
      <c r="D996" s="454" t="s">
        <v>299</v>
      </c>
      <c r="E996" s="72"/>
      <c r="F996" s="75"/>
    </row>
    <row r="997" spans="2:6" s="82" customFormat="1" ht="15" customHeight="1" outlineLevel="2" x14ac:dyDescent="0.3">
      <c r="B997" s="444" t="s">
        <v>4615</v>
      </c>
      <c r="C997" s="460" t="s">
        <v>2356</v>
      </c>
      <c r="D997" s="454" t="s">
        <v>299</v>
      </c>
      <c r="E997" s="72"/>
      <c r="F997" s="75"/>
    </row>
    <row r="998" spans="2:6" s="82" customFormat="1" ht="15" customHeight="1" outlineLevel="2" x14ac:dyDescent="0.3">
      <c r="B998" s="444" t="s">
        <v>4616</v>
      </c>
      <c r="C998" s="460" t="s">
        <v>2357</v>
      </c>
      <c r="D998" s="454" t="s">
        <v>299</v>
      </c>
      <c r="E998" s="72"/>
      <c r="F998" s="75"/>
    </row>
    <row r="999" spans="2:6" s="82" customFormat="1" ht="15" customHeight="1" outlineLevel="2" x14ac:dyDescent="0.3">
      <c r="B999" s="444" t="s">
        <v>4617</v>
      </c>
      <c r="C999" s="460" t="s">
        <v>2358</v>
      </c>
      <c r="D999" s="454" t="s">
        <v>299</v>
      </c>
      <c r="E999" s="72"/>
      <c r="F999" s="75"/>
    </row>
    <row r="1000" spans="2:6" s="82" customFormat="1" ht="15" customHeight="1" outlineLevel="2" x14ac:dyDescent="0.3">
      <c r="B1000" s="444" t="s">
        <v>4618</v>
      </c>
      <c r="C1000" s="460" t="s">
        <v>2359</v>
      </c>
      <c r="D1000" s="454" t="s">
        <v>299</v>
      </c>
      <c r="E1000" s="72"/>
      <c r="F1000" s="75"/>
    </row>
    <row r="1001" spans="2:6" s="82" customFormat="1" ht="15" customHeight="1" outlineLevel="2" x14ac:dyDescent="0.3">
      <c r="B1001" s="444" t="s">
        <v>4619</v>
      </c>
      <c r="C1001" s="460" t="s">
        <v>2360</v>
      </c>
      <c r="D1001" s="454" t="s">
        <v>299</v>
      </c>
      <c r="E1001" s="72"/>
      <c r="F1001" s="75"/>
    </row>
    <row r="1002" spans="2:6" s="82" customFormat="1" ht="15" customHeight="1" outlineLevel="2" x14ac:dyDescent="0.3">
      <c r="B1002" s="444" t="s">
        <v>4620</v>
      </c>
      <c r="C1002" s="460" t="s">
        <v>2361</v>
      </c>
      <c r="D1002" s="454" t="s">
        <v>299</v>
      </c>
      <c r="E1002" s="72"/>
      <c r="F1002" s="75"/>
    </row>
    <row r="1003" spans="2:6" s="82" customFormat="1" ht="15" customHeight="1" outlineLevel="2" x14ac:dyDescent="0.3">
      <c r="B1003" s="444" t="s">
        <v>4621</v>
      </c>
      <c r="C1003" s="460" t="s">
        <v>2362</v>
      </c>
      <c r="D1003" s="454" t="s">
        <v>299</v>
      </c>
      <c r="E1003" s="72"/>
      <c r="F1003" s="75"/>
    </row>
    <row r="1004" spans="2:6" s="82" customFormat="1" ht="15" customHeight="1" outlineLevel="2" x14ac:dyDescent="0.3">
      <c r="B1004" s="444" t="s">
        <v>4622</v>
      </c>
      <c r="C1004" s="460" t="s">
        <v>2363</v>
      </c>
      <c r="D1004" s="454" t="s">
        <v>299</v>
      </c>
      <c r="E1004" s="72"/>
      <c r="F1004" s="75"/>
    </row>
    <row r="1005" spans="2:6" s="82" customFormat="1" ht="15" customHeight="1" outlineLevel="2" x14ac:dyDescent="0.3">
      <c r="B1005" s="444" t="s">
        <v>4623</v>
      </c>
      <c r="C1005" s="460" t="s">
        <v>2364</v>
      </c>
      <c r="D1005" s="454" t="s">
        <v>299</v>
      </c>
      <c r="E1005" s="72"/>
      <c r="F1005" s="75"/>
    </row>
    <row r="1006" spans="2:6" s="82" customFormat="1" ht="15" customHeight="1" outlineLevel="2" x14ac:dyDescent="0.3">
      <c r="B1006" s="444" t="s">
        <v>4624</v>
      </c>
      <c r="C1006" s="460" t="s">
        <v>2365</v>
      </c>
      <c r="D1006" s="454" t="s">
        <v>299</v>
      </c>
      <c r="E1006" s="72"/>
      <c r="F1006" s="75"/>
    </row>
    <row r="1007" spans="2:6" s="82" customFormat="1" ht="15" customHeight="1" outlineLevel="2" x14ac:dyDescent="0.3">
      <c r="B1007" s="444" t="s">
        <v>4625</v>
      </c>
      <c r="C1007" s="460" t="s">
        <v>2366</v>
      </c>
      <c r="D1007" s="454" t="s">
        <v>299</v>
      </c>
      <c r="E1007" s="72"/>
      <c r="F1007" s="75"/>
    </row>
    <row r="1008" spans="2:6" s="82" customFormat="1" ht="15" customHeight="1" outlineLevel="2" x14ac:dyDescent="0.3">
      <c r="B1008" s="444" t="s">
        <v>4626</v>
      </c>
      <c r="C1008" s="460" t="s">
        <v>2367</v>
      </c>
      <c r="D1008" s="454" t="s">
        <v>299</v>
      </c>
      <c r="E1008" s="72"/>
      <c r="F1008" s="75"/>
    </row>
    <row r="1009" spans="2:6" s="82" customFormat="1" ht="15" customHeight="1" outlineLevel="2" x14ac:dyDescent="0.3">
      <c r="B1009" s="444" t="s">
        <v>3411</v>
      </c>
      <c r="C1009" s="460" t="s">
        <v>2368</v>
      </c>
      <c r="D1009" s="454" t="s">
        <v>299</v>
      </c>
      <c r="E1009" s="72"/>
      <c r="F1009" s="75"/>
    </row>
    <row r="1010" spans="2:6" s="82" customFormat="1" ht="15" customHeight="1" outlineLevel="2" x14ac:dyDescent="0.3">
      <c r="B1010" s="444" t="s">
        <v>3412</v>
      </c>
      <c r="C1010" s="460" t="s">
        <v>2369</v>
      </c>
      <c r="D1010" s="454" t="s">
        <v>299</v>
      </c>
      <c r="E1010" s="72"/>
      <c r="F1010" s="75"/>
    </row>
    <row r="1011" spans="2:6" s="82" customFormat="1" ht="15" customHeight="1" outlineLevel="2" x14ac:dyDescent="0.3">
      <c r="B1011" s="444" t="s">
        <v>3413</v>
      </c>
      <c r="C1011" s="460" t="s">
        <v>2370</v>
      </c>
      <c r="D1011" s="454" t="s">
        <v>299</v>
      </c>
      <c r="E1011" s="72"/>
      <c r="F1011" s="75"/>
    </row>
    <row r="1012" spans="2:6" s="10" customFormat="1" ht="15" customHeight="1" outlineLevel="1" x14ac:dyDescent="0.3">
      <c r="B1012" s="444" t="s">
        <v>3414</v>
      </c>
      <c r="C1012" s="459">
        <v>15.4</v>
      </c>
      <c r="D1012" s="453" t="s">
        <v>4661</v>
      </c>
      <c r="E1012" s="71">
        <f>SUM(E1013:E1032)</f>
        <v>0</v>
      </c>
      <c r="F1012" s="74">
        <f>SUM(F1013:F1032)</f>
        <v>0</v>
      </c>
    </row>
    <row r="1013" spans="2:6" s="82" customFormat="1" ht="15" customHeight="1" outlineLevel="2" x14ac:dyDescent="0.3">
      <c r="B1013" s="466" t="s">
        <v>3415</v>
      </c>
      <c r="C1013" s="698" t="s">
        <v>2371</v>
      </c>
      <c r="D1013" s="699" t="s">
        <v>299</v>
      </c>
      <c r="E1013" s="700"/>
      <c r="F1013" s="701"/>
    </row>
    <row r="1014" spans="2:6" s="82" customFormat="1" ht="15" customHeight="1" outlineLevel="2" x14ac:dyDescent="0.3">
      <c r="B1014" s="444" t="s">
        <v>3416</v>
      </c>
      <c r="C1014" s="460" t="s">
        <v>2372</v>
      </c>
      <c r="D1014" s="454" t="s">
        <v>299</v>
      </c>
      <c r="E1014" s="85"/>
      <c r="F1014" s="86"/>
    </row>
    <row r="1015" spans="2:6" s="82" customFormat="1" ht="15" customHeight="1" outlineLevel="2" x14ac:dyDescent="0.3">
      <c r="B1015" s="444" t="s">
        <v>3417</v>
      </c>
      <c r="C1015" s="460" t="s">
        <v>2373</v>
      </c>
      <c r="D1015" s="454" t="s">
        <v>299</v>
      </c>
      <c r="E1015" s="85"/>
      <c r="F1015" s="86"/>
    </row>
    <row r="1016" spans="2:6" s="82" customFormat="1" ht="15" customHeight="1" outlineLevel="2" x14ac:dyDescent="0.3">
      <c r="B1016" s="444" t="s">
        <v>3418</v>
      </c>
      <c r="C1016" s="460" t="s">
        <v>2374</v>
      </c>
      <c r="D1016" s="454" t="s">
        <v>299</v>
      </c>
      <c r="E1016" s="85"/>
      <c r="F1016" s="86"/>
    </row>
    <row r="1017" spans="2:6" s="82" customFormat="1" ht="15" customHeight="1" outlineLevel="2" x14ac:dyDescent="0.3">
      <c r="B1017" s="444" t="s">
        <v>3419</v>
      </c>
      <c r="C1017" s="460" t="s">
        <v>2375</v>
      </c>
      <c r="D1017" s="454" t="s">
        <v>299</v>
      </c>
      <c r="E1017" s="85"/>
      <c r="F1017" s="86"/>
    </row>
    <row r="1018" spans="2:6" s="82" customFormat="1" ht="15" customHeight="1" outlineLevel="2" x14ac:dyDescent="0.3">
      <c r="B1018" s="444" t="s">
        <v>3420</v>
      </c>
      <c r="C1018" s="460" t="s">
        <v>2376</v>
      </c>
      <c r="D1018" s="454" t="s">
        <v>299</v>
      </c>
      <c r="E1018" s="85"/>
      <c r="F1018" s="86"/>
    </row>
    <row r="1019" spans="2:6" s="82" customFormat="1" ht="15" customHeight="1" outlineLevel="2" x14ac:dyDescent="0.3">
      <c r="B1019" s="444" t="s">
        <v>3421</v>
      </c>
      <c r="C1019" s="460" t="s">
        <v>2377</v>
      </c>
      <c r="D1019" s="454" t="s">
        <v>299</v>
      </c>
      <c r="E1019" s="85"/>
      <c r="F1019" s="86"/>
    </row>
    <row r="1020" spans="2:6" s="82" customFormat="1" ht="15" customHeight="1" outlineLevel="2" x14ac:dyDescent="0.3">
      <c r="B1020" s="444" t="s">
        <v>3422</v>
      </c>
      <c r="C1020" s="460" t="s">
        <v>2378</v>
      </c>
      <c r="D1020" s="454" t="s">
        <v>299</v>
      </c>
      <c r="E1020" s="85"/>
      <c r="F1020" s="86"/>
    </row>
    <row r="1021" spans="2:6" s="82" customFormat="1" ht="15" customHeight="1" outlineLevel="2" x14ac:dyDescent="0.3">
      <c r="B1021" s="444" t="s">
        <v>3423</v>
      </c>
      <c r="C1021" s="460" t="s">
        <v>2379</v>
      </c>
      <c r="D1021" s="454" t="s">
        <v>299</v>
      </c>
      <c r="E1021" s="85"/>
      <c r="F1021" s="86"/>
    </row>
    <row r="1022" spans="2:6" s="82" customFormat="1" ht="15" customHeight="1" outlineLevel="2" x14ac:dyDescent="0.3">
      <c r="B1022" s="444" t="s">
        <v>3424</v>
      </c>
      <c r="C1022" s="460" t="s">
        <v>2380</v>
      </c>
      <c r="D1022" s="454" t="s">
        <v>299</v>
      </c>
      <c r="E1022" s="85"/>
      <c r="F1022" s="86"/>
    </row>
    <row r="1023" spans="2:6" s="82" customFormat="1" ht="15" customHeight="1" outlineLevel="2" x14ac:dyDescent="0.3">
      <c r="B1023" s="444" t="s">
        <v>3425</v>
      </c>
      <c r="C1023" s="460" t="s">
        <v>2381</v>
      </c>
      <c r="D1023" s="454" t="s">
        <v>299</v>
      </c>
      <c r="E1023" s="85"/>
      <c r="F1023" s="86"/>
    </row>
    <row r="1024" spans="2:6" s="82" customFormat="1" ht="15" customHeight="1" outlineLevel="2" x14ac:dyDescent="0.3">
      <c r="B1024" s="444" t="s">
        <v>3426</v>
      </c>
      <c r="C1024" s="460" t="s">
        <v>2382</v>
      </c>
      <c r="D1024" s="454" t="s">
        <v>299</v>
      </c>
      <c r="E1024" s="85"/>
      <c r="F1024" s="86"/>
    </row>
    <row r="1025" spans="2:7" s="82" customFormat="1" ht="15" customHeight="1" outlineLevel="2" x14ac:dyDescent="0.3">
      <c r="B1025" s="444" t="s">
        <v>3427</v>
      </c>
      <c r="C1025" s="460" t="s">
        <v>2383</v>
      </c>
      <c r="D1025" s="454" t="s">
        <v>299</v>
      </c>
      <c r="E1025" s="85"/>
      <c r="F1025" s="86"/>
    </row>
    <row r="1026" spans="2:7" s="82" customFormat="1" ht="15" customHeight="1" outlineLevel="2" x14ac:dyDescent="0.3">
      <c r="B1026" s="444" t="s">
        <v>3428</v>
      </c>
      <c r="C1026" s="460" t="s">
        <v>2384</v>
      </c>
      <c r="D1026" s="454" t="s">
        <v>299</v>
      </c>
      <c r="E1026" s="85"/>
      <c r="F1026" s="86"/>
    </row>
    <row r="1027" spans="2:7" s="82" customFormat="1" ht="15" customHeight="1" outlineLevel="2" x14ac:dyDescent="0.3">
      <c r="B1027" s="444" t="s">
        <v>3429</v>
      </c>
      <c r="C1027" s="460" t="s">
        <v>2385</v>
      </c>
      <c r="D1027" s="454" t="s">
        <v>299</v>
      </c>
      <c r="E1027" s="85"/>
      <c r="F1027" s="86"/>
    </row>
    <row r="1028" spans="2:7" s="82" customFormat="1" ht="15" customHeight="1" outlineLevel="2" x14ac:dyDescent="0.3">
      <c r="B1028" s="444" t="s">
        <v>3430</v>
      </c>
      <c r="C1028" s="460" t="s">
        <v>2386</v>
      </c>
      <c r="D1028" s="454" t="s">
        <v>299</v>
      </c>
      <c r="E1028" s="85"/>
      <c r="F1028" s="86"/>
    </row>
    <row r="1029" spans="2:7" s="82" customFormat="1" ht="15" customHeight="1" outlineLevel="2" x14ac:dyDescent="0.3">
      <c r="B1029" s="444" t="s">
        <v>3431</v>
      </c>
      <c r="C1029" s="460" t="s">
        <v>2387</v>
      </c>
      <c r="D1029" s="454" t="s">
        <v>299</v>
      </c>
      <c r="E1029" s="85"/>
      <c r="F1029" s="86"/>
    </row>
    <row r="1030" spans="2:7" s="82" customFormat="1" ht="15" customHeight="1" outlineLevel="2" x14ac:dyDescent="0.3">
      <c r="B1030" s="444" t="s">
        <v>3432</v>
      </c>
      <c r="C1030" s="460" t="s">
        <v>2388</v>
      </c>
      <c r="D1030" s="454" t="s">
        <v>299</v>
      </c>
      <c r="E1030" s="85"/>
      <c r="F1030" s="86"/>
    </row>
    <row r="1031" spans="2:7" s="82" customFormat="1" ht="15" customHeight="1" outlineLevel="2" x14ac:dyDescent="0.3">
      <c r="B1031" s="444" t="s">
        <v>3433</v>
      </c>
      <c r="C1031" s="460" t="s">
        <v>2389</v>
      </c>
      <c r="D1031" s="454" t="s">
        <v>299</v>
      </c>
      <c r="E1031" s="85"/>
      <c r="F1031" s="86"/>
    </row>
    <row r="1032" spans="2:7" s="82" customFormat="1" ht="15" customHeight="1" outlineLevel="2" thickBot="1" x14ac:dyDescent="0.35">
      <c r="B1032" s="467" t="s">
        <v>3434</v>
      </c>
      <c r="C1032" s="463" t="s">
        <v>2390</v>
      </c>
      <c r="D1032" s="457" t="s">
        <v>299</v>
      </c>
      <c r="E1032" s="87"/>
      <c r="F1032" s="88"/>
    </row>
    <row r="1033" spans="2:7" s="14" customFormat="1" ht="9" customHeight="1" thickBot="1" x14ac:dyDescent="0.35">
      <c r="B1033" s="702"/>
      <c r="C1033" s="702"/>
      <c r="D1033" s="702"/>
      <c r="E1033" s="703"/>
      <c r="F1033" s="703"/>
    </row>
    <row r="1034" spans="2:7" ht="15" customHeight="1" thickBot="1" x14ac:dyDescent="0.35">
      <c r="B1034" s="465" t="s">
        <v>3435</v>
      </c>
      <c r="C1034" s="800" t="s">
        <v>2832</v>
      </c>
      <c r="D1034" s="801"/>
      <c r="E1034" s="247">
        <f>E8+E350+E692</f>
        <v>0</v>
      </c>
      <c r="F1034" s="248">
        <f>F8+F350+F692</f>
        <v>0</v>
      </c>
      <c r="G1034" s="11"/>
    </row>
    <row r="1035" spans="2:7" ht="15" customHeight="1" x14ac:dyDescent="0.3">
      <c r="C1035" s="15"/>
      <c r="D1035" s="15"/>
      <c r="E1035" s="48"/>
      <c r="F1035" s="48"/>
    </row>
    <row r="1036" spans="2:7" ht="15" customHeight="1" x14ac:dyDescent="0.3">
      <c r="C1036" s="15"/>
      <c r="D1036" s="15"/>
      <c r="E1036" s="48"/>
      <c r="F1036" s="48"/>
    </row>
    <row r="1037" spans="2:7" x14ac:dyDescent="0.3">
      <c r="C1037" s="782"/>
      <c r="D1037" s="782"/>
      <c r="E1037" s="782"/>
      <c r="F1037" s="782"/>
    </row>
    <row r="1038" spans="2:7" x14ac:dyDescent="0.3">
      <c r="C1038" s="785"/>
      <c r="D1038" s="785"/>
      <c r="E1038" s="785"/>
      <c r="F1038" s="785"/>
    </row>
    <row r="1039" spans="2:7" x14ac:dyDescent="0.3">
      <c r="C1039" s="782"/>
      <c r="D1039" s="782"/>
      <c r="E1039" s="782"/>
      <c r="F1039" s="782"/>
    </row>
    <row r="1040" spans="2:7" x14ac:dyDescent="0.3">
      <c r="C1040" s="785"/>
      <c r="D1040" s="785"/>
      <c r="E1040" s="785"/>
      <c r="F1040" s="785"/>
    </row>
    <row r="1041" spans="3:6" x14ac:dyDescent="0.3">
      <c r="C1041" s="782"/>
      <c r="D1041" s="782"/>
      <c r="E1041" s="782"/>
      <c r="F1041" s="782"/>
    </row>
    <row r="1042" spans="3:6" x14ac:dyDescent="0.3">
      <c r="C1042" s="785"/>
      <c r="D1042" s="785"/>
      <c r="E1042" s="785"/>
      <c r="F1042" s="785"/>
    </row>
  </sheetData>
  <customSheetViews>
    <customSheetView guid="{F18E25A1-ACAC-4BA2-9084-15C64EADD71F}" showPageBreaks="1" fitToPage="1">
      <selection activeCell="C10" sqref="C10"/>
      <pageMargins left="0.37" right="0.39" top="0.38" bottom="0.28999999999999998" header="0.5" footer="0.28999999999999998"/>
      <pageSetup paperSize="9" fitToWidth="2" orientation="portrait" horizontalDpi="300" verticalDpi="300" r:id="rId1"/>
      <headerFooter alignWithMargins="0"/>
    </customSheetView>
    <customSheetView guid="{42441662-3193-455A-AAAC-E0697E2ED236}" showPageBreaks="1" fitToPage="1">
      <selection activeCell="B21" sqref="B21"/>
      <pageMargins left="0.37" right="0.39" top="0.38" bottom="0.28999999999999998" header="0.5" footer="0.28999999999999998"/>
      <pageSetup paperSize="9" scale="85" fitToWidth="2" orientation="portrait" horizontalDpi="300" verticalDpi="300" r:id="rId2"/>
      <headerFooter alignWithMargins="0"/>
    </customSheetView>
    <customSheetView guid="{AB1DC9E9-A3E4-4BE0-8A49-B02D340E9D12}" fitToPage="1">
      <selection activeCell="B5" sqref="B5"/>
      <pageMargins left="0.37" right="0.39" top="0.38" bottom="0.28999999999999998" header="0.5" footer="0.28999999999999998"/>
      <pageSetup paperSize="9" scale="84" fitToWidth="2" orientation="portrait" horizontalDpi="300" verticalDpi="300" r:id="rId3"/>
      <headerFooter alignWithMargins="0"/>
    </customSheetView>
    <customSheetView guid="{BC7A4191-54CC-4009-AB21-42ED557A5091}" showPageBreaks="1" fitToPage="1" showRuler="0">
      <selection activeCell="C1" sqref="C1:D1"/>
      <pageMargins left="0.37" right="0.39" top="0.38" bottom="0.28999999999999998" header="0.5" footer="0.28999999999999998"/>
      <pageSetup paperSize="9" scale="84" fitToWidth="2" orientation="portrait" horizontalDpi="300" verticalDpi="300" r:id="rId4"/>
      <headerFooter alignWithMargins="0"/>
    </customSheetView>
  </customSheetViews>
  <mergeCells count="12">
    <mergeCell ref="C1042:F1042"/>
    <mergeCell ref="B1:C1"/>
    <mergeCell ref="C1034:D1034"/>
    <mergeCell ref="E1:F1"/>
    <mergeCell ref="E5:F5"/>
    <mergeCell ref="D4:F4"/>
    <mergeCell ref="B2:F2"/>
    <mergeCell ref="C1037:F1037"/>
    <mergeCell ref="C1038:F1038"/>
    <mergeCell ref="C1039:F1039"/>
    <mergeCell ref="C1040:F1040"/>
    <mergeCell ref="C1041:F1041"/>
  </mergeCells>
  <phoneticPr fontId="3" type="noConversion"/>
  <printOptions horizontalCentered="1"/>
  <pageMargins left="0.2" right="0.2" top="0.26" bottom="0.2" header="0.17" footer="0.17"/>
  <pageSetup paperSize="9" scale="87" fitToWidth="2" orientation="portrait" horizontalDpi="300" verticalDpi="300" r:id="rId5"/>
  <headerFooter alignWithMargins="0"/>
  <ignoredErrors>
    <ignoredError sqref="B1037 B8:B103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ummaryRight="0"/>
  </sheetPr>
  <dimension ref="B1:I787"/>
  <sheetViews>
    <sheetView showGridLines="0" zoomScale="90" zoomScaleNormal="90" workbookViewId="0">
      <pane ySplit="6" topLeftCell="A482" activePane="bottomLeft" state="frozen"/>
      <selection activeCell="C120" sqref="C120"/>
      <selection pane="bottomLeft" activeCell="I491" sqref="I491"/>
    </sheetView>
  </sheetViews>
  <sheetFormatPr defaultColWidth="9.140625" defaultRowHeight="15" outlineLevelRow="1" x14ac:dyDescent="0.3"/>
  <cols>
    <col min="1" max="1" width="2" style="97" customWidth="1"/>
    <col min="2" max="2" width="11.7109375" style="97" customWidth="1"/>
    <col min="3" max="3" width="6.85546875" style="97" customWidth="1"/>
    <col min="4" max="4" width="75.85546875" style="97" customWidth="1"/>
    <col min="5" max="6" width="16.140625" style="97" customWidth="1"/>
    <col min="7" max="16384" width="9.140625" style="97"/>
  </cols>
  <sheetData>
    <row r="1" spans="2:8" s="96" customFormat="1" ht="15" customHeight="1" x14ac:dyDescent="0.3">
      <c r="B1" s="803" t="s">
        <v>315</v>
      </c>
      <c r="C1" s="803"/>
      <c r="D1" s="95"/>
      <c r="E1" s="806" t="s">
        <v>1214</v>
      </c>
      <c r="F1" s="806"/>
    </row>
    <row r="2" spans="2:8" ht="15" customHeight="1" x14ac:dyDescent="0.3">
      <c r="B2" s="803" t="s">
        <v>1209</v>
      </c>
      <c r="C2" s="803"/>
      <c r="D2" s="803"/>
      <c r="E2" s="803"/>
      <c r="F2" s="803"/>
    </row>
    <row r="3" spans="2:8" ht="15" customHeight="1" x14ac:dyDescent="0.3">
      <c r="C3" s="99"/>
      <c r="F3" s="98"/>
    </row>
    <row r="4" spans="2:8" s="101" customFormat="1" ht="15" customHeight="1" x14ac:dyDescent="0.2">
      <c r="B4" s="100"/>
      <c r="C4" s="804" t="s">
        <v>251</v>
      </c>
      <c r="D4" s="804"/>
      <c r="E4" s="804"/>
      <c r="F4" s="804"/>
    </row>
    <row r="5" spans="2:8" s="98" customFormat="1" ht="15" customHeight="1" thickBot="1" x14ac:dyDescent="0.35">
      <c r="E5" s="805" t="s">
        <v>323</v>
      </c>
      <c r="F5" s="805"/>
    </row>
    <row r="6" spans="2:8" s="102" customFormat="1" ht="45.75" thickBot="1" x14ac:dyDescent="0.25">
      <c r="B6" s="481" t="s">
        <v>4627</v>
      </c>
      <c r="C6" s="472" t="s">
        <v>1211</v>
      </c>
      <c r="D6" s="472"/>
      <c r="E6" s="473" t="s">
        <v>322</v>
      </c>
      <c r="F6" s="474" t="s">
        <v>333</v>
      </c>
    </row>
    <row r="7" spans="2:8" s="96" customFormat="1" ht="9" customHeight="1" x14ac:dyDescent="0.3">
      <c r="C7" s="103"/>
      <c r="D7" s="104"/>
      <c r="E7" s="105"/>
      <c r="F7" s="105"/>
    </row>
    <row r="8" spans="2:8" s="106" customFormat="1" ht="15.75" thickBot="1" x14ac:dyDescent="0.35">
      <c r="C8" s="807" t="s">
        <v>252</v>
      </c>
      <c r="D8" s="807"/>
      <c r="E8" s="807"/>
      <c r="F8" s="807"/>
    </row>
    <row r="9" spans="2:8" s="107" customFormat="1" x14ac:dyDescent="0.2">
      <c r="B9" s="439" t="s">
        <v>3628</v>
      </c>
      <c r="C9" s="482">
        <v>1</v>
      </c>
      <c r="D9" s="475" t="s">
        <v>255</v>
      </c>
      <c r="E9" s="476">
        <f>SUM(E10:E29)</f>
        <v>0</v>
      </c>
      <c r="F9" s="477">
        <f>SUM(F10:F29)</f>
        <v>0</v>
      </c>
      <c r="H9" s="310"/>
    </row>
    <row r="10" spans="2:8" s="110" customFormat="1" outlineLevel="1" x14ac:dyDescent="0.2">
      <c r="B10" s="60" t="s">
        <v>3629</v>
      </c>
      <c r="C10" s="483">
        <v>1.1000000000000001</v>
      </c>
      <c r="D10" s="111" t="s">
        <v>258</v>
      </c>
      <c r="E10" s="303"/>
      <c r="F10" s="304"/>
      <c r="G10" s="112"/>
      <c r="H10" s="112"/>
    </row>
    <row r="11" spans="2:8" s="110" customFormat="1" outlineLevel="1" x14ac:dyDescent="0.2">
      <c r="B11" s="60" t="s">
        <v>3630</v>
      </c>
      <c r="C11" s="483">
        <v>1.2</v>
      </c>
      <c r="D11" s="111" t="s">
        <v>258</v>
      </c>
      <c r="E11" s="117"/>
      <c r="F11" s="118"/>
    </row>
    <row r="12" spans="2:8" s="110" customFormat="1" outlineLevel="1" x14ac:dyDescent="0.2">
      <c r="B12" s="60" t="s">
        <v>3631</v>
      </c>
      <c r="C12" s="483">
        <v>1.3</v>
      </c>
      <c r="D12" s="111" t="s">
        <v>258</v>
      </c>
      <c r="E12" s="117"/>
      <c r="F12" s="118"/>
    </row>
    <row r="13" spans="2:8" s="110" customFormat="1" outlineLevel="1" x14ac:dyDescent="0.2">
      <c r="B13" s="60" t="s">
        <v>3632</v>
      </c>
      <c r="C13" s="483">
        <v>1.4</v>
      </c>
      <c r="D13" s="111" t="s">
        <v>258</v>
      </c>
      <c r="E13" s="117"/>
      <c r="F13" s="118"/>
    </row>
    <row r="14" spans="2:8" s="110" customFormat="1" outlineLevel="1" x14ac:dyDescent="0.2">
      <c r="B14" s="60" t="s">
        <v>3633</v>
      </c>
      <c r="C14" s="483">
        <v>1.5</v>
      </c>
      <c r="D14" s="111" t="s">
        <v>258</v>
      </c>
      <c r="E14" s="117"/>
      <c r="F14" s="118"/>
    </row>
    <row r="15" spans="2:8" s="110" customFormat="1" outlineLevel="1" x14ac:dyDescent="0.2">
      <c r="B15" s="60" t="s">
        <v>3634</v>
      </c>
      <c r="C15" s="483">
        <v>1.6</v>
      </c>
      <c r="D15" s="111" t="s">
        <v>258</v>
      </c>
      <c r="E15" s="117"/>
      <c r="F15" s="118"/>
    </row>
    <row r="16" spans="2:8" s="110" customFormat="1" outlineLevel="1" x14ac:dyDescent="0.2">
      <c r="B16" s="60" t="s">
        <v>3635</v>
      </c>
      <c r="C16" s="483">
        <v>1.7</v>
      </c>
      <c r="D16" s="111" t="s">
        <v>258</v>
      </c>
      <c r="E16" s="117"/>
      <c r="F16" s="118"/>
    </row>
    <row r="17" spans="2:9" s="110" customFormat="1" outlineLevel="1" x14ac:dyDescent="0.2">
      <c r="B17" s="60" t="s">
        <v>3636</v>
      </c>
      <c r="C17" s="483">
        <v>1.8</v>
      </c>
      <c r="D17" s="111" t="s">
        <v>258</v>
      </c>
      <c r="E17" s="117"/>
      <c r="F17" s="118"/>
    </row>
    <row r="18" spans="2:9" s="110" customFormat="1" outlineLevel="1" x14ac:dyDescent="0.2">
      <c r="B18" s="60" t="s">
        <v>3637</v>
      </c>
      <c r="C18" s="483">
        <v>1.9</v>
      </c>
      <c r="D18" s="111" t="s">
        <v>258</v>
      </c>
      <c r="E18" s="117"/>
      <c r="F18" s="118"/>
    </row>
    <row r="19" spans="2:9" s="110" customFormat="1" outlineLevel="1" x14ac:dyDescent="0.2">
      <c r="B19" s="60" t="s">
        <v>3638</v>
      </c>
      <c r="C19" s="484">
        <v>1.1000000000000001</v>
      </c>
      <c r="D19" s="111" t="s">
        <v>258</v>
      </c>
      <c r="E19" s="117"/>
      <c r="F19" s="118"/>
    </row>
    <row r="20" spans="2:9" s="110" customFormat="1" outlineLevel="1" x14ac:dyDescent="0.2">
      <c r="B20" s="60" t="s">
        <v>3639</v>
      </c>
      <c r="C20" s="483">
        <v>1.1100000000000001</v>
      </c>
      <c r="D20" s="111" t="s">
        <v>258</v>
      </c>
      <c r="E20" s="117"/>
      <c r="F20" s="118"/>
    </row>
    <row r="21" spans="2:9" s="110" customFormat="1" outlineLevel="1" x14ac:dyDescent="0.2">
      <c r="B21" s="60" t="s">
        <v>3640</v>
      </c>
      <c r="C21" s="483">
        <v>1.1200000000000001</v>
      </c>
      <c r="D21" s="111" t="s">
        <v>258</v>
      </c>
      <c r="E21" s="117"/>
      <c r="F21" s="118"/>
    </row>
    <row r="22" spans="2:9" s="110" customFormat="1" outlineLevel="1" x14ac:dyDescent="0.2">
      <c r="B22" s="60" t="s">
        <v>3641</v>
      </c>
      <c r="C22" s="483">
        <v>1.1299999999999999</v>
      </c>
      <c r="D22" s="111" t="s">
        <v>258</v>
      </c>
      <c r="E22" s="117"/>
      <c r="F22" s="118"/>
    </row>
    <row r="23" spans="2:9" s="110" customFormat="1" outlineLevel="1" x14ac:dyDescent="0.2">
      <c r="B23" s="60" t="s">
        <v>3642</v>
      </c>
      <c r="C23" s="483">
        <v>1.1399999999999999</v>
      </c>
      <c r="D23" s="111" t="s">
        <v>258</v>
      </c>
      <c r="E23" s="117"/>
      <c r="F23" s="118"/>
    </row>
    <row r="24" spans="2:9" s="110" customFormat="1" outlineLevel="1" x14ac:dyDescent="0.2">
      <c r="B24" s="60" t="s">
        <v>3643</v>
      </c>
      <c r="C24" s="483">
        <v>1.1499999999999999</v>
      </c>
      <c r="D24" s="111" t="s">
        <v>258</v>
      </c>
      <c r="E24" s="117"/>
      <c r="F24" s="118"/>
    </row>
    <row r="25" spans="2:9" s="110" customFormat="1" outlineLevel="1" x14ac:dyDescent="0.2">
      <c r="B25" s="60" t="s">
        <v>3644</v>
      </c>
      <c r="C25" s="483">
        <v>1.1599999999999999</v>
      </c>
      <c r="D25" s="111" t="s">
        <v>258</v>
      </c>
      <c r="E25" s="117"/>
      <c r="F25" s="118"/>
    </row>
    <row r="26" spans="2:9" s="110" customFormat="1" outlineLevel="1" x14ac:dyDescent="0.2">
      <c r="B26" s="60" t="s">
        <v>3645</v>
      </c>
      <c r="C26" s="483">
        <v>1.17</v>
      </c>
      <c r="D26" s="111" t="s">
        <v>258</v>
      </c>
      <c r="E26" s="117"/>
      <c r="F26" s="118"/>
    </row>
    <row r="27" spans="2:9" s="110" customFormat="1" outlineLevel="1" x14ac:dyDescent="0.2">
      <c r="B27" s="60" t="s">
        <v>3646</v>
      </c>
      <c r="C27" s="483">
        <v>1.18</v>
      </c>
      <c r="D27" s="111" t="s">
        <v>258</v>
      </c>
      <c r="E27" s="117"/>
      <c r="F27" s="118"/>
    </row>
    <row r="28" spans="2:9" s="110" customFormat="1" outlineLevel="1" x14ac:dyDescent="0.2">
      <c r="B28" s="60" t="s">
        <v>3647</v>
      </c>
      <c r="C28" s="483">
        <v>1.19</v>
      </c>
      <c r="D28" s="111" t="s">
        <v>258</v>
      </c>
      <c r="E28" s="117"/>
      <c r="F28" s="118"/>
    </row>
    <row r="29" spans="2:9" s="110" customFormat="1" outlineLevel="1" x14ac:dyDescent="0.2">
      <c r="B29" s="60" t="s">
        <v>3648</v>
      </c>
      <c r="C29" s="483" t="s">
        <v>476</v>
      </c>
      <c r="D29" s="111" t="s">
        <v>258</v>
      </c>
      <c r="E29" s="117"/>
      <c r="F29" s="118"/>
      <c r="G29" s="112"/>
    </row>
    <row r="30" spans="2:9" s="115" customFormat="1" x14ac:dyDescent="0.2">
      <c r="B30" s="60" t="s">
        <v>3649</v>
      </c>
      <c r="C30" s="485" t="s">
        <v>437</v>
      </c>
      <c r="D30" s="113" t="s">
        <v>259</v>
      </c>
      <c r="E30" s="108">
        <f>SUM(E31:E50)</f>
        <v>0</v>
      </c>
      <c r="F30" s="109">
        <f>SUM(F31:F50)</f>
        <v>0</v>
      </c>
      <c r="G30" s="114"/>
      <c r="H30" s="114"/>
      <c r="I30" s="114"/>
    </row>
    <row r="31" spans="2:9" s="110" customFormat="1" outlineLevel="1" x14ac:dyDescent="0.2">
      <c r="B31" s="60" t="s">
        <v>3650</v>
      </c>
      <c r="C31" s="483">
        <v>2.1</v>
      </c>
      <c r="D31" s="116" t="s">
        <v>260</v>
      </c>
      <c r="E31" s="117"/>
      <c r="F31" s="118"/>
    </row>
    <row r="32" spans="2:9" s="110" customFormat="1" outlineLevel="1" x14ac:dyDescent="0.2">
      <c r="B32" s="60" t="s">
        <v>3651</v>
      </c>
      <c r="C32" s="483">
        <v>2.2000000000000002</v>
      </c>
      <c r="D32" s="116" t="s">
        <v>260</v>
      </c>
      <c r="E32" s="117"/>
      <c r="F32" s="118"/>
    </row>
    <row r="33" spans="2:6" s="110" customFormat="1" outlineLevel="1" x14ac:dyDescent="0.2">
      <c r="B33" s="60" t="s">
        <v>3652</v>
      </c>
      <c r="C33" s="483">
        <v>2.2999999999999998</v>
      </c>
      <c r="D33" s="116" t="s">
        <v>260</v>
      </c>
      <c r="E33" s="117"/>
      <c r="F33" s="118"/>
    </row>
    <row r="34" spans="2:6" s="110" customFormat="1" outlineLevel="1" x14ac:dyDescent="0.2">
      <c r="B34" s="60" t="s">
        <v>3653</v>
      </c>
      <c r="C34" s="483">
        <v>2.4</v>
      </c>
      <c r="D34" s="116" t="s">
        <v>260</v>
      </c>
      <c r="E34" s="117"/>
      <c r="F34" s="118"/>
    </row>
    <row r="35" spans="2:6" s="110" customFormat="1" outlineLevel="1" x14ac:dyDescent="0.2">
      <c r="B35" s="60" t="s">
        <v>3654</v>
      </c>
      <c r="C35" s="483">
        <v>2.5</v>
      </c>
      <c r="D35" s="116" t="s">
        <v>260</v>
      </c>
      <c r="E35" s="117"/>
      <c r="F35" s="118"/>
    </row>
    <row r="36" spans="2:6" s="110" customFormat="1" outlineLevel="1" x14ac:dyDescent="0.2">
      <c r="B36" s="60" t="s">
        <v>3655</v>
      </c>
      <c r="C36" s="483">
        <v>2.6</v>
      </c>
      <c r="D36" s="116" t="s">
        <v>260</v>
      </c>
      <c r="E36" s="117"/>
      <c r="F36" s="118"/>
    </row>
    <row r="37" spans="2:6" s="110" customFormat="1" outlineLevel="1" x14ac:dyDescent="0.2">
      <c r="B37" s="60" t="s">
        <v>3656</v>
      </c>
      <c r="C37" s="483">
        <v>2.7</v>
      </c>
      <c r="D37" s="116" t="s">
        <v>260</v>
      </c>
      <c r="E37" s="117"/>
      <c r="F37" s="118"/>
    </row>
    <row r="38" spans="2:6" s="110" customFormat="1" outlineLevel="1" x14ac:dyDescent="0.2">
      <c r="B38" s="60" t="s">
        <v>3657</v>
      </c>
      <c r="C38" s="483">
        <v>2.8</v>
      </c>
      <c r="D38" s="116" t="s">
        <v>260</v>
      </c>
      <c r="E38" s="117"/>
      <c r="F38" s="118"/>
    </row>
    <row r="39" spans="2:6" s="110" customFormat="1" outlineLevel="1" x14ac:dyDescent="0.2">
      <c r="B39" s="60" t="s">
        <v>3658</v>
      </c>
      <c r="C39" s="483">
        <v>2.9</v>
      </c>
      <c r="D39" s="116" t="s">
        <v>260</v>
      </c>
      <c r="E39" s="117"/>
      <c r="F39" s="118"/>
    </row>
    <row r="40" spans="2:6" s="110" customFormat="1" outlineLevel="1" x14ac:dyDescent="0.2">
      <c r="B40" s="60" t="s">
        <v>3659</v>
      </c>
      <c r="C40" s="484">
        <v>2.1</v>
      </c>
      <c r="D40" s="116" t="s">
        <v>260</v>
      </c>
      <c r="E40" s="117"/>
      <c r="F40" s="118"/>
    </row>
    <row r="41" spans="2:6" s="110" customFormat="1" outlineLevel="1" x14ac:dyDescent="0.2">
      <c r="B41" s="60" t="s">
        <v>3660</v>
      </c>
      <c r="C41" s="483">
        <v>2.11</v>
      </c>
      <c r="D41" s="116" t="s">
        <v>260</v>
      </c>
      <c r="E41" s="117"/>
      <c r="F41" s="118"/>
    </row>
    <row r="42" spans="2:6" s="110" customFormat="1" outlineLevel="1" x14ac:dyDescent="0.2">
      <c r="B42" s="60" t="s">
        <v>3661</v>
      </c>
      <c r="C42" s="483">
        <v>2.12</v>
      </c>
      <c r="D42" s="116" t="s">
        <v>260</v>
      </c>
      <c r="E42" s="117"/>
      <c r="F42" s="118"/>
    </row>
    <row r="43" spans="2:6" s="110" customFormat="1" outlineLevel="1" x14ac:dyDescent="0.2">
      <c r="B43" s="60" t="s">
        <v>3662</v>
      </c>
      <c r="C43" s="483">
        <v>2.13</v>
      </c>
      <c r="D43" s="116" t="s">
        <v>260</v>
      </c>
      <c r="E43" s="117"/>
      <c r="F43" s="118"/>
    </row>
    <row r="44" spans="2:6" s="110" customFormat="1" outlineLevel="1" x14ac:dyDescent="0.2">
      <c r="B44" s="60" t="s">
        <v>3663</v>
      </c>
      <c r="C44" s="483">
        <v>2.14</v>
      </c>
      <c r="D44" s="116" t="s">
        <v>260</v>
      </c>
      <c r="E44" s="117"/>
      <c r="F44" s="118"/>
    </row>
    <row r="45" spans="2:6" s="110" customFormat="1" outlineLevel="1" x14ac:dyDescent="0.2">
      <c r="B45" s="60" t="s">
        <v>3664</v>
      </c>
      <c r="C45" s="483">
        <v>2.15</v>
      </c>
      <c r="D45" s="116" t="s">
        <v>260</v>
      </c>
      <c r="E45" s="117"/>
      <c r="F45" s="118"/>
    </row>
    <row r="46" spans="2:6" s="110" customFormat="1" outlineLevel="1" x14ac:dyDescent="0.2">
      <c r="B46" s="60" t="s">
        <v>3665</v>
      </c>
      <c r="C46" s="483">
        <v>2.16</v>
      </c>
      <c r="D46" s="116" t="s">
        <v>260</v>
      </c>
      <c r="E46" s="117"/>
      <c r="F46" s="118"/>
    </row>
    <row r="47" spans="2:6" s="110" customFormat="1" outlineLevel="1" x14ac:dyDescent="0.2">
      <c r="B47" s="60" t="s">
        <v>3666</v>
      </c>
      <c r="C47" s="483">
        <v>2.17</v>
      </c>
      <c r="D47" s="116" t="s">
        <v>260</v>
      </c>
      <c r="E47" s="117"/>
      <c r="F47" s="118"/>
    </row>
    <row r="48" spans="2:6" s="110" customFormat="1" outlineLevel="1" x14ac:dyDescent="0.2">
      <c r="B48" s="60" t="s">
        <v>3667</v>
      </c>
      <c r="C48" s="483">
        <v>2.1800000000000002</v>
      </c>
      <c r="D48" s="116" t="s">
        <v>260</v>
      </c>
      <c r="E48" s="117"/>
      <c r="F48" s="118"/>
    </row>
    <row r="49" spans="2:9" s="110" customFormat="1" outlineLevel="1" x14ac:dyDescent="0.2">
      <c r="B49" s="60" t="s">
        <v>3668</v>
      </c>
      <c r="C49" s="483">
        <v>2.19</v>
      </c>
      <c r="D49" s="116" t="s">
        <v>260</v>
      </c>
      <c r="E49" s="117"/>
      <c r="F49" s="118"/>
    </row>
    <row r="50" spans="2:9" s="110" customFormat="1" outlineLevel="1" x14ac:dyDescent="0.2">
      <c r="B50" s="60" t="s">
        <v>3669</v>
      </c>
      <c r="C50" s="483" t="s">
        <v>493</v>
      </c>
      <c r="D50" s="116" t="s">
        <v>260</v>
      </c>
      <c r="E50" s="117"/>
      <c r="F50" s="118"/>
      <c r="G50" s="112"/>
    </row>
    <row r="51" spans="2:9" s="115" customFormat="1" x14ac:dyDescent="0.2">
      <c r="B51" s="60" t="s">
        <v>3670</v>
      </c>
      <c r="C51" s="485" t="s">
        <v>438</v>
      </c>
      <c r="D51" s="113" t="s">
        <v>261</v>
      </c>
      <c r="E51" s="108">
        <f>SUM(E52:E71)</f>
        <v>0</v>
      </c>
      <c r="F51" s="109">
        <f>SUM(F52:F71)</f>
        <v>0</v>
      </c>
      <c r="G51" s="114"/>
      <c r="H51" s="114"/>
      <c r="I51" s="114"/>
    </row>
    <row r="52" spans="2:9" s="110" customFormat="1" outlineLevel="1" x14ac:dyDescent="0.2">
      <c r="B52" s="60" t="s">
        <v>3671</v>
      </c>
      <c r="C52" s="483">
        <v>3.1</v>
      </c>
      <c r="D52" s="116" t="s">
        <v>260</v>
      </c>
      <c r="E52" s="117"/>
      <c r="F52" s="118"/>
    </row>
    <row r="53" spans="2:9" s="110" customFormat="1" outlineLevel="1" x14ac:dyDescent="0.2">
      <c r="B53" s="60" t="s">
        <v>3672</v>
      </c>
      <c r="C53" s="483">
        <v>3.2</v>
      </c>
      <c r="D53" s="116" t="s">
        <v>260</v>
      </c>
      <c r="E53" s="117"/>
      <c r="F53" s="118"/>
    </row>
    <row r="54" spans="2:9" s="110" customFormat="1" outlineLevel="1" x14ac:dyDescent="0.2">
      <c r="B54" s="60" t="s">
        <v>3673</v>
      </c>
      <c r="C54" s="483">
        <v>3.3</v>
      </c>
      <c r="D54" s="116" t="s">
        <v>260</v>
      </c>
      <c r="E54" s="117"/>
      <c r="F54" s="118"/>
    </row>
    <row r="55" spans="2:9" s="110" customFormat="1" outlineLevel="1" x14ac:dyDescent="0.2">
      <c r="B55" s="60" t="s">
        <v>3674</v>
      </c>
      <c r="C55" s="483">
        <v>3.4</v>
      </c>
      <c r="D55" s="116" t="s">
        <v>260</v>
      </c>
      <c r="E55" s="117"/>
      <c r="F55" s="118"/>
    </row>
    <row r="56" spans="2:9" s="110" customFormat="1" outlineLevel="1" x14ac:dyDescent="0.2">
      <c r="B56" s="60" t="s">
        <v>3675</v>
      </c>
      <c r="C56" s="483">
        <v>3.5</v>
      </c>
      <c r="D56" s="116" t="s">
        <v>260</v>
      </c>
      <c r="E56" s="117"/>
      <c r="F56" s="118"/>
    </row>
    <row r="57" spans="2:9" s="110" customFormat="1" outlineLevel="1" x14ac:dyDescent="0.2">
      <c r="B57" s="60" t="s">
        <v>3676</v>
      </c>
      <c r="C57" s="483">
        <v>3.6</v>
      </c>
      <c r="D57" s="116" t="s">
        <v>260</v>
      </c>
      <c r="E57" s="117"/>
      <c r="F57" s="118"/>
    </row>
    <row r="58" spans="2:9" s="110" customFormat="1" outlineLevel="1" x14ac:dyDescent="0.2">
      <c r="B58" s="60" t="s">
        <v>3677</v>
      </c>
      <c r="C58" s="483">
        <v>3.7</v>
      </c>
      <c r="D58" s="116" t="s">
        <v>260</v>
      </c>
      <c r="E58" s="117"/>
      <c r="F58" s="118"/>
    </row>
    <row r="59" spans="2:9" s="110" customFormat="1" outlineLevel="1" x14ac:dyDescent="0.2">
      <c r="B59" s="60" t="s">
        <v>3678</v>
      </c>
      <c r="C59" s="483">
        <v>3.8</v>
      </c>
      <c r="D59" s="116" t="s">
        <v>260</v>
      </c>
      <c r="E59" s="117"/>
      <c r="F59" s="118"/>
    </row>
    <row r="60" spans="2:9" s="110" customFormat="1" outlineLevel="1" x14ac:dyDescent="0.2">
      <c r="B60" s="60" t="s">
        <v>3679</v>
      </c>
      <c r="C60" s="483">
        <v>3.9</v>
      </c>
      <c r="D60" s="116" t="s">
        <v>260</v>
      </c>
      <c r="E60" s="117"/>
      <c r="F60" s="118"/>
    </row>
    <row r="61" spans="2:9" s="110" customFormat="1" outlineLevel="1" x14ac:dyDescent="0.2">
      <c r="B61" s="60" t="s">
        <v>3680</v>
      </c>
      <c r="C61" s="484">
        <v>3.1</v>
      </c>
      <c r="D61" s="116" t="s">
        <v>260</v>
      </c>
      <c r="E61" s="117"/>
      <c r="F61" s="118"/>
    </row>
    <row r="62" spans="2:9" s="110" customFormat="1" outlineLevel="1" x14ac:dyDescent="0.2">
      <c r="B62" s="60" t="s">
        <v>3681</v>
      </c>
      <c r="C62" s="483">
        <v>3.11</v>
      </c>
      <c r="D62" s="116" t="s">
        <v>260</v>
      </c>
      <c r="E62" s="117"/>
      <c r="F62" s="118"/>
    </row>
    <row r="63" spans="2:9" s="110" customFormat="1" outlineLevel="1" x14ac:dyDescent="0.2">
      <c r="B63" s="60" t="s">
        <v>3682</v>
      </c>
      <c r="C63" s="483">
        <v>3.12</v>
      </c>
      <c r="D63" s="116" t="s">
        <v>260</v>
      </c>
      <c r="E63" s="117"/>
      <c r="F63" s="118"/>
    </row>
    <row r="64" spans="2:9" s="110" customFormat="1" outlineLevel="1" x14ac:dyDescent="0.2">
      <c r="B64" s="60" t="s">
        <v>3683</v>
      </c>
      <c r="C64" s="483">
        <v>3.13</v>
      </c>
      <c r="D64" s="116" t="s">
        <v>260</v>
      </c>
      <c r="E64" s="117"/>
      <c r="F64" s="118"/>
    </row>
    <row r="65" spans="2:9" s="110" customFormat="1" outlineLevel="1" x14ac:dyDescent="0.2">
      <c r="B65" s="60" t="s">
        <v>3684</v>
      </c>
      <c r="C65" s="483">
        <v>3.14</v>
      </c>
      <c r="D65" s="116" t="s">
        <v>260</v>
      </c>
      <c r="E65" s="117"/>
      <c r="F65" s="118"/>
    </row>
    <row r="66" spans="2:9" s="110" customFormat="1" outlineLevel="1" x14ac:dyDescent="0.2">
      <c r="B66" s="60" t="s">
        <v>3685</v>
      </c>
      <c r="C66" s="483">
        <v>3.15</v>
      </c>
      <c r="D66" s="116" t="s">
        <v>260</v>
      </c>
      <c r="E66" s="117"/>
      <c r="F66" s="118"/>
    </row>
    <row r="67" spans="2:9" s="110" customFormat="1" outlineLevel="1" x14ac:dyDescent="0.2">
      <c r="B67" s="60" t="s">
        <v>3686</v>
      </c>
      <c r="C67" s="483">
        <v>3.16</v>
      </c>
      <c r="D67" s="116" t="s">
        <v>260</v>
      </c>
      <c r="E67" s="117"/>
      <c r="F67" s="118"/>
    </row>
    <row r="68" spans="2:9" s="110" customFormat="1" outlineLevel="1" x14ac:dyDescent="0.2">
      <c r="B68" s="60" t="s">
        <v>3687</v>
      </c>
      <c r="C68" s="483">
        <v>3.17</v>
      </c>
      <c r="D68" s="116" t="s">
        <v>260</v>
      </c>
      <c r="E68" s="117"/>
      <c r="F68" s="118"/>
    </row>
    <row r="69" spans="2:9" s="110" customFormat="1" outlineLevel="1" x14ac:dyDescent="0.2">
      <c r="B69" s="60" t="s">
        <v>3688</v>
      </c>
      <c r="C69" s="483">
        <v>3.18</v>
      </c>
      <c r="D69" s="116" t="s">
        <v>260</v>
      </c>
      <c r="E69" s="117"/>
      <c r="F69" s="118"/>
    </row>
    <row r="70" spans="2:9" s="110" customFormat="1" outlineLevel="1" x14ac:dyDescent="0.2">
      <c r="B70" s="60" t="s">
        <v>3689</v>
      </c>
      <c r="C70" s="483">
        <v>3.19</v>
      </c>
      <c r="D70" s="116" t="s">
        <v>260</v>
      </c>
      <c r="E70" s="117"/>
      <c r="F70" s="118"/>
    </row>
    <row r="71" spans="2:9" s="110" customFormat="1" outlineLevel="1" x14ac:dyDescent="0.2">
      <c r="B71" s="60" t="s">
        <v>3690</v>
      </c>
      <c r="C71" s="483" t="s">
        <v>510</v>
      </c>
      <c r="D71" s="116" t="s">
        <v>260</v>
      </c>
      <c r="E71" s="117"/>
      <c r="F71" s="118"/>
      <c r="G71" s="112"/>
    </row>
    <row r="72" spans="2:9" s="115" customFormat="1" x14ac:dyDescent="0.2">
      <c r="B72" s="60" t="s">
        <v>3691</v>
      </c>
      <c r="C72" s="485" t="s">
        <v>426</v>
      </c>
      <c r="D72" s="113" t="s">
        <v>262</v>
      </c>
      <c r="E72" s="108">
        <f>SUM(E73:E92)</f>
        <v>0</v>
      </c>
      <c r="F72" s="109">
        <f>SUM(F73:F92)</f>
        <v>0</v>
      </c>
      <c r="G72" s="114"/>
      <c r="H72" s="114"/>
      <c r="I72" s="114"/>
    </row>
    <row r="73" spans="2:9" s="110" customFormat="1" outlineLevel="1" x14ac:dyDescent="0.2">
      <c r="B73" s="60" t="s">
        <v>3692</v>
      </c>
      <c r="C73" s="483">
        <v>4.0999999999999996</v>
      </c>
      <c r="D73" s="111" t="s">
        <v>263</v>
      </c>
      <c r="E73" s="117"/>
      <c r="F73" s="118"/>
    </row>
    <row r="74" spans="2:9" s="110" customFormat="1" outlineLevel="1" x14ac:dyDescent="0.2">
      <c r="B74" s="60" t="s">
        <v>3693</v>
      </c>
      <c r="C74" s="483">
        <v>4.2</v>
      </c>
      <c r="D74" s="111" t="s">
        <v>263</v>
      </c>
      <c r="E74" s="117"/>
      <c r="F74" s="118"/>
    </row>
    <row r="75" spans="2:9" s="110" customFormat="1" outlineLevel="1" x14ac:dyDescent="0.2">
      <c r="B75" s="60" t="s">
        <v>3694</v>
      </c>
      <c r="C75" s="483">
        <v>4.3</v>
      </c>
      <c r="D75" s="111" t="s">
        <v>263</v>
      </c>
      <c r="E75" s="117"/>
      <c r="F75" s="118"/>
    </row>
    <row r="76" spans="2:9" s="110" customFormat="1" outlineLevel="1" x14ac:dyDescent="0.2">
      <c r="B76" s="60" t="s">
        <v>3695</v>
      </c>
      <c r="C76" s="483">
        <v>4.4000000000000004</v>
      </c>
      <c r="D76" s="111" t="s">
        <v>263</v>
      </c>
      <c r="E76" s="117"/>
      <c r="F76" s="118"/>
    </row>
    <row r="77" spans="2:9" s="110" customFormat="1" outlineLevel="1" x14ac:dyDescent="0.2">
      <c r="B77" s="60" t="s">
        <v>3696</v>
      </c>
      <c r="C77" s="483">
        <v>4.5</v>
      </c>
      <c r="D77" s="111" t="s">
        <v>263</v>
      </c>
      <c r="E77" s="117"/>
      <c r="F77" s="118"/>
    </row>
    <row r="78" spans="2:9" s="110" customFormat="1" outlineLevel="1" x14ac:dyDescent="0.2">
      <c r="B78" s="60" t="s">
        <v>3697</v>
      </c>
      <c r="C78" s="483">
        <v>4.5999999999999996</v>
      </c>
      <c r="D78" s="111" t="s">
        <v>263</v>
      </c>
      <c r="E78" s="117"/>
      <c r="F78" s="118"/>
    </row>
    <row r="79" spans="2:9" s="110" customFormat="1" outlineLevel="1" x14ac:dyDescent="0.2">
      <c r="B79" s="60" t="s">
        <v>3698</v>
      </c>
      <c r="C79" s="483">
        <v>4.7</v>
      </c>
      <c r="D79" s="111" t="s">
        <v>263</v>
      </c>
      <c r="E79" s="117"/>
      <c r="F79" s="118"/>
    </row>
    <row r="80" spans="2:9" s="110" customFormat="1" outlineLevel="1" x14ac:dyDescent="0.2">
      <c r="B80" s="60" t="s">
        <v>3699</v>
      </c>
      <c r="C80" s="483">
        <v>4.8</v>
      </c>
      <c r="D80" s="111" t="s">
        <v>263</v>
      </c>
      <c r="E80" s="117"/>
      <c r="F80" s="118"/>
    </row>
    <row r="81" spans="2:7" s="110" customFormat="1" outlineLevel="1" x14ac:dyDescent="0.2">
      <c r="B81" s="60" t="s">
        <v>3700</v>
      </c>
      <c r="C81" s="483">
        <v>4.9000000000000004</v>
      </c>
      <c r="D81" s="111" t="s">
        <v>263</v>
      </c>
      <c r="E81" s="117"/>
      <c r="F81" s="118"/>
    </row>
    <row r="82" spans="2:7" s="110" customFormat="1" outlineLevel="1" x14ac:dyDescent="0.2">
      <c r="B82" s="60" t="s">
        <v>3701</v>
      </c>
      <c r="C82" s="484">
        <v>4.0999999999999996</v>
      </c>
      <c r="D82" s="111" t="s">
        <v>263</v>
      </c>
      <c r="E82" s="117"/>
      <c r="F82" s="118"/>
    </row>
    <row r="83" spans="2:7" s="110" customFormat="1" outlineLevel="1" x14ac:dyDescent="0.2">
      <c r="B83" s="60" t="s">
        <v>3702</v>
      </c>
      <c r="C83" s="483">
        <v>4.1100000000000003</v>
      </c>
      <c r="D83" s="111" t="s">
        <v>263</v>
      </c>
      <c r="E83" s="117"/>
      <c r="F83" s="118"/>
    </row>
    <row r="84" spans="2:7" s="110" customFormat="1" outlineLevel="1" x14ac:dyDescent="0.2">
      <c r="B84" s="60" t="s">
        <v>3703</v>
      </c>
      <c r="C84" s="483">
        <v>4.12</v>
      </c>
      <c r="D84" s="111" t="s">
        <v>263</v>
      </c>
      <c r="E84" s="117"/>
      <c r="F84" s="118"/>
    </row>
    <row r="85" spans="2:7" s="110" customFormat="1" outlineLevel="1" x14ac:dyDescent="0.2">
      <c r="B85" s="60" t="s">
        <v>3704</v>
      </c>
      <c r="C85" s="483">
        <v>4.13</v>
      </c>
      <c r="D85" s="111" t="s">
        <v>263</v>
      </c>
      <c r="E85" s="117"/>
      <c r="F85" s="118"/>
    </row>
    <row r="86" spans="2:7" s="110" customFormat="1" outlineLevel="1" x14ac:dyDescent="0.2">
      <c r="B86" s="60" t="s">
        <v>3705</v>
      </c>
      <c r="C86" s="483">
        <v>4.1399999999999997</v>
      </c>
      <c r="D86" s="111" t="s">
        <v>263</v>
      </c>
      <c r="E86" s="117"/>
      <c r="F86" s="118"/>
    </row>
    <row r="87" spans="2:7" s="110" customFormat="1" outlineLevel="1" x14ac:dyDescent="0.2">
      <c r="B87" s="60" t="s">
        <v>3706</v>
      </c>
      <c r="C87" s="483">
        <v>4.1500000000000004</v>
      </c>
      <c r="D87" s="111" t="s">
        <v>263</v>
      </c>
      <c r="E87" s="117"/>
      <c r="F87" s="118"/>
    </row>
    <row r="88" spans="2:7" s="110" customFormat="1" outlineLevel="1" x14ac:dyDescent="0.2">
      <c r="B88" s="60" t="s">
        <v>3707</v>
      </c>
      <c r="C88" s="483">
        <v>4.16</v>
      </c>
      <c r="D88" s="111" t="s">
        <v>263</v>
      </c>
      <c r="E88" s="117"/>
      <c r="F88" s="118"/>
    </row>
    <row r="89" spans="2:7" s="110" customFormat="1" outlineLevel="1" x14ac:dyDescent="0.2">
      <c r="B89" s="60" t="s">
        <v>3708</v>
      </c>
      <c r="C89" s="483">
        <v>4.17</v>
      </c>
      <c r="D89" s="111" t="s">
        <v>263</v>
      </c>
      <c r="E89" s="117"/>
      <c r="F89" s="118"/>
    </row>
    <row r="90" spans="2:7" s="110" customFormat="1" outlineLevel="1" x14ac:dyDescent="0.2">
      <c r="B90" s="60" t="s">
        <v>3709</v>
      </c>
      <c r="C90" s="483">
        <v>4.18</v>
      </c>
      <c r="D90" s="111" t="s">
        <v>263</v>
      </c>
      <c r="E90" s="117"/>
      <c r="F90" s="118"/>
    </row>
    <row r="91" spans="2:7" s="110" customFormat="1" outlineLevel="1" x14ac:dyDescent="0.2">
      <c r="B91" s="60" t="s">
        <v>3710</v>
      </c>
      <c r="C91" s="483">
        <v>4.1900000000000004</v>
      </c>
      <c r="D91" s="111" t="s">
        <v>263</v>
      </c>
      <c r="E91" s="117"/>
      <c r="F91" s="118"/>
    </row>
    <row r="92" spans="2:7" s="110" customFormat="1" outlineLevel="1" x14ac:dyDescent="0.2">
      <c r="B92" s="60" t="s">
        <v>3711</v>
      </c>
      <c r="C92" s="483" t="s">
        <v>527</v>
      </c>
      <c r="D92" s="111" t="s">
        <v>263</v>
      </c>
      <c r="E92" s="117"/>
      <c r="F92" s="118"/>
      <c r="G92" s="112"/>
    </row>
    <row r="93" spans="2:7" s="104" customFormat="1" ht="15.75" thickBot="1" x14ac:dyDescent="0.25">
      <c r="B93" s="486" t="s">
        <v>3712</v>
      </c>
      <c r="C93" s="808" t="s">
        <v>256</v>
      </c>
      <c r="D93" s="809"/>
      <c r="E93" s="249">
        <f>E9+E30+E51+E72</f>
        <v>0</v>
      </c>
      <c r="F93" s="250">
        <f>F9+F30+F51+F72</f>
        <v>0</v>
      </c>
      <c r="G93" s="119"/>
    </row>
    <row r="94" spans="2:7" s="96" customFormat="1" ht="9" customHeight="1" x14ac:dyDescent="0.3">
      <c r="C94" s="120"/>
      <c r="D94" s="120"/>
      <c r="E94" s="121"/>
      <c r="F94" s="121"/>
    </row>
    <row r="95" spans="2:7" s="96" customFormat="1" ht="15.75" thickBot="1" x14ac:dyDescent="0.35">
      <c r="C95" s="807" t="s">
        <v>253</v>
      </c>
      <c r="D95" s="807"/>
      <c r="E95" s="807"/>
      <c r="F95" s="807"/>
    </row>
    <row r="96" spans="2:7" s="119" customFormat="1" ht="15" customHeight="1" x14ac:dyDescent="0.2">
      <c r="B96" s="418" t="s">
        <v>3713</v>
      </c>
      <c r="C96" s="487">
        <v>1</v>
      </c>
      <c r="D96" s="478" t="s">
        <v>255</v>
      </c>
      <c r="E96" s="479">
        <f>E97+E118</f>
        <v>0</v>
      </c>
      <c r="F96" s="480">
        <f>F97+F118</f>
        <v>0</v>
      </c>
    </row>
    <row r="97" spans="2:9" s="104" customFormat="1" x14ac:dyDescent="0.2">
      <c r="B97" s="60" t="s">
        <v>3714</v>
      </c>
      <c r="C97" s="488">
        <v>1.1000000000000001</v>
      </c>
      <c r="D97" s="125" t="s">
        <v>250</v>
      </c>
      <c r="E97" s="126">
        <f>SUM(E98:E117)</f>
        <v>0</v>
      </c>
      <c r="F97" s="127">
        <f>SUM(F98:F117)</f>
        <v>0</v>
      </c>
      <c r="G97" s="119"/>
      <c r="H97" s="119"/>
      <c r="I97" s="119"/>
    </row>
    <row r="98" spans="2:9" s="110" customFormat="1" outlineLevel="1" x14ac:dyDescent="0.2">
      <c r="B98" s="60" t="s">
        <v>3715</v>
      </c>
      <c r="C98" s="483" t="s">
        <v>446</v>
      </c>
      <c r="D98" s="111" t="s">
        <v>258</v>
      </c>
      <c r="E98" s="117"/>
      <c r="F98" s="118"/>
    </row>
    <row r="99" spans="2:9" s="110" customFormat="1" outlineLevel="1" x14ac:dyDescent="0.2">
      <c r="B99" s="60" t="s">
        <v>3716</v>
      </c>
      <c r="C99" s="483" t="s">
        <v>447</v>
      </c>
      <c r="D99" s="111" t="s">
        <v>258</v>
      </c>
      <c r="E99" s="117"/>
      <c r="F99" s="118"/>
    </row>
    <row r="100" spans="2:9" s="110" customFormat="1" outlineLevel="1" x14ac:dyDescent="0.2">
      <c r="B100" s="60" t="s">
        <v>3717</v>
      </c>
      <c r="C100" s="483" t="s">
        <v>456</v>
      </c>
      <c r="D100" s="111" t="s">
        <v>258</v>
      </c>
      <c r="E100" s="117"/>
      <c r="F100" s="118"/>
    </row>
    <row r="101" spans="2:9" s="110" customFormat="1" outlineLevel="1" x14ac:dyDescent="0.2">
      <c r="B101" s="60" t="s">
        <v>3718</v>
      </c>
      <c r="C101" s="483" t="s">
        <v>528</v>
      </c>
      <c r="D101" s="111" t="s">
        <v>258</v>
      </c>
      <c r="E101" s="117"/>
      <c r="F101" s="118"/>
    </row>
    <row r="102" spans="2:9" s="110" customFormat="1" outlineLevel="1" x14ac:dyDescent="0.2">
      <c r="B102" s="60" t="s">
        <v>3719</v>
      </c>
      <c r="C102" s="483" t="s">
        <v>529</v>
      </c>
      <c r="D102" s="111" t="s">
        <v>258</v>
      </c>
      <c r="E102" s="117"/>
      <c r="F102" s="118"/>
    </row>
    <row r="103" spans="2:9" s="110" customFormat="1" outlineLevel="1" x14ac:dyDescent="0.2">
      <c r="B103" s="60" t="s">
        <v>3720</v>
      </c>
      <c r="C103" s="483" t="s">
        <v>530</v>
      </c>
      <c r="D103" s="111" t="s">
        <v>258</v>
      </c>
      <c r="E103" s="117"/>
      <c r="F103" s="118"/>
    </row>
    <row r="104" spans="2:9" s="110" customFormat="1" outlineLevel="1" x14ac:dyDescent="0.2">
      <c r="B104" s="60" t="s">
        <v>3721</v>
      </c>
      <c r="C104" s="483" t="s">
        <v>531</v>
      </c>
      <c r="D104" s="111" t="s">
        <v>258</v>
      </c>
      <c r="E104" s="117"/>
      <c r="F104" s="118"/>
    </row>
    <row r="105" spans="2:9" s="110" customFormat="1" outlineLevel="1" x14ac:dyDescent="0.2">
      <c r="B105" s="60" t="s">
        <v>3722</v>
      </c>
      <c r="C105" s="483" t="s">
        <v>532</v>
      </c>
      <c r="D105" s="111" t="s">
        <v>258</v>
      </c>
      <c r="E105" s="117"/>
      <c r="F105" s="118"/>
    </row>
    <row r="106" spans="2:9" s="110" customFormat="1" outlineLevel="1" x14ac:dyDescent="0.2">
      <c r="B106" s="60" t="s">
        <v>3723</v>
      </c>
      <c r="C106" s="483" t="s">
        <v>533</v>
      </c>
      <c r="D106" s="111" t="s">
        <v>258</v>
      </c>
      <c r="E106" s="117"/>
      <c r="F106" s="118"/>
    </row>
    <row r="107" spans="2:9" s="110" customFormat="1" outlineLevel="1" x14ac:dyDescent="0.2">
      <c r="B107" s="60" t="s">
        <v>3724</v>
      </c>
      <c r="C107" s="483" t="s">
        <v>534</v>
      </c>
      <c r="D107" s="111" t="s">
        <v>258</v>
      </c>
      <c r="E107" s="117"/>
      <c r="F107" s="118"/>
    </row>
    <row r="108" spans="2:9" s="110" customFormat="1" outlineLevel="1" x14ac:dyDescent="0.2">
      <c r="B108" s="60" t="s">
        <v>3725</v>
      </c>
      <c r="C108" s="483" t="s">
        <v>535</v>
      </c>
      <c r="D108" s="111" t="s">
        <v>258</v>
      </c>
      <c r="E108" s="117"/>
      <c r="F108" s="118"/>
    </row>
    <row r="109" spans="2:9" s="110" customFormat="1" outlineLevel="1" x14ac:dyDescent="0.2">
      <c r="B109" s="60" t="s">
        <v>3726</v>
      </c>
      <c r="C109" s="483" t="s">
        <v>536</v>
      </c>
      <c r="D109" s="111" t="s">
        <v>258</v>
      </c>
      <c r="E109" s="117"/>
      <c r="F109" s="118"/>
    </row>
    <row r="110" spans="2:9" s="110" customFormat="1" outlineLevel="1" x14ac:dyDescent="0.2">
      <c r="B110" s="60" t="s">
        <v>3727</v>
      </c>
      <c r="C110" s="483" t="s">
        <v>537</v>
      </c>
      <c r="D110" s="111" t="s">
        <v>258</v>
      </c>
      <c r="E110" s="117"/>
      <c r="F110" s="118"/>
    </row>
    <row r="111" spans="2:9" s="110" customFormat="1" outlineLevel="1" x14ac:dyDescent="0.2">
      <c r="B111" s="60" t="s">
        <v>3728</v>
      </c>
      <c r="C111" s="483" t="s">
        <v>538</v>
      </c>
      <c r="D111" s="111" t="s">
        <v>258</v>
      </c>
      <c r="E111" s="117"/>
      <c r="F111" s="118"/>
    </row>
    <row r="112" spans="2:9" s="110" customFormat="1" outlineLevel="1" x14ac:dyDescent="0.2">
      <c r="B112" s="60" t="s">
        <v>3729</v>
      </c>
      <c r="C112" s="483" t="s">
        <v>539</v>
      </c>
      <c r="D112" s="111" t="s">
        <v>258</v>
      </c>
      <c r="E112" s="117"/>
      <c r="F112" s="118"/>
    </row>
    <row r="113" spans="2:9" s="110" customFormat="1" outlineLevel="1" x14ac:dyDescent="0.2">
      <c r="B113" s="60" t="s">
        <v>3730</v>
      </c>
      <c r="C113" s="483" t="s">
        <v>540</v>
      </c>
      <c r="D113" s="111" t="s">
        <v>258</v>
      </c>
      <c r="E113" s="117"/>
      <c r="F113" s="118"/>
    </row>
    <row r="114" spans="2:9" s="110" customFormat="1" outlineLevel="1" x14ac:dyDescent="0.2">
      <c r="B114" s="60" t="s">
        <v>3731</v>
      </c>
      <c r="C114" s="483" t="s">
        <v>541</v>
      </c>
      <c r="D114" s="111" t="s">
        <v>258</v>
      </c>
      <c r="E114" s="117"/>
      <c r="F114" s="118"/>
    </row>
    <row r="115" spans="2:9" s="110" customFormat="1" outlineLevel="1" x14ac:dyDescent="0.2">
      <c r="B115" s="60" t="s">
        <v>3732</v>
      </c>
      <c r="C115" s="483" t="s">
        <v>542</v>
      </c>
      <c r="D115" s="111" t="s">
        <v>258</v>
      </c>
      <c r="E115" s="117"/>
      <c r="F115" s="118"/>
    </row>
    <row r="116" spans="2:9" s="110" customFormat="1" outlineLevel="1" x14ac:dyDescent="0.2">
      <c r="B116" s="60" t="s">
        <v>3733</v>
      </c>
      <c r="C116" s="483" t="s">
        <v>543</v>
      </c>
      <c r="D116" s="111" t="s">
        <v>258</v>
      </c>
      <c r="E116" s="117"/>
      <c r="F116" s="118"/>
    </row>
    <row r="117" spans="2:9" s="110" customFormat="1" outlineLevel="1" x14ac:dyDescent="0.2">
      <c r="B117" s="60" t="s">
        <v>3734</v>
      </c>
      <c r="C117" s="483" t="s">
        <v>544</v>
      </c>
      <c r="D117" s="111" t="s">
        <v>258</v>
      </c>
      <c r="E117" s="117"/>
      <c r="F117" s="118"/>
    </row>
    <row r="118" spans="2:9" s="104" customFormat="1" x14ac:dyDescent="0.2">
      <c r="B118" s="60" t="s">
        <v>3735</v>
      </c>
      <c r="C118" s="488">
        <v>1.2</v>
      </c>
      <c r="D118" s="125" t="s">
        <v>254</v>
      </c>
      <c r="E118" s="126">
        <f>SUM(E119:E138)</f>
        <v>0</v>
      </c>
      <c r="F118" s="127">
        <f>SUM(F119:F138)</f>
        <v>0</v>
      </c>
      <c r="G118" s="119"/>
      <c r="H118" s="119"/>
      <c r="I118" s="119"/>
    </row>
    <row r="119" spans="2:9" s="110" customFormat="1" ht="15" customHeight="1" outlineLevel="1" x14ac:dyDescent="0.2">
      <c r="B119" s="60" t="s">
        <v>3736</v>
      </c>
      <c r="C119" s="483" t="s">
        <v>452</v>
      </c>
      <c r="D119" s="111" t="s">
        <v>258</v>
      </c>
      <c r="E119" s="117"/>
      <c r="F119" s="118"/>
    </row>
    <row r="120" spans="2:9" s="110" customFormat="1" ht="15" customHeight="1" outlineLevel="1" x14ac:dyDescent="0.2">
      <c r="B120" s="60" t="s">
        <v>3737</v>
      </c>
      <c r="C120" s="483" t="s">
        <v>453</v>
      </c>
      <c r="D120" s="111" t="s">
        <v>258</v>
      </c>
      <c r="E120" s="117"/>
      <c r="F120" s="118"/>
    </row>
    <row r="121" spans="2:9" s="110" customFormat="1" ht="15" customHeight="1" outlineLevel="1" x14ac:dyDescent="0.2">
      <c r="B121" s="60" t="s">
        <v>3738</v>
      </c>
      <c r="C121" s="483" t="s">
        <v>457</v>
      </c>
      <c r="D121" s="111" t="s">
        <v>258</v>
      </c>
      <c r="E121" s="117"/>
      <c r="F121" s="118"/>
    </row>
    <row r="122" spans="2:9" s="110" customFormat="1" ht="15" customHeight="1" outlineLevel="1" x14ac:dyDescent="0.2">
      <c r="B122" s="60" t="s">
        <v>3739</v>
      </c>
      <c r="C122" s="483" t="s">
        <v>545</v>
      </c>
      <c r="D122" s="111" t="s">
        <v>258</v>
      </c>
      <c r="E122" s="117"/>
      <c r="F122" s="118"/>
    </row>
    <row r="123" spans="2:9" s="110" customFormat="1" ht="15" customHeight="1" outlineLevel="1" x14ac:dyDescent="0.2">
      <c r="B123" s="60" t="s">
        <v>3740</v>
      </c>
      <c r="C123" s="483" t="s">
        <v>546</v>
      </c>
      <c r="D123" s="111" t="s">
        <v>258</v>
      </c>
      <c r="E123" s="117"/>
      <c r="F123" s="118"/>
    </row>
    <row r="124" spans="2:9" s="110" customFormat="1" ht="15" customHeight="1" outlineLevel="1" x14ac:dyDescent="0.2">
      <c r="B124" s="60" t="s">
        <v>3741</v>
      </c>
      <c r="C124" s="483" t="s">
        <v>547</v>
      </c>
      <c r="D124" s="111" t="s">
        <v>258</v>
      </c>
      <c r="E124" s="117"/>
      <c r="F124" s="118"/>
    </row>
    <row r="125" spans="2:9" s="110" customFormat="1" ht="15" customHeight="1" outlineLevel="1" x14ac:dyDescent="0.2">
      <c r="B125" s="60" t="s">
        <v>3742</v>
      </c>
      <c r="C125" s="483" t="s">
        <v>548</v>
      </c>
      <c r="D125" s="111" t="s">
        <v>258</v>
      </c>
      <c r="E125" s="117"/>
      <c r="F125" s="118"/>
    </row>
    <row r="126" spans="2:9" s="110" customFormat="1" ht="15" customHeight="1" outlineLevel="1" x14ac:dyDescent="0.2">
      <c r="B126" s="60" t="s">
        <v>3743</v>
      </c>
      <c r="C126" s="483" t="s">
        <v>549</v>
      </c>
      <c r="D126" s="111" t="s">
        <v>258</v>
      </c>
      <c r="E126" s="117"/>
      <c r="F126" s="118"/>
    </row>
    <row r="127" spans="2:9" s="110" customFormat="1" ht="15" customHeight="1" outlineLevel="1" x14ac:dyDescent="0.2">
      <c r="B127" s="60" t="s">
        <v>3744</v>
      </c>
      <c r="C127" s="483" t="s">
        <v>550</v>
      </c>
      <c r="D127" s="111" t="s">
        <v>258</v>
      </c>
      <c r="E127" s="117"/>
      <c r="F127" s="118"/>
    </row>
    <row r="128" spans="2:9" s="110" customFormat="1" ht="15" customHeight="1" outlineLevel="1" x14ac:dyDescent="0.2">
      <c r="B128" s="60" t="s">
        <v>3745</v>
      </c>
      <c r="C128" s="483" t="s">
        <v>551</v>
      </c>
      <c r="D128" s="111" t="s">
        <v>258</v>
      </c>
      <c r="E128" s="117"/>
      <c r="F128" s="118"/>
    </row>
    <row r="129" spans="2:9" s="110" customFormat="1" ht="15" customHeight="1" outlineLevel="1" x14ac:dyDescent="0.2">
      <c r="B129" s="60" t="s">
        <v>3746</v>
      </c>
      <c r="C129" s="483" t="s">
        <v>552</v>
      </c>
      <c r="D129" s="111" t="s">
        <v>258</v>
      </c>
      <c r="E129" s="117"/>
      <c r="F129" s="118"/>
    </row>
    <row r="130" spans="2:9" s="110" customFormat="1" ht="15" customHeight="1" outlineLevel="1" x14ac:dyDescent="0.2">
      <c r="B130" s="60" t="s">
        <v>3747</v>
      </c>
      <c r="C130" s="483" t="s">
        <v>553</v>
      </c>
      <c r="D130" s="111" t="s">
        <v>258</v>
      </c>
      <c r="E130" s="117"/>
      <c r="F130" s="118"/>
    </row>
    <row r="131" spans="2:9" s="110" customFormat="1" ht="15" customHeight="1" outlineLevel="1" x14ac:dyDescent="0.2">
      <c r="B131" s="60" t="s">
        <v>3748</v>
      </c>
      <c r="C131" s="483" t="s">
        <v>554</v>
      </c>
      <c r="D131" s="111" t="s">
        <v>258</v>
      </c>
      <c r="E131" s="117"/>
      <c r="F131" s="118"/>
    </row>
    <row r="132" spans="2:9" s="110" customFormat="1" ht="15" customHeight="1" outlineLevel="1" x14ac:dyDescent="0.2">
      <c r="B132" s="60" t="s">
        <v>3749</v>
      </c>
      <c r="C132" s="483" t="s">
        <v>555</v>
      </c>
      <c r="D132" s="111" t="s">
        <v>258</v>
      </c>
      <c r="E132" s="117"/>
      <c r="F132" s="118"/>
    </row>
    <row r="133" spans="2:9" s="110" customFormat="1" ht="15" customHeight="1" outlineLevel="1" x14ac:dyDescent="0.2">
      <c r="B133" s="60" t="s">
        <v>3750</v>
      </c>
      <c r="C133" s="483" t="s">
        <v>556</v>
      </c>
      <c r="D133" s="111" t="s">
        <v>258</v>
      </c>
      <c r="E133" s="117"/>
      <c r="F133" s="118"/>
    </row>
    <row r="134" spans="2:9" s="110" customFormat="1" ht="15" customHeight="1" outlineLevel="1" x14ac:dyDescent="0.2">
      <c r="B134" s="60" t="s">
        <v>3751</v>
      </c>
      <c r="C134" s="483" t="s">
        <v>557</v>
      </c>
      <c r="D134" s="111" t="s">
        <v>258</v>
      </c>
      <c r="E134" s="117"/>
      <c r="F134" s="118"/>
    </row>
    <row r="135" spans="2:9" s="110" customFormat="1" ht="15" customHeight="1" outlineLevel="1" x14ac:dyDescent="0.2">
      <c r="B135" s="60" t="s">
        <v>3752</v>
      </c>
      <c r="C135" s="483" t="s">
        <v>558</v>
      </c>
      <c r="D135" s="111" t="s">
        <v>258</v>
      </c>
      <c r="E135" s="117"/>
      <c r="F135" s="118"/>
    </row>
    <row r="136" spans="2:9" s="110" customFormat="1" ht="15" customHeight="1" outlineLevel="1" x14ac:dyDescent="0.2">
      <c r="B136" s="60" t="s">
        <v>3753</v>
      </c>
      <c r="C136" s="483" t="s">
        <v>559</v>
      </c>
      <c r="D136" s="111" t="s">
        <v>258</v>
      </c>
      <c r="E136" s="117"/>
      <c r="F136" s="118"/>
    </row>
    <row r="137" spans="2:9" s="110" customFormat="1" ht="15" customHeight="1" outlineLevel="1" x14ac:dyDescent="0.2">
      <c r="B137" s="60" t="s">
        <v>3754</v>
      </c>
      <c r="C137" s="483" t="s">
        <v>560</v>
      </c>
      <c r="D137" s="111" t="s">
        <v>258</v>
      </c>
      <c r="E137" s="117"/>
      <c r="F137" s="118"/>
    </row>
    <row r="138" spans="2:9" s="110" customFormat="1" ht="15" customHeight="1" outlineLevel="1" x14ac:dyDescent="0.2">
      <c r="B138" s="60" t="s">
        <v>3755</v>
      </c>
      <c r="C138" s="483" t="s">
        <v>561</v>
      </c>
      <c r="D138" s="111" t="s">
        <v>258</v>
      </c>
      <c r="E138" s="117"/>
      <c r="F138" s="118"/>
    </row>
    <row r="139" spans="2:9" s="305" customFormat="1" x14ac:dyDescent="0.2">
      <c r="B139" s="60" t="s">
        <v>3756</v>
      </c>
      <c r="C139" s="489">
        <v>2</v>
      </c>
      <c r="D139" s="122" t="s">
        <v>259</v>
      </c>
      <c r="E139" s="123">
        <f>E140+E161+E182+E203+E224+E245</f>
        <v>0</v>
      </c>
      <c r="F139" s="124">
        <f>F140+F161+F182+F203+F224+F245</f>
        <v>0</v>
      </c>
    </row>
    <row r="140" spans="2:9" s="104" customFormat="1" x14ac:dyDescent="0.2">
      <c r="B140" s="60" t="s">
        <v>3757</v>
      </c>
      <c r="C140" s="488">
        <v>2.1</v>
      </c>
      <c r="D140" s="125" t="s">
        <v>250</v>
      </c>
      <c r="E140" s="126">
        <f>SUM(E141:E160)</f>
        <v>0</v>
      </c>
      <c r="F140" s="127">
        <f>SUM(F141:F160)</f>
        <v>0</v>
      </c>
      <c r="G140" s="119"/>
      <c r="H140" s="119"/>
      <c r="I140" s="119"/>
    </row>
    <row r="141" spans="2:9" s="110" customFormat="1" outlineLevel="1" x14ac:dyDescent="0.2">
      <c r="B141" s="60" t="s">
        <v>3758</v>
      </c>
      <c r="C141" s="490" t="s">
        <v>448</v>
      </c>
      <c r="D141" s="116" t="s">
        <v>260</v>
      </c>
      <c r="E141" s="117"/>
      <c r="F141" s="118"/>
    </row>
    <row r="142" spans="2:9" s="110" customFormat="1" outlineLevel="1" x14ac:dyDescent="0.2">
      <c r="B142" s="60" t="s">
        <v>3759</v>
      </c>
      <c r="C142" s="490" t="s">
        <v>449</v>
      </c>
      <c r="D142" s="116" t="s">
        <v>260</v>
      </c>
      <c r="E142" s="117"/>
      <c r="F142" s="118"/>
    </row>
    <row r="143" spans="2:9" s="110" customFormat="1" outlineLevel="1" x14ac:dyDescent="0.2">
      <c r="B143" s="60" t="s">
        <v>3760</v>
      </c>
      <c r="C143" s="490" t="s">
        <v>562</v>
      </c>
      <c r="D143" s="116" t="s">
        <v>260</v>
      </c>
      <c r="E143" s="117"/>
      <c r="F143" s="118"/>
    </row>
    <row r="144" spans="2:9" s="110" customFormat="1" outlineLevel="1" x14ac:dyDescent="0.2">
      <c r="B144" s="60" t="s">
        <v>3761</v>
      </c>
      <c r="C144" s="490" t="s">
        <v>563</v>
      </c>
      <c r="D144" s="116" t="s">
        <v>260</v>
      </c>
      <c r="E144" s="117"/>
      <c r="F144" s="118"/>
    </row>
    <row r="145" spans="2:6" s="110" customFormat="1" outlineLevel="1" x14ac:dyDescent="0.2">
      <c r="B145" s="60" t="s">
        <v>3762</v>
      </c>
      <c r="C145" s="490" t="s">
        <v>564</v>
      </c>
      <c r="D145" s="116" t="s">
        <v>260</v>
      </c>
      <c r="E145" s="117"/>
      <c r="F145" s="118"/>
    </row>
    <row r="146" spans="2:6" s="110" customFormat="1" outlineLevel="1" x14ac:dyDescent="0.2">
      <c r="B146" s="60" t="s">
        <v>3763</v>
      </c>
      <c r="C146" s="490" t="s">
        <v>565</v>
      </c>
      <c r="D146" s="116" t="s">
        <v>260</v>
      </c>
      <c r="E146" s="117"/>
      <c r="F146" s="118"/>
    </row>
    <row r="147" spans="2:6" s="110" customFormat="1" outlineLevel="1" x14ac:dyDescent="0.2">
      <c r="B147" s="60" t="s">
        <v>3764</v>
      </c>
      <c r="C147" s="490" t="s">
        <v>566</v>
      </c>
      <c r="D147" s="116" t="s">
        <v>260</v>
      </c>
      <c r="E147" s="117"/>
      <c r="F147" s="118"/>
    </row>
    <row r="148" spans="2:6" s="110" customFormat="1" outlineLevel="1" x14ac:dyDescent="0.2">
      <c r="B148" s="60" t="s">
        <v>3765</v>
      </c>
      <c r="C148" s="490" t="s">
        <v>567</v>
      </c>
      <c r="D148" s="116" t="s">
        <v>260</v>
      </c>
      <c r="E148" s="117"/>
      <c r="F148" s="118"/>
    </row>
    <row r="149" spans="2:6" s="110" customFormat="1" outlineLevel="1" x14ac:dyDescent="0.2">
      <c r="B149" s="60" t="s">
        <v>3766</v>
      </c>
      <c r="C149" s="490" t="s">
        <v>568</v>
      </c>
      <c r="D149" s="116" t="s">
        <v>260</v>
      </c>
      <c r="E149" s="117"/>
      <c r="F149" s="118"/>
    </row>
    <row r="150" spans="2:6" s="110" customFormat="1" outlineLevel="1" x14ac:dyDescent="0.2">
      <c r="B150" s="60" t="s">
        <v>3767</v>
      </c>
      <c r="C150" s="490" t="s">
        <v>569</v>
      </c>
      <c r="D150" s="116" t="s">
        <v>260</v>
      </c>
      <c r="E150" s="117"/>
      <c r="F150" s="118"/>
    </row>
    <row r="151" spans="2:6" s="110" customFormat="1" outlineLevel="1" x14ac:dyDescent="0.2">
      <c r="B151" s="60" t="s">
        <v>3768</v>
      </c>
      <c r="C151" s="490" t="s">
        <v>570</v>
      </c>
      <c r="D151" s="116" t="s">
        <v>260</v>
      </c>
      <c r="E151" s="117"/>
      <c r="F151" s="118"/>
    </row>
    <row r="152" spans="2:6" s="110" customFormat="1" outlineLevel="1" x14ac:dyDescent="0.2">
      <c r="B152" s="60" t="s">
        <v>3769</v>
      </c>
      <c r="C152" s="490" t="s">
        <v>571</v>
      </c>
      <c r="D152" s="116" t="s">
        <v>260</v>
      </c>
      <c r="E152" s="117"/>
      <c r="F152" s="118"/>
    </row>
    <row r="153" spans="2:6" s="110" customFormat="1" outlineLevel="1" x14ac:dyDescent="0.2">
      <c r="B153" s="60" t="s">
        <v>3770</v>
      </c>
      <c r="C153" s="490" t="s">
        <v>572</v>
      </c>
      <c r="D153" s="116" t="s">
        <v>260</v>
      </c>
      <c r="E153" s="117"/>
      <c r="F153" s="118"/>
    </row>
    <row r="154" spans="2:6" s="110" customFormat="1" outlineLevel="1" x14ac:dyDescent="0.2">
      <c r="B154" s="60" t="s">
        <v>3771</v>
      </c>
      <c r="C154" s="490" t="s">
        <v>573</v>
      </c>
      <c r="D154" s="116" t="s">
        <v>260</v>
      </c>
      <c r="E154" s="117"/>
      <c r="F154" s="118"/>
    </row>
    <row r="155" spans="2:6" s="110" customFormat="1" outlineLevel="1" x14ac:dyDescent="0.2">
      <c r="B155" s="60" t="s">
        <v>3772</v>
      </c>
      <c r="C155" s="490" t="s">
        <v>574</v>
      </c>
      <c r="D155" s="116" t="s">
        <v>260</v>
      </c>
      <c r="E155" s="117"/>
      <c r="F155" s="118"/>
    </row>
    <row r="156" spans="2:6" s="110" customFormat="1" outlineLevel="1" x14ac:dyDescent="0.2">
      <c r="B156" s="60" t="s">
        <v>3773</v>
      </c>
      <c r="C156" s="490" t="s">
        <v>575</v>
      </c>
      <c r="D156" s="116" t="s">
        <v>260</v>
      </c>
      <c r="E156" s="117"/>
      <c r="F156" s="118"/>
    </row>
    <row r="157" spans="2:6" s="110" customFormat="1" outlineLevel="1" x14ac:dyDescent="0.2">
      <c r="B157" s="60" t="s">
        <v>3774</v>
      </c>
      <c r="C157" s="490" t="s">
        <v>576</v>
      </c>
      <c r="D157" s="116" t="s">
        <v>260</v>
      </c>
      <c r="E157" s="117"/>
      <c r="F157" s="118"/>
    </row>
    <row r="158" spans="2:6" s="110" customFormat="1" outlineLevel="1" x14ac:dyDescent="0.2">
      <c r="B158" s="60" t="s">
        <v>3775</v>
      </c>
      <c r="C158" s="490" t="s">
        <v>577</v>
      </c>
      <c r="D158" s="116" t="s">
        <v>260</v>
      </c>
      <c r="E158" s="117"/>
      <c r="F158" s="118"/>
    </row>
    <row r="159" spans="2:6" s="110" customFormat="1" outlineLevel="1" x14ac:dyDescent="0.2">
      <c r="B159" s="60" t="s">
        <v>3776</v>
      </c>
      <c r="C159" s="490" t="s">
        <v>578</v>
      </c>
      <c r="D159" s="116" t="s">
        <v>260</v>
      </c>
      <c r="E159" s="117"/>
      <c r="F159" s="118"/>
    </row>
    <row r="160" spans="2:6" s="110" customFormat="1" outlineLevel="1" x14ac:dyDescent="0.2">
      <c r="B160" s="60" t="s">
        <v>3777</v>
      </c>
      <c r="C160" s="490" t="s">
        <v>579</v>
      </c>
      <c r="D160" s="116" t="s">
        <v>260</v>
      </c>
      <c r="E160" s="117"/>
      <c r="F160" s="118"/>
    </row>
    <row r="161" spans="2:9" s="104" customFormat="1" x14ac:dyDescent="0.2">
      <c r="B161" s="60" t="s">
        <v>3778</v>
      </c>
      <c r="C161" s="488" t="s">
        <v>425</v>
      </c>
      <c r="D161" s="125" t="s">
        <v>264</v>
      </c>
      <c r="E161" s="126">
        <f>SUM(E162:E181)</f>
        <v>0</v>
      </c>
      <c r="F161" s="127">
        <f>SUM(F162:F181)</f>
        <v>0</v>
      </c>
      <c r="G161" s="119"/>
      <c r="H161" s="119"/>
      <c r="I161" s="119"/>
    </row>
    <row r="162" spans="2:9" s="110" customFormat="1" outlineLevel="1" x14ac:dyDescent="0.2">
      <c r="B162" s="60" t="s">
        <v>3779</v>
      </c>
      <c r="C162" s="490" t="s">
        <v>580</v>
      </c>
      <c r="D162" s="116" t="s">
        <v>260</v>
      </c>
      <c r="E162" s="117"/>
      <c r="F162" s="118"/>
    </row>
    <row r="163" spans="2:9" s="110" customFormat="1" outlineLevel="1" x14ac:dyDescent="0.2">
      <c r="B163" s="60" t="s">
        <v>3780</v>
      </c>
      <c r="C163" s="490" t="s">
        <v>581</v>
      </c>
      <c r="D163" s="116" t="s">
        <v>260</v>
      </c>
      <c r="E163" s="117"/>
      <c r="F163" s="118"/>
    </row>
    <row r="164" spans="2:9" s="110" customFormat="1" outlineLevel="1" x14ac:dyDescent="0.2">
      <c r="B164" s="60" t="s">
        <v>3781</v>
      </c>
      <c r="C164" s="490" t="s">
        <v>582</v>
      </c>
      <c r="D164" s="116" t="s">
        <v>260</v>
      </c>
      <c r="E164" s="117"/>
      <c r="F164" s="118"/>
    </row>
    <row r="165" spans="2:9" s="110" customFormat="1" outlineLevel="1" x14ac:dyDescent="0.2">
      <c r="B165" s="60" t="s">
        <v>3782</v>
      </c>
      <c r="C165" s="490" t="s">
        <v>583</v>
      </c>
      <c r="D165" s="116" t="s">
        <v>260</v>
      </c>
      <c r="E165" s="117"/>
      <c r="F165" s="118"/>
    </row>
    <row r="166" spans="2:9" s="110" customFormat="1" outlineLevel="1" x14ac:dyDescent="0.2">
      <c r="B166" s="60" t="s">
        <v>3783</v>
      </c>
      <c r="C166" s="490" t="s">
        <v>584</v>
      </c>
      <c r="D166" s="116" t="s">
        <v>260</v>
      </c>
      <c r="E166" s="117"/>
      <c r="F166" s="118"/>
    </row>
    <row r="167" spans="2:9" s="110" customFormat="1" outlineLevel="1" x14ac:dyDescent="0.2">
      <c r="B167" s="60" t="s">
        <v>3784</v>
      </c>
      <c r="C167" s="490" t="s">
        <v>585</v>
      </c>
      <c r="D167" s="116" t="s">
        <v>260</v>
      </c>
      <c r="E167" s="117"/>
      <c r="F167" s="118"/>
    </row>
    <row r="168" spans="2:9" s="110" customFormat="1" outlineLevel="1" x14ac:dyDescent="0.2">
      <c r="B168" s="60" t="s">
        <v>3785</v>
      </c>
      <c r="C168" s="490" t="s">
        <v>586</v>
      </c>
      <c r="D168" s="116" t="s">
        <v>260</v>
      </c>
      <c r="E168" s="117"/>
      <c r="F168" s="118"/>
    </row>
    <row r="169" spans="2:9" s="110" customFormat="1" outlineLevel="1" x14ac:dyDescent="0.2">
      <c r="B169" s="60" t="s">
        <v>3786</v>
      </c>
      <c r="C169" s="490" t="s">
        <v>587</v>
      </c>
      <c r="D169" s="116" t="s">
        <v>260</v>
      </c>
      <c r="E169" s="117"/>
      <c r="F169" s="118"/>
    </row>
    <row r="170" spans="2:9" s="110" customFormat="1" outlineLevel="1" x14ac:dyDescent="0.2">
      <c r="B170" s="60" t="s">
        <v>3787</v>
      </c>
      <c r="C170" s="490" t="s">
        <v>588</v>
      </c>
      <c r="D170" s="116" t="s">
        <v>260</v>
      </c>
      <c r="E170" s="117"/>
      <c r="F170" s="118"/>
    </row>
    <row r="171" spans="2:9" s="110" customFormat="1" outlineLevel="1" x14ac:dyDescent="0.2">
      <c r="B171" s="60" t="s">
        <v>3788</v>
      </c>
      <c r="C171" s="490" t="s">
        <v>589</v>
      </c>
      <c r="D171" s="116" t="s">
        <v>260</v>
      </c>
      <c r="E171" s="117"/>
      <c r="F171" s="118"/>
    </row>
    <row r="172" spans="2:9" s="110" customFormat="1" outlineLevel="1" x14ac:dyDescent="0.2">
      <c r="B172" s="60" t="s">
        <v>3789</v>
      </c>
      <c r="C172" s="490" t="s">
        <v>590</v>
      </c>
      <c r="D172" s="116" t="s">
        <v>260</v>
      </c>
      <c r="E172" s="117"/>
      <c r="F172" s="118"/>
    </row>
    <row r="173" spans="2:9" s="110" customFormat="1" outlineLevel="1" x14ac:dyDescent="0.2">
      <c r="B173" s="60" t="s">
        <v>3790</v>
      </c>
      <c r="C173" s="490" t="s">
        <v>591</v>
      </c>
      <c r="D173" s="116" t="s">
        <v>260</v>
      </c>
      <c r="E173" s="117"/>
      <c r="F173" s="118"/>
    </row>
    <row r="174" spans="2:9" s="110" customFormat="1" outlineLevel="1" x14ac:dyDescent="0.2">
      <c r="B174" s="60" t="s">
        <v>3791</v>
      </c>
      <c r="C174" s="490" t="s">
        <v>592</v>
      </c>
      <c r="D174" s="116" t="s">
        <v>260</v>
      </c>
      <c r="E174" s="117"/>
      <c r="F174" s="118"/>
    </row>
    <row r="175" spans="2:9" s="110" customFormat="1" outlineLevel="1" x14ac:dyDescent="0.2">
      <c r="B175" s="60" t="s">
        <v>3792</v>
      </c>
      <c r="C175" s="490" t="s">
        <v>593</v>
      </c>
      <c r="D175" s="116" t="s">
        <v>260</v>
      </c>
      <c r="E175" s="117"/>
      <c r="F175" s="118"/>
    </row>
    <row r="176" spans="2:9" s="110" customFormat="1" outlineLevel="1" x14ac:dyDescent="0.2">
      <c r="B176" s="60" t="s">
        <v>3793</v>
      </c>
      <c r="C176" s="490" t="s">
        <v>594</v>
      </c>
      <c r="D176" s="116" t="s">
        <v>260</v>
      </c>
      <c r="E176" s="117"/>
      <c r="F176" s="118"/>
    </row>
    <row r="177" spans="2:9" s="110" customFormat="1" outlineLevel="1" x14ac:dyDescent="0.2">
      <c r="B177" s="60" t="s">
        <v>3794</v>
      </c>
      <c r="C177" s="490" t="s">
        <v>595</v>
      </c>
      <c r="D177" s="116" t="s">
        <v>260</v>
      </c>
      <c r="E177" s="117"/>
      <c r="F177" s="118"/>
    </row>
    <row r="178" spans="2:9" s="110" customFormat="1" outlineLevel="1" x14ac:dyDescent="0.2">
      <c r="B178" s="60" t="s">
        <v>3795</v>
      </c>
      <c r="C178" s="490" t="s">
        <v>596</v>
      </c>
      <c r="D178" s="116" t="s">
        <v>260</v>
      </c>
      <c r="E178" s="117"/>
      <c r="F178" s="118"/>
    </row>
    <row r="179" spans="2:9" s="110" customFormat="1" outlineLevel="1" x14ac:dyDescent="0.2">
      <c r="B179" s="60" t="s">
        <v>3796</v>
      </c>
      <c r="C179" s="490" t="s">
        <v>597</v>
      </c>
      <c r="D179" s="116" t="s">
        <v>260</v>
      </c>
      <c r="E179" s="117"/>
      <c r="F179" s="118"/>
    </row>
    <row r="180" spans="2:9" s="110" customFormat="1" outlineLevel="1" x14ac:dyDescent="0.2">
      <c r="B180" s="60" t="s">
        <v>3797</v>
      </c>
      <c r="C180" s="490" t="s">
        <v>598</v>
      </c>
      <c r="D180" s="116" t="s">
        <v>260</v>
      </c>
      <c r="E180" s="117"/>
      <c r="F180" s="118"/>
    </row>
    <row r="181" spans="2:9" s="110" customFormat="1" outlineLevel="1" x14ac:dyDescent="0.2">
      <c r="B181" s="60" t="s">
        <v>3798</v>
      </c>
      <c r="C181" s="490" t="s">
        <v>599</v>
      </c>
      <c r="D181" s="116" t="s">
        <v>260</v>
      </c>
      <c r="E181" s="117"/>
      <c r="F181" s="118"/>
    </row>
    <row r="182" spans="2:9" s="104" customFormat="1" x14ac:dyDescent="0.2">
      <c r="B182" s="60" t="s">
        <v>3799</v>
      </c>
      <c r="C182" s="488" t="s">
        <v>441</v>
      </c>
      <c r="D182" s="125" t="s">
        <v>257</v>
      </c>
      <c r="E182" s="126">
        <f>SUM(E183:E202)</f>
        <v>0</v>
      </c>
      <c r="F182" s="127">
        <f>SUM(F183:F202)</f>
        <v>0</v>
      </c>
      <c r="G182" s="119"/>
      <c r="H182" s="119"/>
      <c r="I182" s="119"/>
    </row>
    <row r="183" spans="2:9" s="110" customFormat="1" outlineLevel="1" x14ac:dyDescent="0.2">
      <c r="B183" s="60" t="s">
        <v>3800</v>
      </c>
      <c r="C183" s="490" t="s">
        <v>1604</v>
      </c>
      <c r="D183" s="116" t="s">
        <v>260</v>
      </c>
      <c r="E183" s="117"/>
      <c r="F183" s="118"/>
    </row>
    <row r="184" spans="2:9" s="110" customFormat="1" outlineLevel="1" x14ac:dyDescent="0.2">
      <c r="B184" s="60" t="s">
        <v>3801</v>
      </c>
      <c r="C184" s="490" t="s">
        <v>1605</v>
      </c>
      <c r="D184" s="116" t="s">
        <v>260</v>
      </c>
      <c r="E184" s="117"/>
      <c r="F184" s="118"/>
    </row>
    <row r="185" spans="2:9" s="110" customFormat="1" outlineLevel="1" x14ac:dyDescent="0.2">
      <c r="B185" s="60" t="s">
        <v>3802</v>
      </c>
      <c r="C185" s="490" t="s">
        <v>1606</v>
      </c>
      <c r="D185" s="116" t="s">
        <v>260</v>
      </c>
      <c r="E185" s="117"/>
      <c r="F185" s="118"/>
    </row>
    <row r="186" spans="2:9" s="110" customFormat="1" outlineLevel="1" x14ac:dyDescent="0.2">
      <c r="B186" s="60" t="s">
        <v>3803</v>
      </c>
      <c r="C186" s="490" t="s">
        <v>1607</v>
      </c>
      <c r="D186" s="116" t="s">
        <v>260</v>
      </c>
      <c r="E186" s="117"/>
      <c r="F186" s="118"/>
    </row>
    <row r="187" spans="2:9" s="110" customFormat="1" outlineLevel="1" x14ac:dyDescent="0.2">
      <c r="B187" s="60" t="s">
        <v>3804</v>
      </c>
      <c r="C187" s="490" t="s">
        <v>1608</v>
      </c>
      <c r="D187" s="116" t="s">
        <v>260</v>
      </c>
      <c r="E187" s="117"/>
      <c r="F187" s="118"/>
    </row>
    <row r="188" spans="2:9" s="110" customFormat="1" outlineLevel="1" x14ac:dyDescent="0.2">
      <c r="B188" s="60" t="s">
        <v>3805</v>
      </c>
      <c r="C188" s="490" t="s">
        <v>1609</v>
      </c>
      <c r="D188" s="116" t="s">
        <v>260</v>
      </c>
      <c r="E188" s="117"/>
      <c r="F188" s="118"/>
    </row>
    <row r="189" spans="2:9" s="110" customFormat="1" outlineLevel="1" x14ac:dyDescent="0.2">
      <c r="B189" s="60" t="s">
        <v>3806</v>
      </c>
      <c r="C189" s="490" t="s">
        <v>1610</v>
      </c>
      <c r="D189" s="116" t="s">
        <v>260</v>
      </c>
      <c r="E189" s="117"/>
      <c r="F189" s="118"/>
    </row>
    <row r="190" spans="2:9" s="110" customFormat="1" outlineLevel="1" x14ac:dyDescent="0.2">
      <c r="B190" s="60" t="s">
        <v>3807</v>
      </c>
      <c r="C190" s="490" t="s">
        <v>1611</v>
      </c>
      <c r="D190" s="116" t="s">
        <v>260</v>
      </c>
      <c r="E190" s="117"/>
      <c r="F190" s="118"/>
    </row>
    <row r="191" spans="2:9" s="110" customFormat="1" outlineLevel="1" x14ac:dyDescent="0.2">
      <c r="B191" s="60" t="s">
        <v>3808</v>
      </c>
      <c r="C191" s="490" t="s">
        <v>1612</v>
      </c>
      <c r="D191" s="116" t="s">
        <v>260</v>
      </c>
      <c r="E191" s="117"/>
      <c r="F191" s="118"/>
    </row>
    <row r="192" spans="2:9" s="110" customFormat="1" outlineLevel="1" x14ac:dyDescent="0.2">
      <c r="B192" s="60" t="s">
        <v>3809</v>
      </c>
      <c r="C192" s="490" t="s">
        <v>1613</v>
      </c>
      <c r="D192" s="116" t="s">
        <v>260</v>
      </c>
      <c r="E192" s="117"/>
      <c r="F192" s="118"/>
    </row>
    <row r="193" spans="2:9" s="110" customFormat="1" outlineLevel="1" x14ac:dyDescent="0.2">
      <c r="B193" s="60" t="s">
        <v>3810</v>
      </c>
      <c r="C193" s="490" t="s">
        <v>1614</v>
      </c>
      <c r="D193" s="116" t="s">
        <v>260</v>
      </c>
      <c r="E193" s="117"/>
      <c r="F193" s="118"/>
    </row>
    <row r="194" spans="2:9" s="110" customFormat="1" outlineLevel="1" x14ac:dyDescent="0.2">
      <c r="B194" s="60" t="s">
        <v>3811</v>
      </c>
      <c r="C194" s="490" t="s">
        <v>1615</v>
      </c>
      <c r="D194" s="116" t="s">
        <v>260</v>
      </c>
      <c r="E194" s="117"/>
      <c r="F194" s="118"/>
    </row>
    <row r="195" spans="2:9" s="110" customFormat="1" outlineLevel="1" x14ac:dyDescent="0.2">
      <c r="B195" s="60" t="s">
        <v>3812</v>
      </c>
      <c r="C195" s="490" t="s">
        <v>1616</v>
      </c>
      <c r="D195" s="116" t="s">
        <v>260</v>
      </c>
      <c r="E195" s="117"/>
      <c r="F195" s="118"/>
    </row>
    <row r="196" spans="2:9" s="110" customFormat="1" outlineLevel="1" x14ac:dyDescent="0.2">
      <c r="B196" s="60" t="s">
        <v>3813</v>
      </c>
      <c r="C196" s="490" t="s">
        <v>1617</v>
      </c>
      <c r="D196" s="116" t="s">
        <v>260</v>
      </c>
      <c r="E196" s="117"/>
      <c r="F196" s="118"/>
    </row>
    <row r="197" spans="2:9" s="110" customFormat="1" outlineLevel="1" x14ac:dyDescent="0.2">
      <c r="B197" s="60" t="s">
        <v>3814</v>
      </c>
      <c r="C197" s="490" t="s">
        <v>1618</v>
      </c>
      <c r="D197" s="116" t="s">
        <v>260</v>
      </c>
      <c r="E197" s="117"/>
      <c r="F197" s="118"/>
    </row>
    <row r="198" spans="2:9" s="110" customFormat="1" outlineLevel="1" x14ac:dyDescent="0.2">
      <c r="B198" s="60" t="s">
        <v>3815</v>
      </c>
      <c r="C198" s="490" t="s">
        <v>1619</v>
      </c>
      <c r="D198" s="116" t="s">
        <v>260</v>
      </c>
      <c r="E198" s="117"/>
      <c r="F198" s="118"/>
    </row>
    <row r="199" spans="2:9" s="110" customFormat="1" outlineLevel="1" x14ac:dyDescent="0.2">
      <c r="B199" s="60" t="s">
        <v>3816</v>
      </c>
      <c r="C199" s="490" t="s">
        <v>1620</v>
      </c>
      <c r="D199" s="116" t="s">
        <v>260</v>
      </c>
      <c r="E199" s="117"/>
      <c r="F199" s="118"/>
    </row>
    <row r="200" spans="2:9" s="110" customFormat="1" outlineLevel="1" x14ac:dyDescent="0.2">
      <c r="B200" s="60" t="s">
        <v>3817</v>
      </c>
      <c r="C200" s="490" t="s">
        <v>1621</v>
      </c>
      <c r="D200" s="116" t="s">
        <v>260</v>
      </c>
      <c r="E200" s="117"/>
      <c r="F200" s="118"/>
    </row>
    <row r="201" spans="2:9" s="110" customFormat="1" outlineLevel="1" x14ac:dyDescent="0.2">
      <c r="B201" s="60" t="s">
        <v>3818</v>
      </c>
      <c r="C201" s="490" t="s">
        <v>1622</v>
      </c>
      <c r="D201" s="116" t="s">
        <v>260</v>
      </c>
      <c r="E201" s="117"/>
      <c r="F201" s="118"/>
    </row>
    <row r="202" spans="2:9" s="110" customFormat="1" outlineLevel="1" x14ac:dyDescent="0.2">
      <c r="B202" s="60" t="s">
        <v>3819</v>
      </c>
      <c r="C202" s="490" t="s">
        <v>1623</v>
      </c>
      <c r="D202" s="116" t="s">
        <v>260</v>
      </c>
      <c r="E202" s="117"/>
      <c r="F202" s="118"/>
    </row>
    <row r="203" spans="2:9" s="104" customFormat="1" x14ac:dyDescent="0.2">
      <c r="B203" s="60" t="s">
        <v>3820</v>
      </c>
      <c r="C203" s="488">
        <v>2.4</v>
      </c>
      <c r="D203" s="125" t="s">
        <v>265</v>
      </c>
      <c r="E203" s="126">
        <f>SUM(E204:E223)</f>
        <v>0</v>
      </c>
      <c r="F203" s="127">
        <f>SUM(F204:F223)</f>
        <v>0</v>
      </c>
      <c r="G203" s="119"/>
      <c r="H203" s="119"/>
      <c r="I203" s="119"/>
    </row>
    <row r="204" spans="2:9" s="110" customFormat="1" outlineLevel="1" x14ac:dyDescent="0.2">
      <c r="B204" s="60" t="s">
        <v>3821</v>
      </c>
      <c r="C204" s="490" t="s">
        <v>1624</v>
      </c>
      <c r="D204" s="116" t="s">
        <v>260</v>
      </c>
      <c r="E204" s="117"/>
      <c r="F204" s="118"/>
    </row>
    <row r="205" spans="2:9" s="110" customFormat="1" outlineLevel="1" x14ac:dyDescent="0.2">
      <c r="B205" s="60" t="s">
        <v>3822</v>
      </c>
      <c r="C205" s="490" t="s">
        <v>1625</v>
      </c>
      <c r="D205" s="116" t="s">
        <v>260</v>
      </c>
      <c r="E205" s="117"/>
      <c r="F205" s="118"/>
    </row>
    <row r="206" spans="2:9" s="110" customFormat="1" outlineLevel="1" x14ac:dyDescent="0.2">
      <c r="B206" s="60" t="s">
        <v>3823</v>
      </c>
      <c r="C206" s="490" t="s">
        <v>1626</v>
      </c>
      <c r="D206" s="116" t="s">
        <v>260</v>
      </c>
      <c r="E206" s="117"/>
      <c r="F206" s="118"/>
    </row>
    <row r="207" spans="2:9" s="110" customFormat="1" outlineLevel="1" x14ac:dyDescent="0.2">
      <c r="B207" s="60" t="s">
        <v>3824</v>
      </c>
      <c r="C207" s="490" t="s">
        <v>1627</v>
      </c>
      <c r="D207" s="116" t="s">
        <v>260</v>
      </c>
      <c r="E207" s="117"/>
      <c r="F207" s="118"/>
    </row>
    <row r="208" spans="2:9" s="110" customFormat="1" outlineLevel="1" x14ac:dyDescent="0.2">
      <c r="B208" s="60" t="s">
        <v>3825</v>
      </c>
      <c r="C208" s="490" t="s">
        <v>1628</v>
      </c>
      <c r="D208" s="116" t="s">
        <v>260</v>
      </c>
      <c r="E208" s="117"/>
      <c r="F208" s="118"/>
    </row>
    <row r="209" spans="2:9" s="110" customFormat="1" outlineLevel="1" x14ac:dyDescent="0.2">
      <c r="B209" s="60" t="s">
        <v>3826</v>
      </c>
      <c r="C209" s="490" t="s">
        <v>1629</v>
      </c>
      <c r="D209" s="116" t="s">
        <v>260</v>
      </c>
      <c r="E209" s="117"/>
      <c r="F209" s="118"/>
    </row>
    <row r="210" spans="2:9" s="110" customFormat="1" outlineLevel="1" x14ac:dyDescent="0.2">
      <c r="B210" s="60" t="s">
        <v>3827</v>
      </c>
      <c r="C210" s="490" t="s">
        <v>1630</v>
      </c>
      <c r="D210" s="116" t="s">
        <v>260</v>
      </c>
      <c r="E210" s="117"/>
      <c r="F210" s="118"/>
    </row>
    <row r="211" spans="2:9" s="110" customFormat="1" outlineLevel="1" x14ac:dyDescent="0.2">
      <c r="B211" s="60" t="s">
        <v>3828</v>
      </c>
      <c r="C211" s="490" t="s">
        <v>1631</v>
      </c>
      <c r="D211" s="116" t="s">
        <v>260</v>
      </c>
      <c r="E211" s="117"/>
      <c r="F211" s="118"/>
    </row>
    <row r="212" spans="2:9" s="110" customFormat="1" outlineLevel="1" x14ac:dyDescent="0.2">
      <c r="B212" s="60" t="s">
        <v>3829</v>
      </c>
      <c r="C212" s="490" t="s">
        <v>1632</v>
      </c>
      <c r="D212" s="116" t="s">
        <v>260</v>
      </c>
      <c r="E212" s="117"/>
      <c r="F212" s="118"/>
    </row>
    <row r="213" spans="2:9" s="110" customFormat="1" outlineLevel="1" x14ac:dyDescent="0.2">
      <c r="B213" s="60" t="s">
        <v>3830</v>
      </c>
      <c r="C213" s="490" t="s">
        <v>1633</v>
      </c>
      <c r="D213" s="116" t="s">
        <v>260</v>
      </c>
      <c r="E213" s="117"/>
      <c r="F213" s="118"/>
    </row>
    <row r="214" spans="2:9" s="110" customFormat="1" outlineLevel="1" x14ac:dyDescent="0.2">
      <c r="B214" s="60" t="s">
        <v>3831</v>
      </c>
      <c r="C214" s="490" t="s">
        <v>1634</v>
      </c>
      <c r="D214" s="116" t="s">
        <v>260</v>
      </c>
      <c r="E214" s="117"/>
      <c r="F214" s="118"/>
    </row>
    <row r="215" spans="2:9" s="110" customFormat="1" outlineLevel="1" x14ac:dyDescent="0.2">
      <c r="B215" s="60" t="s">
        <v>3832</v>
      </c>
      <c r="C215" s="490" t="s">
        <v>1635</v>
      </c>
      <c r="D215" s="116" t="s">
        <v>260</v>
      </c>
      <c r="E215" s="117"/>
      <c r="F215" s="118"/>
    </row>
    <row r="216" spans="2:9" s="110" customFormat="1" outlineLevel="1" x14ac:dyDescent="0.2">
      <c r="B216" s="60" t="s">
        <v>3833</v>
      </c>
      <c r="C216" s="490" t="s">
        <v>1636</v>
      </c>
      <c r="D216" s="116" t="s">
        <v>260</v>
      </c>
      <c r="E216" s="117"/>
      <c r="F216" s="118"/>
    </row>
    <row r="217" spans="2:9" s="110" customFormat="1" outlineLevel="1" x14ac:dyDescent="0.2">
      <c r="B217" s="60" t="s">
        <v>3834</v>
      </c>
      <c r="C217" s="490" t="s">
        <v>1637</v>
      </c>
      <c r="D217" s="116" t="s">
        <v>260</v>
      </c>
      <c r="E217" s="117"/>
      <c r="F217" s="118"/>
    </row>
    <row r="218" spans="2:9" s="110" customFormat="1" outlineLevel="1" x14ac:dyDescent="0.2">
      <c r="B218" s="60" t="s">
        <v>3835</v>
      </c>
      <c r="C218" s="490" t="s">
        <v>1638</v>
      </c>
      <c r="D218" s="116" t="s">
        <v>260</v>
      </c>
      <c r="E218" s="117"/>
      <c r="F218" s="118"/>
    </row>
    <row r="219" spans="2:9" s="110" customFormat="1" outlineLevel="1" x14ac:dyDescent="0.2">
      <c r="B219" s="60" t="s">
        <v>3836</v>
      </c>
      <c r="C219" s="490" t="s">
        <v>1639</v>
      </c>
      <c r="D219" s="116" t="s">
        <v>260</v>
      </c>
      <c r="E219" s="117"/>
      <c r="F219" s="118"/>
    </row>
    <row r="220" spans="2:9" s="110" customFormat="1" outlineLevel="1" x14ac:dyDescent="0.2">
      <c r="B220" s="60" t="s">
        <v>3837</v>
      </c>
      <c r="C220" s="490" t="s">
        <v>1640</v>
      </c>
      <c r="D220" s="116" t="s">
        <v>260</v>
      </c>
      <c r="E220" s="117"/>
      <c r="F220" s="118"/>
    </row>
    <row r="221" spans="2:9" s="110" customFormat="1" outlineLevel="1" x14ac:dyDescent="0.2">
      <c r="B221" s="60" t="s">
        <v>3838</v>
      </c>
      <c r="C221" s="490" t="s">
        <v>1641</v>
      </c>
      <c r="D221" s="116" t="s">
        <v>260</v>
      </c>
      <c r="E221" s="117"/>
      <c r="F221" s="118"/>
    </row>
    <row r="222" spans="2:9" s="110" customFormat="1" outlineLevel="1" x14ac:dyDescent="0.2">
      <c r="B222" s="60" t="s">
        <v>3839</v>
      </c>
      <c r="C222" s="490" t="s">
        <v>1642</v>
      </c>
      <c r="D222" s="116" t="s">
        <v>260</v>
      </c>
      <c r="E222" s="117"/>
      <c r="F222" s="118"/>
    </row>
    <row r="223" spans="2:9" s="110" customFormat="1" outlineLevel="1" x14ac:dyDescent="0.2">
      <c r="B223" s="60" t="s">
        <v>3840</v>
      </c>
      <c r="C223" s="490" t="s">
        <v>1643</v>
      </c>
      <c r="D223" s="116" t="s">
        <v>260</v>
      </c>
      <c r="E223" s="117"/>
      <c r="F223" s="118"/>
    </row>
    <row r="224" spans="2:9" s="104" customFormat="1" x14ac:dyDescent="0.2">
      <c r="B224" s="60" t="s">
        <v>3841</v>
      </c>
      <c r="C224" s="488">
        <v>2.5</v>
      </c>
      <c r="D224" s="125" t="s">
        <v>254</v>
      </c>
      <c r="E224" s="126">
        <f>SUM(E225:E244)</f>
        <v>0</v>
      </c>
      <c r="F224" s="127">
        <f>SUM(F225:F244)</f>
        <v>0</v>
      </c>
      <c r="G224" s="119"/>
      <c r="H224" s="119"/>
      <c r="I224" s="119"/>
    </row>
    <row r="225" spans="2:6" s="110" customFormat="1" outlineLevel="1" x14ac:dyDescent="0.2">
      <c r="B225" s="60" t="s">
        <v>3842</v>
      </c>
      <c r="C225" s="490" t="s">
        <v>2391</v>
      </c>
      <c r="D225" s="116" t="s">
        <v>260</v>
      </c>
      <c r="E225" s="117"/>
      <c r="F225" s="118"/>
    </row>
    <row r="226" spans="2:6" s="110" customFormat="1" outlineLevel="1" x14ac:dyDescent="0.2">
      <c r="B226" s="60" t="s">
        <v>3843</v>
      </c>
      <c r="C226" s="490" t="s">
        <v>2392</v>
      </c>
      <c r="D226" s="116" t="s">
        <v>260</v>
      </c>
      <c r="E226" s="117"/>
      <c r="F226" s="118"/>
    </row>
    <row r="227" spans="2:6" s="110" customFormat="1" outlineLevel="1" x14ac:dyDescent="0.2">
      <c r="B227" s="60" t="s">
        <v>3844</v>
      </c>
      <c r="C227" s="490" t="s">
        <v>2393</v>
      </c>
      <c r="D227" s="116" t="s">
        <v>260</v>
      </c>
      <c r="E227" s="117"/>
      <c r="F227" s="118"/>
    </row>
    <row r="228" spans="2:6" s="110" customFormat="1" outlineLevel="1" x14ac:dyDescent="0.2">
      <c r="B228" s="60" t="s">
        <v>3845</v>
      </c>
      <c r="C228" s="490" t="s">
        <v>2394</v>
      </c>
      <c r="D228" s="116" t="s">
        <v>260</v>
      </c>
      <c r="E228" s="117"/>
      <c r="F228" s="118"/>
    </row>
    <row r="229" spans="2:6" s="110" customFormat="1" outlineLevel="1" x14ac:dyDescent="0.2">
      <c r="B229" s="60" t="s">
        <v>3846</v>
      </c>
      <c r="C229" s="490" t="s">
        <v>2395</v>
      </c>
      <c r="D229" s="116" t="s">
        <v>260</v>
      </c>
      <c r="E229" s="117"/>
      <c r="F229" s="118"/>
    </row>
    <row r="230" spans="2:6" s="110" customFormat="1" outlineLevel="1" x14ac:dyDescent="0.2">
      <c r="B230" s="60" t="s">
        <v>3847</v>
      </c>
      <c r="C230" s="490" t="s">
        <v>2396</v>
      </c>
      <c r="D230" s="116" t="s">
        <v>260</v>
      </c>
      <c r="E230" s="117"/>
      <c r="F230" s="118"/>
    </row>
    <row r="231" spans="2:6" s="110" customFormat="1" outlineLevel="1" x14ac:dyDescent="0.2">
      <c r="B231" s="60" t="s">
        <v>3848</v>
      </c>
      <c r="C231" s="490" t="s">
        <v>2397</v>
      </c>
      <c r="D231" s="116" t="s">
        <v>260</v>
      </c>
      <c r="E231" s="117"/>
      <c r="F231" s="118"/>
    </row>
    <row r="232" spans="2:6" s="110" customFormat="1" outlineLevel="1" x14ac:dyDescent="0.2">
      <c r="B232" s="60" t="s">
        <v>3849</v>
      </c>
      <c r="C232" s="490" t="s">
        <v>2398</v>
      </c>
      <c r="D232" s="116" t="s">
        <v>260</v>
      </c>
      <c r="E232" s="117"/>
      <c r="F232" s="118"/>
    </row>
    <row r="233" spans="2:6" s="110" customFormat="1" outlineLevel="1" x14ac:dyDescent="0.2">
      <c r="B233" s="60" t="s">
        <v>3850</v>
      </c>
      <c r="C233" s="490" t="s">
        <v>2399</v>
      </c>
      <c r="D233" s="116" t="s">
        <v>260</v>
      </c>
      <c r="E233" s="117"/>
      <c r="F233" s="118"/>
    </row>
    <row r="234" spans="2:6" s="110" customFormat="1" outlineLevel="1" x14ac:dyDescent="0.2">
      <c r="B234" s="60" t="s">
        <v>3851</v>
      </c>
      <c r="C234" s="490" t="s">
        <v>2400</v>
      </c>
      <c r="D234" s="116" t="s">
        <v>260</v>
      </c>
      <c r="E234" s="117"/>
      <c r="F234" s="118"/>
    </row>
    <row r="235" spans="2:6" s="110" customFormat="1" outlineLevel="1" x14ac:dyDescent="0.2">
      <c r="B235" s="60" t="s">
        <v>3852</v>
      </c>
      <c r="C235" s="490" t="s">
        <v>2401</v>
      </c>
      <c r="D235" s="116" t="s">
        <v>260</v>
      </c>
      <c r="E235" s="117"/>
      <c r="F235" s="118"/>
    </row>
    <row r="236" spans="2:6" s="110" customFormat="1" outlineLevel="1" x14ac:dyDescent="0.2">
      <c r="B236" s="60" t="s">
        <v>3853</v>
      </c>
      <c r="C236" s="490" t="s">
        <v>2402</v>
      </c>
      <c r="D236" s="116" t="s">
        <v>260</v>
      </c>
      <c r="E236" s="117"/>
      <c r="F236" s="118"/>
    </row>
    <row r="237" spans="2:6" s="110" customFormat="1" outlineLevel="1" x14ac:dyDescent="0.2">
      <c r="B237" s="60" t="s">
        <v>3854</v>
      </c>
      <c r="C237" s="490" t="s">
        <v>2403</v>
      </c>
      <c r="D237" s="116" t="s">
        <v>260</v>
      </c>
      <c r="E237" s="117"/>
      <c r="F237" s="118"/>
    </row>
    <row r="238" spans="2:6" s="110" customFormat="1" outlineLevel="1" x14ac:dyDescent="0.2">
      <c r="B238" s="60" t="s">
        <v>3855</v>
      </c>
      <c r="C238" s="490" t="s">
        <v>2404</v>
      </c>
      <c r="D238" s="116" t="s">
        <v>260</v>
      </c>
      <c r="E238" s="117"/>
      <c r="F238" s="118"/>
    </row>
    <row r="239" spans="2:6" s="110" customFormat="1" outlineLevel="1" x14ac:dyDescent="0.2">
      <c r="B239" s="60" t="s">
        <v>3856</v>
      </c>
      <c r="C239" s="490" t="s">
        <v>2405</v>
      </c>
      <c r="D239" s="116" t="s">
        <v>260</v>
      </c>
      <c r="E239" s="117"/>
      <c r="F239" s="118"/>
    </row>
    <row r="240" spans="2:6" s="110" customFormat="1" outlineLevel="1" x14ac:dyDescent="0.2">
      <c r="B240" s="60" t="s">
        <v>3857</v>
      </c>
      <c r="C240" s="490" t="s">
        <v>2406</v>
      </c>
      <c r="D240" s="116" t="s">
        <v>260</v>
      </c>
      <c r="E240" s="117"/>
      <c r="F240" s="118"/>
    </row>
    <row r="241" spans="2:9" s="110" customFormat="1" outlineLevel="1" x14ac:dyDescent="0.2">
      <c r="B241" s="60" t="s">
        <v>3858</v>
      </c>
      <c r="C241" s="490" t="s">
        <v>2407</v>
      </c>
      <c r="D241" s="116" t="s">
        <v>260</v>
      </c>
      <c r="E241" s="117"/>
      <c r="F241" s="118"/>
    </row>
    <row r="242" spans="2:9" s="110" customFormat="1" outlineLevel="1" x14ac:dyDescent="0.2">
      <c r="B242" s="60" t="s">
        <v>3859</v>
      </c>
      <c r="C242" s="490" t="s">
        <v>2408</v>
      </c>
      <c r="D242" s="116" t="s">
        <v>260</v>
      </c>
      <c r="E242" s="117"/>
      <c r="F242" s="118"/>
    </row>
    <row r="243" spans="2:9" s="110" customFormat="1" outlineLevel="1" x14ac:dyDescent="0.2">
      <c r="B243" s="60" t="s">
        <v>3860</v>
      </c>
      <c r="C243" s="490" t="s">
        <v>2409</v>
      </c>
      <c r="D243" s="116" t="s">
        <v>260</v>
      </c>
      <c r="E243" s="117"/>
      <c r="F243" s="118"/>
    </row>
    <row r="244" spans="2:9" s="110" customFormat="1" outlineLevel="1" x14ac:dyDescent="0.2">
      <c r="B244" s="60" t="s">
        <v>3861</v>
      </c>
      <c r="C244" s="490" t="s">
        <v>2410</v>
      </c>
      <c r="D244" s="116" t="s">
        <v>260</v>
      </c>
      <c r="E244" s="117"/>
      <c r="F244" s="118"/>
    </row>
    <row r="245" spans="2:9" s="104" customFormat="1" x14ac:dyDescent="0.2">
      <c r="B245" s="60" t="s">
        <v>3862</v>
      </c>
      <c r="C245" s="488">
        <v>2.6</v>
      </c>
      <c r="D245" s="125" t="s">
        <v>266</v>
      </c>
      <c r="E245" s="126">
        <f>SUM(E246:E265)</f>
        <v>0</v>
      </c>
      <c r="F245" s="127">
        <f>SUM(F246:F265)</f>
        <v>0</v>
      </c>
      <c r="G245" s="119"/>
      <c r="H245" s="119"/>
      <c r="I245" s="119"/>
    </row>
    <row r="246" spans="2:9" s="110" customFormat="1" outlineLevel="1" x14ac:dyDescent="0.2">
      <c r="B246" s="60" t="s">
        <v>3863</v>
      </c>
      <c r="C246" s="490" t="s">
        <v>2411</v>
      </c>
      <c r="D246" s="116" t="s">
        <v>260</v>
      </c>
      <c r="E246" s="117"/>
      <c r="F246" s="118"/>
    </row>
    <row r="247" spans="2:9" s="110" customFormat="1" outlineLevel="1" x14ac:dyDescent="0.2">
      <c r="B247" s="60" t="s">
        <v>3864</v>
      </c>
      <c r="C247" s="490" t="s">
        <v>2412</v>
      </c>
      <c r="D247" s="116" t="s">
        <v>260</v>
      </c>
      <c r="E247" s="117"/>
      <c r="F247" s="118"/>
    </row>
    <row r="248" spans="2:9" s="110" customFormat="1" outlineLevel="1" x14ac:dyDescent="0.2">
      <c r="B248" s="60" t="s">
        <v>3865</v>
      </c>
      <c r="C248" s="490" t="s">
        <v>2413</v>
      </c>
      <c r="D248" s="116" t="s">
        <v>260</v>
      </c>
      <c r="E248" s="117"/>
      <c r="F248" s="118"/>
    </row>
    <row r="249" spans="2:9" s="110" customFormat="1" outlineLevel="1" x14ac:dyDescent="0.2">
      <c r="B249" s="60" t="s">
        <v>3866</v>
      </c>
      <c r="C249" s="490" t="s">
        <v>2414</v>
      </c>
      <c r="D249" s="116" t="s">
        <v>260</v>
      </c>
      <c r="E249" s="117"/>
      <c r="F249" s="118"/>
    </row>
    <row r="250" spans="2:9" s="110" customFormat="1" outlineLevel="1" x14ac:dyDescent="0.2">
      <c r="B250" s="60" t="s">
        <v>3867</v>
      </c>
      <c r="C250" s="490" t="s">
        <v>2415</v>
      </c>
      <c r="D250" s="116" t="s">
        <v>260</v>
      </c>
      <c r="E250" s="117"/>
      <c r="F250" s="118"/>
    </row>
    <row r="251" spans="2:9" s="110" customFormat="1" outlineLevel="1" x14ac:dyDescent="0.2">
      <c r="B251" s="60" t="s">
        <v>3868</v>
      </c>
      <c r="C251" s="490" t="s">
        <v>2416</v>
      </c>
      <c r="D251" s="116" t="s">
        <v>260</v>
      </c>
      <c r="E251" s="117"/>
      <c r="F251" s="118"/>
    </row>
    <row r="252" spans="2:9" s="110" customFormat="1" outlineLevel="1" x14ac:dyDescent="0.2">
      <c r="B252" s="60" t="s">
        <v>3869</v>
      </c>
      <c r="C252" s="490" t="s">
        <v>2417</v>
      </c>
      <c r="D252" s="116" t="s">
        <v>260</v>
      </c>
      <c r="E252" s="117"/>
      <c r="F252" s="118"/>
    </row>
    <row r="253" spans="2:9" s="110" customFormat="1" outlineLevel="1" x14ac:dyDescent="0.2">
      <c r="B253" s="60" t="s">
        <v>3870</v>
      </c>
      <c r="C253" s="490" t="s">
        <v>2418</v>
      </c>
      <c r="D253" s="116" t="s">
        <v>260</v>
      </c>
      <c r="E253" s="117"/>
      <c r="F253" s="118"/>
    </row>
    <row r="254" spans="2:9" s="110" customFormat="1" outlineLevel="1" x14ac:dyDescent="0.2">
      <c r="B254" s="60" t="s">
        <v>3871</v>
      </c>
      <c r="C254" s="490" t="s">
        <v>2419</v>
      </c>
      <c r="D254" s="116" t="s">
        <v>260</v>
      </c>
      <c r="E254" s="117"/>
      <c r="F254" s="118"/>
    </row>
    <row r="255" spans="2:9" s="110" customFormat="1" outlineLevel="1" x14ac:dyDescent="0.2">
      <c r="B255" s="60" t="s">
        <v>3872</v>
      </c>
      <c r="C255" s="490" t="s">
        <v>2420</v>
      </c>
      <c r="D255" s="116" t="s">
        <v>260</v>
      </c>
      <c r="E255" s="117"/>
      <c r="F255" s="118"/>
    </row>
    <row r="256" spans="2:9" s="110" customFormat="1" outlineLevel="1" x14ac:dyDescent="0.2">
      <c r="B256" s="60" t="s">
        <v>3873</v>
      </c>
      <c r="C256" s="490" t="s">
        <v>2421</v>
      </c>
      <c r="D256" s="116" t="s">
        <v>260</v>
      </c>
      <c r="E256" s="117"/>
      <c r="F256" s="118"/>
    </row>
    <row r="257" spans="2:9" s="110" customFormat="1" outlineLevel="1" x14ac:dyDescent="0.2">
      <c r="B257" s="60" t="s">
        <v>3874</v>
      </c>
      <c r="C257" s="490" t="s">
        <v>2422</v>
      </c>
      <c r="D257" s="116" t="s">
        <v>260</v>
      </c>
      <c r="E257" s="117"/>
      <c r="F257" s="118"/>
    </row>
    <row r="258" spans="2:9" s="110" customFormat="1" outlineLevel="1" x14ac:dyDescent="0.2">
      <c r="B258" s="60" t="s">
        <v>3875</v>
      </c>
      <c r="C258" s="490" t="s">
        <v>2423</v>
      </c>
      <c r="D258" s="116" t="s">
        <v>260</v>
      </c>
      <c r="E258" s="117"/>
      <c r="F258" s="118"/>
    </row>
    <row r="259" spans="2:9" s="110" customFormat="1" outlineLevel="1" x14ac:dyDescent="0.2">
      <c r="B259" s="60" t="s">
        <v>3876</v>
      </c>
      <c r="C259" s="490" t="s">
        <v>2424</v>
      </c>
      <c r="D259" s="116" t="s">
        <v>260</v>
      </c>
      <c r="E259" s="117"/>
      <c r="F259" s="118"/>
    </row>
    <row r="260" spans="2:9" s="110" customFormat="1" outlineLevel="1" x14ac:dyDescent="0.2">
      <c r="B260" s="60" t="s">
        <v>3877</v>
      </c>
      <c r="C260" s="490" t="s">
        <v>2425</v>
      </c>
      <c r="D260" s="116" t="s">
        <v>260</v>
      </c>
      <c r="E260" s="117"/>
      <c r="F260" s="118"/>
    </row>
    <row r="261" spans="2:9" s="110" customFormat="1" outlineLevel="1" x14ac:dyDescent="0.2">
      <c r="B261" s="60" t="s">
        <v>3878</v>
      </c>
      <c r="C261" s="490" t="s">
        <v>2426</v>
      </c>
      <c r="D261" s="116" t="s">
        <v>260</v>
      </c>
      <c r="E261" s="117"/>
      <c r="F261" s="118"/>
    </row>
    <row r="262" spans="2:9" s="110" customFormat="1" outlineLevel="1" x14ac:dyDescent="0.2">
      <c r="B262" s="60" t="s">
        <v>3879</v>
      </c>
      <c r="C262" s="490" t="s">
        <v>2427</v>
      </c>
      <c r="D262" s="116" t="s">
        <v>260</v>
      </c>
      <c r="E262" s="117"/>
      <c r="F262" s="118"/>
    </row>
    <row r="263" spans="2:9" s="110" customFormat="1" outlineLevel="1" x14ac:dyDescent="0.2">
      <c r="B263" s="60" t="s">
        <v>3880</v>
      </c>
      <c r="C263" s="490" t="s">
        <v>2428</v>
      </c>
      <c r="D263" s="116" t="s">
        <v>260</v>
      </c>
      <c r="E263" s="117"/>
      <c r="F263" s="118"/>
    </row>
    <row r="264" spans="2:9" s="110" customFormat="1" outlineLevel="1" x14ac:dyDescent="0.2">
      <c r="B264" s="60" t="s">
        <v>3881</v>
      </c>
      <c r="C264" s="490" t="s">
        <v>2429</v>
      </c>
      <c r="D264" s="116" t="s">
        <v>260</v>
      </c>
      <c r="E264" s="117"/>
      <c r="F264" s="118"/>
    </row>
    <row r="265" spans="2:9" s="110" customFormat="1" outlineLevel="1" x14ac:dyDescent="0.2">
      <c r="B265" s="60" t="s">
        <v>3882</v>
      </c>
      <c r="C265" s="490" t="s">
        <v>2430</v>
      </c>
      <c r="D265" s="116" t="s">
        <v>260</v>
      </c>
      <c r="E265" s="117"/>
      <c r="F265" s="118"/>
    </row>
    <row r="266" spans="2:9" s="119" customFormat="1" x14ac:dyDescent="0.2">
      <c r="B266" s="60" t="s">
        <v>3883</v>
      </c>
      <c r="C266" s="489">
        <v>3</v>
      </c>
      <c r="D266" s="122" t="s">
        <v>261</v>
      </c>
      <c r="E266" s="123">
        <f>E267+E288+E309+E330+E351+E372</f>
        <v>0</v>
      </c>
      <c r="F266" s="124">
        <f>F267+F288+F309+F330+F351+F372</f>
        <v>0</v>
      </c>
    </row>
    <row r="267" spans="2:9" s="104" customFormat="1" x14ac:dyDescent="0.2">
      <c r="B267" s="60" t="s">
        <v>3884</v>
      </c>
      <c r="C267" s="488">
        <v>3.1</v>
      </c>
      <c r="D267" s="125" t="s">
        <v>250</v>
      </c>
      <c r="E267" s="126">
        <f>SUM(E268:E287)</f>
        <v>0</v>
      </c>
      <c r="F267" s="127">
        <f>SUM(F268:F287)</f>
        <v>0</v>
      </c>
      <c r="G267" s="119"/>
      <c r="H267" s="119"/>
      <c r="I267" s="119"/>
    </row>
    <row r="268" spans="2:9" s="110" customFormat="1" outlineLevel="1" x14ac:dyDescent="0.2">
      <c r="B268" s="60" t="s">
        <v>3885</v>
      </c>
      <c r="C268" s="490" t="s">
        <v>450</v>
      </c>
      <c r="D268" s="116" t="s">
        <v>260</v>
      </c>
      <c r="E268" s="117"/>
      <c r="F268" s="118"/>
    </row>
    <row r="269" spans="2:9" s="110" customFormat="1" outlineLevel="1" x14ac:dyDescent="0.2">
      <c r="B269" s="60" t="s">
        <v>3886</v>
      </c>
      <c r="C269" s="490" t="s">
        <v>451</v>
      </c>
      <c r="D269" s="116" t="s">
        <v>260</v>
      </c>
      <c r="E269" s="117"/>
      <c r="F269" s="118"/>
    </row>
    <row r="270" spans="2:9" s="110" customFormat="1" outlineLevel="1" x14ac:dyDescent="0.2">
      <c r="B270" s="60" t="s">
        <v>3887</v>
      </c>
      <c r="C270" s="490" t="s">
        <v>458</v>
      </c>
      <c r="D270" s="116" t="s">
        <v>260</v>
      </c>
      <c r="E270" s="117"/>
      <c r="F270" s="118"/>
    </row>
    <row r="271" spans="2:9" s="110" customFormat="1" outlineLevel="1" x14ac:dyDescent="0.2">
      <c r="B271" s="60" t="s">
        <v>3888</v>
      </c>
      <c r="C271" s="490" t="s">
        <v>600</v>
      </c>
      <c r="D271" s="116" t="s">
        <v>260</v>
      </c>
      <c r="E271" s="117"/>
      <c r="F271" s="118"/>
    </row>
    <row r="272" spans="2:9" s="110" customFormat="1" outlineLevel="1" x14ac:dyDescent="0.2">
      <c r="B272" s="60" t="s">
        <v>3889</v>
      </c>
      <c r="C272" s="490" t="s">
        <v>601</v>
      </c>
      <c r="D272" s="116" t="s">
        <v>260</v>
      </c>
      <c r="E272" s="117"/>
      <c r="F272" s="118"/>
    </row>
    <row r="273" spans="2:9" s="110" customFormat="1" outlineLevel="1" x14ac:dyDescent="0.2">
      <c r="B273" s="60" t="s">
        <v>3890</v>
      </c>
      <c r="C273" s="490" t="s">
        <v>602</v>
      </c>
      <c r="D273" s="116" t="s">
        <v>260</v>
      </c>
      <c r="E273" s="117"/>
      <c r="F273" s="118"/>
    </row>
    <row r="274" spans="2:9" s="110" customFormat="1" outlineLevel="1" x14ac:dyDescent="0.2">
      <c r="B274" s="60" t="s">
        <v>3891</v>
      </c>
      <c r="C274" s="490" t="s">
        <v>603</v>
      </c>
      <c r="D274" s="116" t="s">
        <v>260</v>
      </c>
      <c r="E274" s="117"/>
      <c r="F274" s="118"/>
    </row>
    <row r="275" spans="2:9" s="110" customFormat="1" outlineLevel="1" x14ac:dyDescent="0.2">
      <c r="B275" s="60" t="s">
        <v>3892</v>
      </c>
      <c r="C275" s="490" t="s">
        <v>604</v>
      </c>
      <c r="D275" s="116" t="s">
        <v>260</v>
      </c>
      <c r="E275" s="117"/>
      <c r="F275" s="118"/>
    </row>
    <row r="276" spans="2:9" s="110" customFormat="1" outlineLevel="1" x14ac:dyDescent="0.2">
      <c r="B276" s="60" t="s">
        <v>3893</v>
      </c>
      <c r="C276" s="490" t="s">
        <v>605</v>
      </c>
      <c r="D276" s="116" t="s">
        <v>260</v>
      </c>
      <c r="E276" s="117"/>
      <c r="F276" s="118"/>
    </row>
    <row r="277" spans="2:9" s="110" customFormat="1" outlineLevel="1" x14ac:dyDescent="0.2">
      <c r="B277" s="60" t="s">
        <v>3894</v>
      </c>
      <c r="C277" s="490" t="s">
        <v>606</v>
      </c>
      <c r="D277" s="116" t="s">
        <v>260</v>
      </c>
      <c r="E277" s="117"/>
      <c r="F277" s="118"/>
    </row>
    <row r="278" spans="2:9" s="110" customFormat="1" outlineLevel="1" x14ac:dyDescent="0.2">
      <c r="B278" s="60" t="s">
        <v>3895</v>
      </c>
      <c r="C278" s="490" t="s">
        <v>607</v>
      </c>
      <c r="D278" s="116" t="s">
        <v>260</v>
      </c>
      <c r="E278" s="117"/>
      <c r="F278" s="118"/>
    </row>
    <row r="279" spans="2:9" s="110" customFormat="1" outlineLevel="1" x14ac:dyDescent="0.2">
      <c r="B279" s="60" t="s">
        <v>3896</v>
      </c>
      <c r="C279" s="490" t="s">
        <v>608</v>
      </c>
      <c r="D279" s="116" t="s">
        <v>260</v>
      </c>
      <c r="E279" s="117"/>
      <c r="F279" s="118"/>
    </row>
    <row r="280" spans="2:9" s="110" customFormat="1" outlineLevel="1" x14ac:dyDescent="0.2">
      <c r="B280" s="60" t="s">
        <v>3897</v>
      </c>
      <c r="C280" s="490" t="s">
        <v>609</v>
      </c>
      <c r="D280" s="116" t="s">
        <v>260</v>
      </c>
      <c r="E280" s="117"/>
      <c r="F280" s="118"/>
    </row>
    <row r="281" spans="2:9" s="110" customFormat="1" outlineLevel="1" x14ac:dyDescent="0.2">
      <c r="B281" s="60" t="s">
        <v>3898</v>
      </c>
      <c r="C281" s="490" t="s">
        <v>610</v>
      </c>
      <c r="D281" s="116" t="s">
        <v>260</v>
      </c>
      <c r="E281" s="117"/>
      <c r="F281" s="118"/>
    </row>
    <row r="282" spans="2:9" s="110" customFormat="1" outlineLevel="1" x14ac:dyDescent="0.2">
      <c r="B282" s="60" t="s">
        <v>3899</v>
      </c>
      <c r="C282" s="490" t="s">
        <v>611</v>
      </c>
      <c r="D282" s="116" t="s">
        <v>260</v>
      </c>
      <c r="E282" s="117"/>
      <c r="F282" s="118"/>
    </row>
    <row r="283" spans="2:9" s="110" customFormat="1" outlineLevel="1" x14ac:dyDescent="0.2">
      <c r="B283" s="60" t="s">
        <v>3900</v>
      </c>
      <c r="C283" s="490" t="s">
        <v>612</v>
      </c>
      <c r="D283" s="116" t="s">
        <v>260</v>
      </c>
      <c r="E283" s="117"/>
      <c r="F283" s="118"/>
    </row>
    <row r="284" spans="2:9" s="110" customFormat="1" outlineLevel="1" x14ac:dyDescent="0.2">
      <c r="B284" s="60" t="s">
        <v>3901</v>
      </c>
      <c r="C284" s="490" t="s">
        <v>613</v>
      </c>
      <c r="D284" s="116" t="s">
        <v>260</v>
      </c>
      <c r="E284" s="117"/>
      <c r="F284" s="118"/>
    </row>
    <row r="285" spans="2:9" s="110" customFormat="1" outlineLevel="1" x14ac:dyDescent="0.2">
      <c r="B285" s="60" t="s">
        <v>3902</v>
      </c>
      <c r="C285" s="490" t="s">
        <v>614</v>
      </c>
      <c r="D285" s="116" t="s">
        <v>260</v>
      </c>
      <c r="E285" s="117"/>
      <c r="F285" s="118"/>
    </row>
    <row r="286" spans="2:9" s="110" customFormat="1" outlineLevel="1" x14ac:dyDescent="0.2">
      <c r="B286" s="60" t="s">
        <v>3903</v>
      </c>
      <c r="C286" s="490" t="s">
        <v>615</v>
      </c>
      <c r="D286" s="116" t="s">
        <v>260</v>
      </c>
      <c r="E286" s="117"/>
      <c r="F286" s="118"/>
    </row>
    <row r="287" spans="2:9" s="110" customFormat="1" outlineLevel="1" x14ac:dyDescent="0.2">
      <c r="B287" s="60" t="s">
        <v>3904</v>
      </c>
      <c r="C287" s="490" t="s">
        <v>616</v>
      </c>
      <c r="D287" s="116" t="s">
        <v>260</v>
      </c>
      <c r="E287" s="117"/>
      <c r="F287" s="118"/>
    </row>
    <row r="288" spans="2:9" s="104" customFormat="1" x14ac:dyDescent="0.2">
      <c r="B288" s="60" t="s">
        <v>3905</v>
      </c>
      <c r="C288" s="488">
        <v>3.2</v>
      </c>
      <c r="D288" s="125" t="s">
        <v>264</v>
      </c>
      <c r="E288" s="126">
        <f>SUM(E289:E308)</f>
        <v>0</v>
      </c>
      <c r="F288" s="127">
        <f>SUM(F289:F308)</f>
        <v>0</v>
      </c>
      <c r="G288" s="119"/>
      <c r="H288" s="119"/>
      <c r="I288" s="119"/>
    </row>
    <row r="289" spans="2:6" s="110" customFormat="1" outlineLevel="1" x14ac:dyDescent="0.2">
      <c r="B289" s="60" t="s">
        <v>3906</v>
      </c>
      <c r="C289" s="490" t="s">
        <v>454</v>
      </c>
      <c r="D289" s="116" t="s">
        <v>260</v>
      </c>
      <c r="E289" s="117"/>
      <c r="F289" s="118"/>
    </row>
    <row r="290" spans="2:6" s="110" customFormat="1" outlineLevel="1" x14ac:dyDescent="0.2">
      <c r="B290" s="60" t="s">
        <v>3907</v>
      </c>
      <c r="C290" s="490" t="s">
        <v>455</v>
      </c>
      <c r="D290" s="116" t="s">
        <v>260</v>
      </c>
      <c r="E290" s="117"/>
      <c r="F290" s="118"/>
    </row>
    <row r="291" spans="2:6" s="110" customFormat="1" outlineLevel="1" x14ac:dyDescent="0.2">
      <c r="B291" s="60" t="s">
        <v>3908</v>
      </c>
      <c r="C291" s="490" t="s">
        <v>459</v>
      </c>
      <c r="D291" s="116" t="s">
        <v>260</v>
      </c>
      <c r="E291" s="117"/>
      <c r="F291" s="118"/>
    </row>
    <row r="292" spans="2:6" s="110" customFormat="1" outlineLevel="1" x14ac:dyDescent="0.2">
      <c r="B292" s="60" t="s">
        <v>3909</v>
      </c>
      <c r="C292" s="490" t="s">
        <v>617</v>
      </c>
      <c r="D292" s="116" t="s">
        <v>260</v>
      </c>
      <c r="E292" s="117"/>
      <c r="F292" s="118"/>
    </row>
    <row r="293" spans="2:6" s="110" customFormat="1" outlineLevel="1" x14ac:dyDescent="0.2">
      <c r="B293" s="60" t="s">
        <v>3910</v>
      </c>
      <c r="C293" s="490" t="s">
        <v>618</v>
      </c>
      <c r="D293" s="116" t="s">
        <v>260</v>
      </c>
      <c r="E293" s="117"/>
      <c r="F293" s="118"/>
    </row>
    <row r="294" spans="2:6" s="110" customFormat="1" outlineLevel="1" x14ac:dyDescent="0.2">
      <c r="B294" s="60" t="s">
        <v>3911</v>
      </c>
      <c r="C294" s="490" t="s">
        <v>619</v>
      </c>
      <c r="D294" s="116" t="s">
        <v>260</v>
      </c>
      <c r="E294" s="117"/>
      <c r="F294" s="118"/>
    </row>
    <row r="295" spans="2:6" s="110" customFormat="1" outlineLevel="1" x14ac:dyDescent="0.2">
      <c r="B295" s="60" t="s">
        <v>3912</v>
      </c>
      <c r="C295" s="490" t="s">
        <v>620</v>
      </c>
      <c r="D295" s="116" t="s">
        <v>260</v>
      </c>
      <c r="E295" s="117"/>
      <c r="F295" s="118"/>
    </row>
    <row r="296" spans="2:6" s="110" customFormat="1" outlineLevel="1" x14ac:dyDescent="0.2">
      <c r="B296" s="60" t="s">
        <v>3913</v>
      </c>
      <c r="C296" s="490" t="s">
        <v>621</v>
      </c>
      <c r="D296" s="116" t="s">
        <v>260</v>
      </c>
      <c r="E296" s="117"/>
      <c r="F296" s="118"/>
    </row>
    <row r="297" spans="2:6" s="110" customFormat="1" outlineLevel="1" x14ac:dyDescent="0.2">
      <c r="B297" s="60" t="s">
        <v>3914</v>
      </c>
      <c r="C297" s="490" t="s">
        <v>622</v>
      </c>
      <c r="D297" s="116" t="s">
        <v>260</v>
      </c>
      <c r="E297" s="117"/>
      <c r="F297" s="118"/>
    </row>
    <row r="298" spans="2:6" s="110" customFormat="1" outlineLevel="1" x14ac:dyDescent="0.2">
      <c r="B298" s="60" t="s">
        <v>3915</v>
      </c>
      <c r="C298" s="490" t="s">
        <v>623</v>
      </c>
      <c r="D298" s="116" t="s">
        <v>260</v>
      </c>
      <c r="E298" s="117"/>
      <c r="F298" s="118"/>
    </row>
    <row r="299" spans="2:6" s="110" customFormat="1" outlineLevel="1" x14ac:dyDescent="0.2">
      <c r="B299" s="60" t="s">
        <v>3916</v>
      </c>
      <c r="C299" s="490" t="s">
        <v>624</v>
      </c>
      <c r="D299" s="116" t="s">
        <v>260</v>
      </c>
      <c r="E299" s="117"/>
      <c r="F299" s="118"/>
    </row>
    <row r="300" spans="2:6" s="110" customFormat="1" outlineLevel="1" x14ac:dyDescent="0.2">
      <c r="B300" s="60" t="s">
        <v>3917</v>
      </c>
      <c r="C300" s="490" t="s">
        <v>625</v>
      </c>
      <c r="D300" s="116" t="s">
        <v>260</v>
      </c>
      <c r="E300" s="117"/>
      <c r="F300" s="118"/>
    </row>
    <row r="301" spans="2:6" s="110" customFormat="1" outlineLevel="1" x14ac:dyDescent="0.2">
      <c r="B301" s="60" t="s">
        <v>3918</v>
      </c>
      <c r="C301" s="490" t="s">
        <v>626</v>
      </c>
      <c r="D301" s="116" t="s">
        <v>260</v>
      </c>
      <c r="E301" s="117"/>
      <c r="F301" s="118"/>
    </row>
    <row r="302" spans="2:6" s="110" customFormat="1" outlineLevel="1" x14ac:dyDescent="0.2">
      <c r="B302" s="60" t="s">
        <v>3919</v>
      </c>
      <c r="C302" s="490" t="s">
        <v>627</v>
      </c>
      <c r="D302" s="116" t="s">
        <v>260</v>
      </c>
      <c r="E302" s="117"/>
      <c r="F302" s="118"/>
    </row>
    <row r="303" spans="2:6" s="110" customFormat="1" outlineLevel="1" x14ac:dyDescent="0.2">
      <c r="B303" s="60" t="s">
        <v>3920</v>
      </c>
      <c r="C303" s="490" t="s">
        <v>628</v>
      </c>
      <c r="D303" s="116" t="s">
        <v>260</v>
      </c>
      <c r="E303" s="117"/>
      <c r="F303" s="118"/>
    </row>
    <row r="304" spans="2:6" s="110" customFormat="1" outlineLevel="1" x14ac:dyDescent="0.2">
      <c r="B304" s="60" t="s">
        <v>3921</v>
      </c>
      <c r="C304" s="490" t="s">
        <v>629</v>
      </c>
      <c r="D304" s="116" t="s">
        <v>260</v>
      </c>
      <c r="E304" s="117"/>
      <c r="F304" s="118"/>
    </row>
    <row r="305" spans="2:9" s="110" customFormat="1" outlineLevel="1" x14ac:dyDescent="0.2">
      <c r="B305" s="60" t="s">
        <v>3922</v>
      </c>
      <c r="C305" s="490" t="s">
        <v>630</v>
      </c>
      <c r="D305" s="116" t="s">
        <v>260</v>
      </c>
      <c r="E305" s="117"/>
      <c r="F305" s="118"/>
    </row>
    <row r="306" spans="2:9" s="110" customFormat="1" outlineLevel="1" x14ac:dyDescent="0.2">
      <c r="B306" s="60" t="s">
        <v>3923</v>
      </c>
      <c r="C306" s="490" t="s">
        <v>631</v>
      </c>
      <c r="D306" s="116" t="s">
        <v>260</v>
      </c>
      <c r="E306" s="117"/>
      <c r="F306" s="118"/>
    </row>
    <row r="307" spans="2:9" s="110" customFormat="1" outlineLevel="1" x14ac:dyDescent="0.2">
      <c r="B307" s="60" t="s">
        <v>3924</v>
      </c>
      <c r="C307" s="490" t="s">
        <v>632</v>
      </c>
      <c r="D307" s="116" t="s">
        <v>260</v>
      </c>
      <c r="E307" s="117"/>
      <c r="F307" s="118"/>
    </row>
    <row r="308" spans="2:9" s="110" customFormat="1" outlineLevel="1" x14ac:dyDescent="0.2">
      <c r="B308" s="60" t="s">
        <v>3925</v>
      </c>
      <c r="C308" s="490" t="s">
        <v>633</v>
      </c>
      <c r="D308" s="116" t="s">
        <v>260</v>
      </c>
      <c r="E308" s="117"/>
      <c r="F308" s="118"/>
    </row>
    <row r="309" spans="2:9" s="104" customFormat="1" ht="15" customHeight="1" x14ac:dyDescent="0.2">
      <c r="B309" s="60" t="s">
        <v>3926</v>
      </c>
      <c r="C309" s="488">
        <v>3.3</v>
      </c>
      <c r="D309" s="125" t="s">
        <v>257</v>
      </c>
      <c r="E309" s="126">
        <f>SUM(E310:E329)</f>
        <v>0</v>
      </c>
      <c r="F309" s="127">
        <f>SUM(F310:F329)</f>
        <v>0</v>
      </c>
      <c r="G309" s="119"/>
      <c r="H309" s="119"/>
      <c r="I309" s="119"/>
    </row>
    <row r="310" spans="2:9" s="110" customFormat="1" outlineLevel="1" x14ac:dyDescent="0.2">
      <c r="B310" s="60" t="s">
        <v>3927</v>
      </c>
      <c r="C310" s="490" t="s">
        <v>1644</v>
      </c>
      <c r="D310" s="116" t="s">
        <v>260</v>
      </c>
      <c r="E310" s="117"/>
      <c r="F310" s="118"/>
    </row>
    <row r="311" spans="2:9" s="110" customFormat="1" outlineLevel="1" x14ac:dyDescent="0.2">
      <c r="B311" s="60" t="s">
        <v>3928</v>
      </c>
      <c r="C311" s="490" t="s">
        <v>1645</v>
      </c>
      <c r="D311" s="116" t="s">
        <v>260</v>
      </c>
      <c r="E311" s="117"/>
      <c r="F311" s="118"/>
    </row>
    <row r="312" spans="2:9" s="110" customFormat="1" outlineLevel="1" x14ac:dyDescent="0.2">
      <c r="B312" s="60" t="s">
        <v>3929</v>
      </c>
      <c r="C312" s="490" t="s">
        <v>1646</v>
      </c>
      <c r="D312" s="116" t="s">
        <v>260</v>
      </c>
      <c r="E312" s="117"/>
      <c r="F312" s="118"/>
    </row>
    <row r="313" spans="2:9" s="110" customFormat="1" outlineLevel="1" x14ac:dyDescent="0.2">
      <c r="B313" s="60" t="s">
        <v>3930</v>
      </c>
      <c r="C313" s="490" t="s">
        <v>1647</v>
      </c>
      <c r="D313" s="116" t="s">
        <v>260</v>
      </c>
      <c r="E313" s="117"/>
      <c r="F313" s="118"/>
    </row>
    <row r="314" spans="2:9" s="110" customFormat="1" outlineLevel="1" x14ac:dyDescent="0.2">
      <c r="B314" s="60" t="s">
        <v>3931</v>
      </c>
      <c r="C314" s="490" t="s">
        <v>1648</v>
      </c>
      <c r="D314" s="116" t="s">
        <v>260</v>
      </c>
      <c r="E314" s="117"/>
      <c r="F314" s="118"/>
    </row>
    <row r="315" spans="2:9" s="110" customFormat="1" outlineLevel="1" x14ac:dyDescent="0.2">
      <c r="B315" s="60" t="s">
        <v>3932</v>
      </c>
      <c r="C315" s="490" t="s">
        <v>1649</v>
      </c>
      <c r="D315" s="116" t="s">
        <v>260</v>
      </c>
      <c r="E315" s="117"/>
      <c r="F315" s="118"/>
    </row>
    <row r="316" spans="2:9" s="110" customFormat="1" outlineLevel="1" x14ac:dyDescent="0.2">
      <c r="B316" s="60" t="s">
        <v>3933</v>
      </c>
      <c r="C316" s="490" t="s">
        <v>1650</v>
      </c>
      <c r="D316" s="116" t="s">
        <v>260</v>
      </c>
      <c r="E316" s="117"/>
      <c r="F316" s="118"/>
    </row>
    <row r="317" spans="2:9" s="110" customFormat="1" outlineLevel="1" x14ac:dyDescent="0.2">
      <c r="B317" s="60" t="s">
        <v>3934</v>
      </c>
      <c r="C317" s="490" t="s">
        <v>1651</v>
      </c>
      <c r="D317" s="116" t="s">
        <v>260</v>
      </c>
      <c r="E317" s="117"/>
      <c r="F317" s="118"/>
    </row>
    <row r="318" spans="2:9" s="110" customFormat="1" outlineLevel="1" x14ac:dyDescent="0.2">
      <c r="B318" s="60" t="s">
        <v>3935</v>
      </c>
      <c r="C318" s="490" t="s">
        <v>1652</v>
      </c>
      <c r="D318" s="116" t="s">
        <v>260</v>
      </c>
      <c r="E318" s="117"/>
      <c r="F318" s="118"/>
    </row>
    <row r="319" spans="2:9" s="110" customFormat="1" outlineLevel="1" x14ac:dyDescent="0.2">
      <c r="B319" s="60" t="s">
        <v>3936</v>
      </c>
      <c r="C319" s="490" t="s">
        <v>1653</v>
      </c>
      <c r="D319" s="116" t="s">
        <v>260</v>
      </c>
      <c r="E319" s="117"/>
      <c r="F319" s="118"/>
    </row>
    <row r="320" spans="2:9" s="110" customFormat="1" outlineLevel="1" x14ac:dyDescent="0.2">
      <c r="B320" s="60" t="s">
        <v>3937</v>
      </c>
      <c r="C320" s="490" t="s">
        <v>1654</v>
      </c>
      <c r="D320" s="116" t="s">
        <v>260</v>
      </c>
      <c r="E320" s="117"/>
      <c r="F320" s="118"/>
    </row>
    <row r="321" spans="2:9" s="110" customFormat="1" outlineLevel="1" x14ac:dyDescent="0.2">
      <c r="B321" s="60" t="s">
        <v>3938</v>
      </c>
      <c r="C321" s="490" t="s">
        <v>1655</v>
      </c>
      <c r="D321" s="116" t="s">
        <v>260</v>
      </c>
      <c r="E321" s="117"/>
      <c r="F321" s="118"/>
    </row>
    <row r="322" spans="2:9" s="110" customFormat="1" outlineLevel="1" x14ac:dyDescent="0.2">
      <c r="B322" s="60" t="s">
        <v>3939</v>
      </c>
      <c r="C322" s="490" t="s">
        <v>1656</v>
      </c>
      <c r="D322" s="116" t="s">
        <v>260</v>
      </c>
      <c r="E322" s="117"/>
      <c r="F322" s="118"/>
    </row>
    <row r="323" spans="2:9" s="110" customFormat="1" outlineLevel="1" x14ac:dyDescent="0.2">
      <c r="B323" s="60" t="s">
        <v>3940</v>
      </c>
      <c r="C323" s="490" t="s">
        <v>1657</v>
      </c>
      <c r="D323" s="116" t="s">
        <v>260</v>
      </c>
      <c r="E323" s="117"/>
      <c r="F323" s="118"/>
    </row>
    <row r="324" spans="2:9" s="110" customFormat="1" outlineLevel="1" x14ac:dyDescent="0.2">
      <c r="B324" s="60" t="s">
        <v>3941</v>
      </c>
      <c r="C324" s="490" t="s">
        <v>1658</v>
      </c>
      <c r="D324" s="116" t="s">
        <v>260</v>
      </c>
      <c r="E324" s="117"/>
      <c r="F324" s="118"/>
    </row>
    <row r="325" spans="2:9" s="110" customFormat="1" outlineLevel="1" x14ac:dyDescent="0.2">
      <c r="B325" s="60" t="s">
        <v>3942</v>
      </c>
      <c r="C325" s="490" t="s">
        <v>1659</v>
      </c>
      <c r="D325" s="116" t="s">
        <v>260</v>
      </c>
      <c r="E325" s="117"/>
      <c r="F325" s="118"/>
    </row>
    <row r="326" spans="2:9" s="110" customFormat="1" outlineLevel="1" x14ac:dyDescent="0.2">
      <c r="B326" s="60" t="s">
        <v>3943</v>
      </c>
      <c r="C326" s="490" t="s">
        <v>1660</v>
      </c>
      <c r="D326" s="116" t="s">
        <v>260</v>
      </c>
      <c r="E326" s="117"/>
      <c r="F326" s="118"/>
    </row>
    <row r="327" spans="2:9" s="110" customFormat="1" outlineLevel="1" x14ac:dyDescent="0.2">
      <c r="B327" s="60" t="s">
        <v>3944</v>
      </c>
      <c r="C327" s="490" t="s">
        <v>1661</v>
      </c>
      <c r="D327" s="116" t="s">
        <v>260</v>
      </c>
      <c r="E327" s="117"/>
      <c r="F327" s="118"/>
    </row>
    <row r="328" spans="2:9" s="110" customFormat="1" outlineLevel="1" x14ac:dyDescent="0.2">
      <c r="B328" s="60" t="s">
        <v>3945</v>
      </c>
      <c r="C328" s="490" t="s">
        <v>1662</v>
      </c>
      <c r="D328" s="116" t="s">
        <v>260</v>
      </c>
      <c r="E328" s="117"/>
      <c r="F328" s="118"/>
    </row>
    <row r="329" spans="2:9" s="110" customFormat="1" outlineLevel="1" x14ac:dyDescent="0.2">
      <c r="B329" s="60" t="s">
        <v>3946</v>
      </c>
      <c r="C329" s="490" t="s">
        <v>1663</v>
      </c>
      <c r="D329" s="116" t="s">
        <v>260</v>
      </c>
      <c r="E329" s="117"/>
      <c r="F329" s="118"/>
    </row>
    <row r="330" spans="2:9" s="104" customFormat="1" x14ac:dyDescent="0.2">
      <c r="B330" s="60" t="s">
        <v>3947</v>
      </c>
      <c r="C330" s="488">
        <v>3.4</v>
      </c>
      <c r="D330" s="125" t="s">
        <v>265</v>
      </c>
      <c r="E330" s="126">
        <f>SUM(E331:E350)</f>
        <v>0</v>
      </c>
      <c r="F330" s="127">
        <f>SUM(F331:F350)</f>
        <v>0</v>
      </c>
      <c r="G330" s="119"/>
      <c r="H330" s="119"/>
      <c r="I330" s="119"/>
    </row>
    <row r="331" spans="2:9" s="110" customFormat="1" outlineLevel="1" x14ac:dyDescent="0.2">
      <c r="B331" s="60" t="s">
        <v>3948</v>
      </c>
      <c r="C331" s="490" t="s">
        <v>1664</v>
      </c>
      <c r="D331" s="116" t="s">
        <v>260</v>
      </c>
      <c r="E331" s="117"/>
      <c r="F331" s="118"/>
    </row>
    <row r="332" spans="2:9" s="110" customFormat="1" outlineLevel="1" x14ac:dyDescent="0.2">
      <c r="B332" s="60" t="s">
        <v>3949</v>
      </c>
      <c r="C332" s="490" t="s">
        <v>1665</v>
      </c>
      <c r="D332" s="116" t="s">
        <v>260</v>
      </c>
      <c r="E332" s="117"/>
      <c r="F332" s="118"/>
    </row>
    <row r="333" spans="2:9" s="110" customFormat="1" outlineLevel="1" x14ac:dyDescent="0.2">
      <c r="B333" s="60" t="s">
        <v>3950</v>
      </c>
      <c r="C333" s="490" t="s">
        <v>1666</v>
      </c>
      <c r="D333" s="116" t="s">
        <v>260</v>
      </c>
      <c r="E333" s="117"/>
      <c r="F333" s="118"/>
    </row>
    <row r="334" spans="2:9" s="110" customFormat="1" outlineLevel="1" x14ac:dyDescent="0.2">
      <c r="B334" s="60" t="s">
        <v>3951</v>
      </c>
      <c r="C334" s="490" t="s">
        <v>1667</v>
      </c>
      <c r="D334" s="116" t="s">
        <v>260</v>
      </c>
      <c r="E334" s="117"/>
      <c r="F334" s="118"/>
    </row>
    <row r="335" spans="2:9" s="110" customFormat="1" outlineLevel="1" x14ac:dyDescent="0.2">
      <c r="B335" s="60" t="s">
        <v>3952</v>
      </c>
      <c r="C335" s="490" t="s">
        <v>1668</v>
      </c>
      <c r="D335" s="116" t="s">
        <v>260</v>
      </c>
      <c r="E335" s="117"/>
      <c r="F335" s="118"/>
    </row>
    <row r="336" spans="2:9" s="110" customFormat="1" outlineLevel="1" x14ac:dyDescent="0.2">
      <c r="B336" s="60" t="s">
        <v>3953</v>
      </c>
      <c r="C336" s="490" t="s">
        <v>1669</v>
      </c>
      <c r="D336" s="116" t="s">
        <v>260</v>
      </c>
      <c r="E336" s="117"/>
      <c r="F336" s="118"/>
    </row>
    <row r="337" spans="2:9" s="110" customFormat="1" outlineLevel="1" x14ac:dyDescent="0.2">
      <c r="B337" s="60" t="s">
        <v>3954</v>
      </c>
      <c r="C337" s="490" t="s">
        <v>1670</v>
      </c>
      <c r="D337" s="116" t="s">
        <v>260</v>
      </c>
      <c r="E337" s="117"/>
      <c r="F337" s="118"/>
    </row>
    <row r="338" spans="2:9" s="110" customFormat="1" outlineLevel="1" x14ac:dyDescent="0.2">
      <c r="B338" s="60" t="s">
        <v>3955</v>
      </c>
      <c r="C338" s="490" t="s">
        <v>1671</v>
      </c>
      <c r="D338" s="116" t="s">
        <v>260</v>
      </c>
      <c r="E338" s="117"/>
      <c r="F338" s="118"/>
    </row>
    <row r="339" spans="2:9" s="110" customFormat="1" outlineLevel="1" x14ac:dyDescent="0.2">
      <c r="B339" s="60" t="s">
        <v>3956</v>
      </c>
      <c r="C339" s="490" t="s">
        <v>1672</v>
      </c>
      <c r="D339" s="116" t="s">
        <v>260</v>
      </c>
      <c r="E339" s="117"/>
      <c r="F339" s="118"/>
    </row>
    <row r="340" spans="2:9" s="110" customFormat="1" outlineLevel="1" x14ac:dyDescent="0.2">
      <c r="B340" s="60" t="s">
        <v>3957</v>
      </c>
      <c r="C340" s="490" t="s">
        <v>1673</v>
      </c>
      <c r="D340" s="116" t="s">
        <v>260</v>
      </c>
      <c r="E340" s="117"/>
      <c r="F340" s="118"/>
    </row>
    <row r="341" spans="2:9" s="110" customFormat="1" outlineLevel="1" x14ac:dyDescent="0.2">
      <c r="B341" s="60" t="s">
        <v>3958</v>
      </c>
      <c r="C341" s="490" t="s">
        <v>1674</v>
      </c>
      <c r="D341" s="116" t="s">
        <v>260</v>
      </c>
      <c r="E341" s="117"/>
      <c r="F341" s="118"/>
    </row>
    <row r="342" spans="2:9" s="110" customFormat="1" outlineLevel="1" x14ac:dyDescent="0.2">
      <c r="B342" s="60" t="s">
        <v>3959</v>
      </c>
      <c r="C342" s="490" t="s">
        <v>1675</v>
      </c>
      <c r="D342" s="116" t="s">
        <v>260</v>
      </c>
      <c r="E342" s="117"/>
      <c r="F342" s="118"/>
    </row>
    <row r="343" spans="2:9" s="110" customFormat="1" outlineLevel="1" x14ac:dyDescent="0.2">
      <c r="B343" s="60" t="s">
        <v>3960</v>
      </c>
      <c r="C343" s="490" t="s">
        <v>1676</v>
      </c>
      <c r="D343" s="116" t="s">
        <v>260</v>
      </c>
      <c r="E343" s="117"/>
      <c r="F343" s="118"/>
    </row>
    <row r="344" spans="2:9" s="110" customFormat="1" outlineLevel="1" x14ac:dyDescent="0.2">
      <c r="B344" s="60" t="s">
        <v>3961</v>
      </c>
      <c r="C344" s="490" t="s">
        <v>1677</v>
      </c>
      <c r="D344" s="116" t="s">
        <v>260</v>
      </c>
      <c r="E344" s="117"/>
      <c r="F344" s="118"/>
    </row>
    <row r="345" spans="2:9" s="110" customFormat="1" outlineLevel="1" x14ac:dyDescent="0.2">
      <c r="B345" s="60" t="s">
        <v>3962</v>
      </c>
      <c r="C345" s="490" t="s">
        <v>1678</v>
      </c>
      <c r="D345" s="116" t="s">
        <v>260</v>
      </c>
      <c r="E345" s="117"/>
      <c r="F345" s="118"/>
    </row>
    <row r="346" spans="2:9" s="110" customFormat="1" outlineLevel="1" x14ac:dyDescent="0.2">
      <c r="B346" s="60" t="s">
        <v>3963</v>
      </c>
      <c r="C346" s="490" t="s">
        <v>1679</v>
      </c>
      <c r="D346" s="116" t="s">
        <v>260</v>
      </c>
      <c r="E346" s="117"/>
      <c r="F346" s="118"/>
    </row>
    <row r="347" spans="2:9" s="110" customFormat="1" outlineLevel="1" x14ac:dyDescent="0.2">
      <c r="B347" s="60" t="s">
        <v>3964</v>
      </c>
      <c r="C347" s="490" t="s">
        <v>1680</v>
      </c>
      <c r="D347" s="116" t="s">
        <v>260</v>
      </c>
      <c r="E347" s="117"/>
      <c r="F347" s="118"/>
    </row>
    <row r="348" spans="2:9" s="110" customFormat="1" outlineLevel="1" x14ac:dyDescent="0.2">
      <c r="B348" s="60" t="s">
        <v>3965</v>
      </c>
      <c r="C348" s="490" t="s">
        <v>1681</v>
      </c>
      <c r="D348" s="116" t="s">
        <v>260</v>
      </c>
      <c r="E348" s="117"/>
      <c r="F348" s="118"/>
    </row>
    <row r="349" spans="2:9" s="110" customFormat="1" outlineLevel="1" x14ac:dyDescent="0.2">
      <c r="B349" s="60" t="s">
        <v>3966</v>
      </c>
      <c r="C349" s="490" t="s">
        <v>1682</v>
      </c>
      <c r="D349" s="116" t="s">
        <v>260</v>
      </c>
      <c r="E349" s="117"/>
      <c r="F349" s="118"/>
    </row>
    <row r="350" spans="2:9" s="110" customFormat="1" outlineLevel="1" x14ac:dyDescent="0.2">
      <c r="B350" s="60" t="s">
        <v>3967</v>
      </c>
      <c r="C350" s="490" t="s">
        <v>1683</v>
      </c>
      <c r="D350" s="116" t="s">
        <v>260</v>
      </c>
      <c r="E350" s="117"/>
      <c r="F350" s="118"/>
    </row>
    <row r="351" spans="2:9" s="104" customFormat="1" x14ac:dyDescent="0.2">
      <c r="B351" s="60" t="s">
        <v>3968</v>
      </c>
      <c r="C351" s="488">
        <v>3.5</v>
      </c>
      <c r="D351" s="125" t="s">
        <v>254</v>
      </c>
      <c r="E351" s="126">
        <f>SUM(E352:E371)</f>
        <v>0</v>
      </c>
      <c r="F351" s="127">
        <f>SUM(F352:F371)</f>
        <v>0</v>
      </c>
      <c r="G351" s="119"/>
      <c r="H351" s="119"/>
      <c r="I351" s="119"/>
    </row>
    <row r="352" spans="2:9" s="110" customFormat="1" outlineLevel="1" x14ac:dyDescent="0.2">
      <c r="B352" s="60" t="s">
        <v>3969</v>
      </c>
      <c r="C352" s="490" t="s">
        <v>2431</v>
      </c>
      <c r="D352" s="116" t="s">
        <v>260</v>
      </c>
      <c r="E352" s="117"/>
      <c r="F352" s="118"/>
    </row>
    <row r="353" spans="2:6" s="110" customFormat="1" outlineLevel="1" x14ac:dyDescent="0.2">
      <c r="B353" s="60" t="s">
        <v>3970</v>
      </c>
      <c r="C353" s="490" t="s">
        <v>2432</v>
      </c>
      <c r="D353" s="116" t="s">
        <v>260</v>
      </c>
      <c r="E353" s="117"/>
      <c r="F353" s="118"/>
    </row>
    <row r="354" spans="2:6" s="110" customFormat="1" outlineLevel="1" x14ac:dyDescent="0.2">
      <c r="B354" s="60" t="s">
        <v>3971</v>
      </c>
      <c r="C354" s="490" t="s">
        <v>2433</v>
      </c>
      <c r="D354" s="116" t="s">
        <v>260</v>
      </c>
      <c r="E354" s="117"/>
      <c r="F354" s="118"/>
    </row>
    <row r="355" spans="2:6" s="110" customFormat="1" outlineLevel="1" x14ac:dyDescent="0.2">
      <c r="B355" s="60" t="s">
        <v>3972</v>
      </c>
      <c r="C355" s="490" t="s">
        <v>2434</v>
      </c>
      <c r="D355" s="116" t="s">
        <v>260</v>
      </c>
      <c r="E355" s="117"/>
      <c r="F355" s="118"/>
    </row>
    <row r="356" spans="2:6" s="110" customFormat="1" outlineLevel="1" x14ac:dyDescent="0.2">
      <c r="B356" s="60" t="s">
        <v>3973</v>
      </c>
      <c r="C356" s="490" t="s">
        <v>2435</v>
      </c>
      <c r="D356" s="116" t="s">
        <v>260</v>
      </c>
      <c r="E356" s="117"/>
      <c r="F356" s="118"/>
    </row>
    <row r="357" spans="2:6" s="110" customFormat="1" outlineLevel="1" x14ac:dyDescent="0.2">
      <c r="B357" s="60" t="s">
        <v>3974</v>
      </c>
      <c r="C357" s="490" t="s">
        <v>2436</v>
      </c>
      <c r="D357" s="116" t="s">
        <v>260</v>
      </c>
      <c r="E357" s="117"/>
      <c r="F357" s="118"/>
    </row>
    <row r="358" spans="2:6" s="110" customFormat="1" outlineLevel="1" x14ac:dyDescent="0.2">
      <c r="B358" s="60" t="s">
        <v>3975</v>
      </c>
      <c r="C358" s="490" t="s">
        <v>2437</v>
      </c>
      <c r="D358" s="116" t="s">
        <v>260</v>
      </c>
      <c r="E358" s="117"/>
      <c r="F358" s="118"/>
    </row>
    <row r="359" spans="2:6" s="110" customFormat="1" outlineLevel="1" x14ac:dyDescent="0.2">
      <c r="B359" s="60" t="s">
        <v>3976</v>
      </c>
      <c r="C359" s="490" t="s">
        <v>2438</v>
      </c>
      <c r="D359" s="116" t="s">
        <v>260</v>
      </c>
      <c r="E359" s="117"/>
      <c r="F359" s="118"/>
    </row>
    <row r="360" spans="2:6" s="110" customFormat="1" outlineLevel="1" x14ac:dyDescent="0.2">
      <c r="B360" s="60" t="s">
        <v>3977</v>
      </c>
      <c r="C360" s="490" t="s">
        <v>2439</v>
      </c>
      <c r="D360" s="116" t="s">
        <v>260</v>
      </c>
      <c r="E360" s="117"/>
      <c r="F360" s="118"/>
    </row>
    <row r="361" spans="2:6" s="110" customFormat="1" outlineLevel="1" x14ac:dyDescent="0.2">
      <c r="B361" s="60" t="s">
        <v>3978</v>
      </c>
      <c r="C361" s="490" t="s">
        <v>2440</v>
      </c>
      <c r="D361" s="116" t="s">
        <v>260</v>
      </c>
      <c r="E361" s="117"/>
      <c r="F361" s="118"/>
    </row>
    <row r="362" spans="2:6" s="110" customFormat="1" outlineLevel="1" x14ac:dyDescent="0.2">
      <c r="B362" s="60" t="s">
        <v>3979</v>
      </c>
      <c r="C362" s="490" t="s">
        <v>2441</v>
      </c>
      <c r="D362" s="116" t="s">
        <v>260</v>
      </c>
      <c r="E362" s="117"/>
      <c r="F362" s="118"/>
    </row>
    <row r="363" spans="2:6" s="110" customFormat="1" outlineLevel="1" x14ac:dyDescent="0.2">
      <c r="B363" s="60" t="s">
        <v>3980</v>
      </c>
      <c r="C363" s="490" t="s">
        <v>2442</v>
      </c>
      <c r="D363" s="116" t="s">
        <v>260</v>
      </c>
      <c r="E363" s="117"/>
      <c r="F363" s="118"/>
    </row>
    <row r="364" spans="2:6" s="110" customFormat="1" outlineLevel="1" x14ac:dyDescent="0.2">
      <c r="B364" s="60" t="s">
        <v>3981</v>
      </c>
      <c r="C364" s="490" t="s">
        <v>2443</v>
      </c>
      <c r="D364" s="116" t="s">
        <v>260</v>
      </c>
      <c r="E364" s="117"/>
      <c r="F364" s="118"/>
    </row>
    <row r="365" spans="2:6" s="110" customFormat="1" outlineLevel="1" x14ac:dyDescent="0.2">
      <c r="B365" s="60" t="s">
        <v>3982</v>
      </c>
      <c r="C365" s="490" t="s">
        <v>2444</v>
      </c>
      <c r="D365" s="116" t="s">
        <v>260</v>
      </c>
      <c r="E365" s="117"/>
      <c r="F365" s="118"/>
    </row>
    <row r="366" spans="2:6" s="110" customFormat="1" outlineLevel="1" x14ac:dyDescent="0.2">
      <c r="B366" s="60" t="s">
        <v>3983</v>
      </c>
      <c r="C366" s="490" t="s">
        <v>2445</v>
      </c>
      <c r="D366" s="116" t="s">
        <v>260</v>
      </c>
      <c r="E366" s="117"/>
      <c r="F366" s="118"/>
    </row>
    <row r="367" spans="2:6" s="110" customFormat="1" outlineLevel="1" x14ac:dyDescent="0.2">
      <c r="B367" s="60" t="s">
        <v>3984</v>
      </c>
      <c r="C367" s="490" t="s">
        <v>2446</v>
      </c>
      <c r="D367" s="116" t="s">
        <v>260</v>
      </c>
      <c r="E367" s="117"/>
      <c r="F367" s="118"/>
    </row>
    <row r="368" spans="2:6" s="110" customFormat="1" outlineLevel="1" x14ac:dyDescent="0.2">
      <c r="B368" s="60" t="s">
        <v>3985</v>
      </c>
      <c r="C368" s="490" t="s">
        <v>2447</v>
      </c>
      <c r="D368" s="116" t="s">
        <v>260</v>
      </c>
      <c r="E368" s="117"/>
      <c r="F368" s="118"/>
    </row>
    <row r="369" spans="2:9" s="110" customFormat="1" outlineLevel="1" x14ac:dyDescent="0.2">
      <c r="B369" s="60" t="s">
        <v>3986</v>
      </c>
      <c r="C369" s="490" t="s">
        <v>2448</v>
      </c>
      <c r="D369" s="116" t="s">
        <v>260</v>
      </c>
      <c r="E369" s="117"/>
      <c r="F369" s="118"/>
    </row>
    <row r="370" spans="2:9" s="110" customFormat="1" outlineLevel="1" x14ac:dyDescent="0.2">
      <c r="B370" s="60" t="s">
        <v>3987</v>
      </c>
      <c r="C370" s="490" t="s">
        <v>2449</v>
      </c>
      <c r="D370" s="116" t="s">
        <v>260</v>
      </c>
      <c r="E370" s="117"/>
      <c r="F370" s="118"/>
    </row>
    <row r="371" spans="2:9" s="110" customFormat="1" outlineLevel="1" x14ac:dyDescent="0.2">
      <c r="B371" s="60" t="s">
        <v>3988</v>
      </c>
      <c r="C371" s="490" t="s">
        <v>2450</v>
      </c>
      <c r="D371" s="116" t="s">
        <v>260</v>
      </c>
      <c r="E371" s="117"/>
      <c r="F371" s="118"/>
    </row>
    <row r="372" spans="2:9" s="104" customFormat="1" x14ac:dyDescent="0.2">
      <c r="B372" s="60" t="s">
        <v>3989</v>
      </c>
      <c r="C372" s="488">
        <v>3.6</v>
      </c>
      <c r="D372" s="125" t="s">
        <v>266</v>
      </c>
      <c r="E372" s="126">
        <f>SUM(E373:E392)</f>
        <v>0</v>
      </c>
      <c r="F372" s="127">
        <f>SUM(F373:F392)</f>
        <v>0</v>
      </c>
      <c r="G372" s="119"/>
      <c r="H372" s="119"/>
      <c r="I372" s="119"/>
    </row>
    <row r="373" spans="2:9" s="110" customFormat="1" outlineLevel="1" x14ac:dyDescent="0.2">
      <c r="B373" s="60" t="s">
        <v>3990</v>
      </c>
      <c r="C373" s="490" t="s">
        <v>2451</v>
      </c>
      <c r="D373" s="116" t="s">
        <v>260</v>
      </c>
      <c r="E373" s="117"/>
      <c r="F373" s="118"/>
    </row>
    <row r="374" spans="2:9" s="110" customFormat="1" outlineLevel="1" x14ac:dyDescent="0.2">
      <c r="B374" s="60" t="s">
        <v>3991</v>
      </c>
      <c r="C374" s="490" t="s">
        <v>2452</v>
      </c>
      <c r="D374" s="116" t="s">
        <v>260</v>
      </c>
      <c r="E374" s="117"/>
      <c r="F374" s="118"/>
    </row>
    <row r="375" spans="2:9" s="110" customFormat="1" outlineLevel="1" x14ac:dyDescent="0.2">
      <c r="B375" s="60" t="s">
        <v>3992</v>
      </c>
      <c r="C375" s="490" t="s">
        <v>2453</v>
      </c>
      <c r="D375" s="116" t="s">
        <v>260</v>
      </c>
      <c r="E375" s="117"/>
      <c r="F375" s="118"/>
    </row>
    <row r="376" spans="2:9" s="110" customFormat="1" outlineLevel="1" x14ac:dyDescent="0.2">
      <c r="B376" s="60" t="s">
        <v>3993</v>
      </c>
      <c r="C376" s="490" t="s">
        <v>2454</v>
      </c>
      <c r="D376" s="116" t="s">
        <v>260</v>
      </c>
      <c r="E376" s="117"/>
      <c r="F376" s="118"/>
    </row>
    <row r="377" spans="2:9" s="110" customFormat="1" outlineLevel="1" x14ac:dyDescent="0.2">
      <c r="B377" s="60" t="s">
        <v>3994</v>
      </c>
      <c r="C377" s="490" t="s">
        <v>2455</v>
      </c>
      <c r="D377" s="116" t="s">
        <v>260</v>
      </c>
      <c r="E377" s="117"/>
      <c r="F377" s="118"/>
    </row>
    <row r="378" spans="2:9" s="110" customFormat="1" outlineLevel="1" x14ac:dyDescent="0.2">
      <c r="B378" s="60" t="s">
        <v>3995</v>
      </c>
      <c r="C378" s="490" t="s">
        <v>2456</v>
      </c>
      <c r="D378" s="116" t="s">
        <v>260</v>
      </c>
      <c r="E378" s="117"/>
      <c r="F378" s="118"/>
    </row>
    <row r="379" spans="2:9" s="110" customFormat="1" outlineLevel="1" x14ac:dyDescent="0.2">
      <c r="B379" s="60" t="s">
        <v>3996</v>
      </c>
      <c r="C379" s="490" t="s">
        <v>2457</v>
      </c>
      <c r="D379" s="116" t="s">
        <v>260</v>
      </c>
      <c r="E379" s="117"/>
      <c r="F379" s="118"/>
    </row>
    <row r="380" spans="2:9" s="110" customFormat="1" outlineLevel="1" x14ac:dyDescent="0.2">
      <c r="B380" s="60" t="s">
        <v>3997</v>
      </c>
      <c r="C380" s="490" t="s">
        <v>2458</v>
      </c>
      <c r="D380" s="116" t="s">
        <v>260</v>
      </c>
      <c r="E380" s="117"/>
      <c r="F380" s="118"/>
    </row>
    <row r="381" spans="2:9" s="110" customFormat="1" outlineLevel="1" x14ac:dyDescent="0.2">
      <c r="B381" s="60" t="s">
        <v>3998</v>
      </c>
      <c r="C381" s="490" t="s">
        <v>2459</v>
      </c>
      <c r="D381" s="116" t="s">
        <v>260</v>
      </c>
      <c r="E381" s="117"/>
      <c r="F381" s="118"/>
    </row>
    <row r="382" spans="2:9" s="110" customFormat="1" outlineLevel="1" x14ac:dyDescent="0.2">
      <c r="B382" s="60" t="s">
        <v>3999</v>
      </c>
      <c r="C382" s="490" t="s">
        <v>2460</v>
      </c>
      <c r="D382" s="116" t="s">
        <v>260</v>
      </c>
      <c r="E382" s="117"/>
      <c r="F382" s="118"/>
    </row>
    <row r="383" spans="2:9" s="110" customFormat="1" outlineLevel="1" x14ac:dyDescent="0.2">
      <c r="B383" s="60" t="s">
        <v>4000</v>
      </c>
      <c r="C383" s="490" t="s">
        <v>2461</v>
      </c>
      <c r="D383" s="116" t="s">
        <v>260</v>
      </c>
      <c r="E383" s="117"/>
      <c r="F383" s="118"/>
    </row>
    <row r="384" spans="2:9" s="110" customFormat="1" outlineLevel="1" x14ac:dyDescent="0.2">
      <c r="B384" s="60" t="s">
        <v>4001</v>
      </c>
      <c r="C384" s="490" t="s">
        <v>2462</v>
      </c>
      <c r="D384" s="116" t="s">
        <v>260</v>
      </c>
      <c r="E384" s="117"/>
      <c r="F384" s="118"/>
    </row>
    <row r="385" spans="2:6" s="110" customFormat="1" outlineLevel="1" x14ac:dyDescent="0.2">
      <c r="B385" s="60" t="s">
        <v>4002</v>
      </c>
      <c r="C385" s="490" t="s">
        <v>2463</v>
      </c>
      <c r="D385" s="116" t="s">
        <v>260</v>
      </c>
      <c r="E385" s="117"/>
      <c r="F385" s="118"/>
    </row>
    <row r="386" spans="2:6" s="110" customFormat="1" outlineLevel="1" x14ac:dyDescent="0.2">
      <c r="B386" s="60" t="s">
        <v>4003</v>
      </c>
      <c r="C386" s="490" t="s">
        <v>2464</v>
      </c>
      <c r="D386" s="116" t="s">
        <v>260</v>
      </c>
      <c r="E386" s="117"/>
      <c r="F386" s="118"/>
    </row>
    <row r="387" spans="2:6" s="110" customFormat="1" outlineLevel="1" x14ac:dyDescent="0.2">
      <c r="B387" s="60" t="s">
        <v>4004</v>
      </c>
      <c r="C387" s="490" t="s">
        <v>2465</v>
      </c>
      <c r="D387" s="116" t="s">
        <v>260</v>
      </c>
      <c r="E387" s="117"/>
      <c r="F387" s="118"/>
    </row>
    <row r="388" spans="2:6" s="110" customFormat="1" outlineLevel="1" x14ac:dyDescent="0.2">
      <c r="B388" s="60" t="s">
        <v>4005</v>
      </c>
      <c r="C388" s="490" t="s">
        <v>2466</v>
      </c>
      <c r="D388" s="116" t="s">
        <v>260</v>
      </c>
      <c r="E388" s="117"/>
      <c r="F388" s="118"/>
    </row>
    <row r="389" spans="2:6" s="110" customFormat="1" outlineLevel="1" x14ac:dyDescent="0.2">
      <c r="B389" s="60" t="s">
        <v>4006</v>
      </c>
      <c r="C389" s="490" t="s">
        <v>2467</v>
      </c>
      <c r="D389" s="116" t="s">
        <v>260</v>
      </c>
      <c r="E389" s="117"/>
      <c r="F389" s="118"/>
    </row>
    <row r="390" spans="2:6" s="110" customFormat="1" outlineLevel="1" x14ac:dyDescent="0.2">
      <c r="B390" s="60" t="s">
        <v>4007</v>
      </c>
      <c r="C390" s="490" t="s">
        <v>2468</v>
      </c>
      <c r="D390" s="116" t="s">
        <v>260</v>
      </c>
      <c r="E390" s="117"/>
      <c r="F390" s="118"/>
    </row>
    <row r="391" spans="2:6" s="110" customFormat="1" outlineLevel="1" x14ac:dyDescent="0.2">
      <c r="B391" s="60" t="s">
        <v>4008</v>
      </c>
      <c r="C391" s="490" t="s">
        <v>2469</v>
      </c>
      <c r="D391" s="116" t="s">
        <v>260</v>
      </c>
      <c r="E391" s="117"/>
      <c r="F391" s="118"/>
    </row>
    <row r="392" spans="2:6" s="110" customFormat="1" outlineLevel="1" x14ac:dyDescent="0.2">
      <c r="B392" s="60" t="s">
        <v>4009</v>
      </c>
      <c r="C392" s="490" t="s">
        <v>2470</v>
      </c>
      <c r="D392" s="116" t="s">
        <v>260</v>
      </c>
      <c r="E392" s="117"/>
      <c r="F392" s="118"/>
    </row>
    <row r="393" spans="2:6" s="119" customFormat="1" ht="15" customHeight="1" x14ac:dyDescent="0.2">
      <c r="B393" s="60" t="s">
        <v>4010</v>
      </c>
      <c r="C393" s="489">
        <v>4</v>
      </c>
      <c r="D393" s="122" t="s">
        <v>267</v>
      </c>
      <c r="E393" s="123">
        <f>E394+E415</f>
        <v>0</v>
      </c>
      <c r="F393" s="124">
        <f>F394+F415</f>
        <v>0</v>
      </c>
    </row>
    <row r="394" spans="2:6" s="104" customFormat="1" x14ac:dyDescent="0.2">
      <c r="B394" s="60" t="s">
        <v>4011</v>
      </c>
      <c r="C394" s="488">
        <v>4.0999999999999996</v>
      </c>
      <c r="D394" s="125" t="s">
        <v>250</v>
      </c>
      <c r="E394" s="126">
        <f>SUM(E395:E414)</f>
        <v>0</v>
      </c>
      <c r="F394" s="127">
        <f>SUM(F395:F414)</f>
        <v>0</v>
      </c>
    </row>
    <row r="395" spans="2:6" s="110" customFormat="1" outlineLevel="1" x14ac:dyDescent="0.2">
      <c r="B395" s="60" t="s">
        <v>4012</v>
      </c>
      <c r="C395" s="490" t="s">
        <v>443</v>
      </c>
      <c r="D395" s="111" t="s">
        <v>263</v>
      </c>
      <c r="E395" s="117"/>
      <c r="F395" s="118"/>
    </row>
    <row r="396" spans="2:6" s="110" customFormat="1" outlineLevel="1" x14ac:dyDescent="0.2">
      <c r="B396" s="60" t="s">
        <v>4013</v>
      </c>
      <c r="C396" s="490" t="s">
        <v>442</v>
      </c>
      <c r="D396" s="111" t="s">
        <v>263</v>
      </c>
      <c r="E396" s="117"/>
      <c r="F396" s="118"/>
    </row>
    <row r="397" spans="2:6" s="110" customFormat="1" outlineLevel="1" x14ac:dyDescent="0.2">
      <c r="B397" s="60" t="s">
        <v>4014</v>
      </c>
      <c r="C397" s="490" t="s">
        <v>460</v>
      </c>
      <c r="D397" s="111" t="s">
        <v>263</v>
      </c>
      <c r="E397" s="117"/>
      <c r="F397" s="118"/>
    </row>
    <row r="398" spans="2:6" s="110" customFormat="1" outlineLevel="1" x14ac:dyDescent="0.2">
      <c r="B398" s="60" t="s">
        <v>4015</v>
      </c>
      <c r="C398" s="490" t="s">
        <v>634</v>
      </c>
      <c r="D398" s="111" t="s">
        <v>263</v>
      </c>
      <c r="E398" s="117"/>
      <c r="F398" s="118"/>
    </row>
    <row r="399" spans="2:6" s="110" customFormat="1" outlineLevel="1" x14ac:dyDescent="0.2">
      <c r="B399" s="60" t="s">
        <v>4016</v>
      </c>
      <c r="C399" s="490" t="s">
        <v>635</v>
      </c>
      <c r="D399" s="111" t="s">
        <v>263</v>
      </c>
      <c r="E399" s="117"/>
      <c r="F399" s="118"/>
    </row>
    <row r="400" spans="2:6" s="110" customFormat="1" outlineLevel="1" x14ac:dyDescent="0.2">
      <c r="B400" s="60" t="s">
        <v>4017</v>
      </c>
      <c r="C400" s="490" t="s">
        <v>636</v>
      </c>
      <c r="D400" s="111" t="s">
        <v>263</v>
      </c>
      <c r="E400" s="117"/>
      <c r="F400" s="118"/>
    </row>
    <row r="401" spans="2:6" s="110" customFormat="1" outlineLevel="1" x14ac:dyDescent="0.2">
      <c r="B401" s="60" t="s">
        <v>4018</v>
      </c>
      <c r="C401" s="490" t="s">
        <v>637</v>
      </c>
      <c r="D401" s="111" t="s">
        <v>263</v>
      </c>
      <c r="E401" s="117"/>
      <c r="F401" s="118"/>
    </row>
    <row r="402" spans="2:6" s="110" customFormat="1" outlineLevel="1" x14ac:dyDescent="0.2">
      <c r="B402" s="60" t="s">
        <v>4019</v>
      </c>
      <c r="C402" s="490" t="s">
        <v>638</v>
      </c>
      <c r="D402" s="111" t="s">
        <v>263</v>
      </c>
      <c r="E402" s="117"/>
      <c r="F402" s="118"/>
    </row>
    <row r="403" spans="2:6" s="110" customFormat="1" outlineLevel="1" x14ac:dyDescent="0.2">
      <c r="B403" s="60" t="s">
        <v>4020</v>
      </c>
      <c r="C403" s="490" t="s">
        <v>639</v>
      </c>
      <c r="D403" s="111" t="s">
        <v>263</v>
      </c>
      <c r="E403" s="117"/>
      <c r="F403" s="118"/>
    </row>
    <row r="404" spans="2:6" s="110" customFormat="1" outlineLevel="1" x14ac:dyDescent="0.2">
      <c r="B404" s="60" t="s">
        <v>4021</v>
      </c>
      <c r="C404" s="490" t="s">
        <v>640</v>
      </c>
      <c r="D404" s="111" t="s">
        <v>263</v>
      </c>
      <c r="E404" s="117"/>
      <c r="F404" s="118"/>
    </row>
    <row r="405" spans="2:6" s="110" customFormat="1" outlineLevel="1" x14ac:dyDescent="0.2">
      <c r="B405" s="60" t="s">
        <v>4022</v>
      </c>
      <c r="C405" s="490" t="s">
        <v>641</v>
      </c>
      <c r="D405" s="111" t="s">
        <v>263</v>
      </c>
      <c r="E405" s="117"/>
      <c r="F405" s="118"/>
    </row>
    <row r="406" spans="2:6" s="110" customFormat="1" outlineLevel="1" x14ac:dyDescent="0.2">
      <c r="B406" s="60" t="s">
        <v>4023</v>
      </c>
      <c r="C406" s="490" t="s">
        <v>642</v>
      </c>
      <c r="D406" s="111" t="s">
        <v>263</v>
      </c>
      <c r="E406" s="117"/>
      <c r="F406" s="118"/>
    </row>
    <row r="407" spans="2:6" s="110" customFormat="1" outlineLevel="1" x14ac:dyDescent="0.2">
      <c r="B407" s="60" t="s">
        <v>4024</v>
      </c>
      <c r="C407" s="490" t="s">
        <v>643</v>
      </c>
      <c r="D407" s="111" t="s">
        <v>263</v>
      </c>
      <c r="E407" s="117"/>
      <c r="F407" s="118"/>
    </row>
    <row r="408" spans="2:6" s="110" customFormat="1" outlineLevel="1" x14ac:dyDescent="0.2">
      <c r="B408" s="60" t="s">
        <v>4025</v>
      </c>
      <c r="C408" s="490" t="s">
        <v>644</v>
      </c>
      <c r="D408" s="111" t="s">
        <v>263</v>
      </c>
      <c r="E408" s="117"/>
      <c r="F408" s="118"/>
    </row>
    <row r="409" spans="2:6" s="110" customFormat="1" outlineLevel="1" x14ac:dyDescent="0.2">
      <c r="B409" s="60" t="s">
        <v>4026</v>
      </c>
      <c r="C409" s="490" t="s">
        <v>645</v>
      </c>
      <c r="D409" s="111" t="s">
        <v>263</v>
      </c>
      <c r="E409" s="117"/>
      <c r="F409" s="118"/>
    </row>
    <row r="410" spans="2:6" s="110" customFormat="1" outlineLevel="1" x14ac:dyDescent="0.2">
      <c r="B410" s="60" t="s">
        <v>4027</v>
      </c>
      <c r="C410" s="490" t="s">
        <v>646</v>
      </c>
      <c r="D410" s="111" t="s">
        <v>263</v>
      </c>
      <c r="E410" s="117"/>
      <c r="F410" s="118"/>
    </row>
    <row r="411" spans="2:6" s="110" customFormat="1" outlineLevel="1" x14ac:dyDescent="0.2">
      <c r="B411" s="60" t="s">
        <v>4028</v>
      </c>
      <c r="C411" s="490" t="s">
        <v>647</v>
      </c>
      <c r="D411" s="111" t="s">
        <v>263</v>
      </c>
      <c r="E411" s="117"/>
      <c r="F411" s="118"/>
    </row>
    <row r="412" spans="2:6" s="110" customFormat="1" outlineLevel="1" x14ac:dyDescent="0.2">
      <c r="B412" s="60" t="s">
        <v>4029</v>
      </c>
      <c r="C412" s="490" t="s">
        <v>648</v>
      </c>
      <c r="D412" s="111" t="s">
        <v>263</v>
      </c>
      <c r="E412" s="117"/>
      <c r="F412" s="118"/>
    </row>
    <row r="413" spans="2:6" s="110" customFormat="1" outlineLevel="1" x14ac:dyDescent="0.2">
      <c r="B413" s="60" t="s">
        <v>4030</v>
      </c>
      <c r="C413" s="490" t="s">
        <v>649</v>
      </c>
      <c r="D413" s="111" t="s">
        <v>263</v>
      </c>
      <c r="E413" s="117"/>
      <c r="F413" s="118"/>
    </row>
    <row r="414" spans="2:6" s="110" customFormat="1" outlineLevel="1" x14ac:dyDescent="0.2">
      <c r="B414" s="60" t="s">
        <v>4031</v>
      </c>
      <c r="C414" s="490" t="s">
        <v>650</v>
      </c>
      <c r="D414" s="111" t="s">
        <v>263</v>
      </c>
      <c r="E414" s="117"/>
      <c r="F414" s="118"/>
    </row>
    <row r="415" spans="2:6" s="104" customFormat="1" x14ac:dyDescent="0.2">
      <c r="B415" s="60" t="s">
        <v>4032</v>
      </c>
      <c r="C415" s="488" t="s">
        <v>428</v>
      </c>
      <c r="D415" s="125" t="s">
        <v>254</v>
      </c>
      <c r="E415" s="126">
        <f>SUM(E416:E435)</f>
        <v>0</v>
      </c>
      <c r="F415" s="127">
        <f>SUM(F416:F435)</f>
        <v>0</v>
      </c>
    </row>
    <row r="416" spans="2:6" s="110" customFormat="1" outlineLevel="1" x14ac:dyDescent="0.2">
      <c r="B416" s="60" t="s">
        <v>4033</v>
      </c>
      <c r="C416" s="490" t="s">
        <v>444</v>
      </c>
      <c r="D416" s="111" t="s">
        <v>263</v>
      </c>
      <c r="E416" s="117"/>
      <c r="F416" s="118"/>
    </row>
    <row r="417" spans="2:6" s="110" customFormat="1" outlineLevel="1" x14ac:dyDescent="0.2">
      <c r="B417" s="60" t="s">
        <v>4034</v>
      </c>
      <c r="C417" s="490" t="s">
        <v>445</v>
      </c>
      <c r="D417" s="111" t="s">
        <v>263</v>
      </c>
      <c r="E417" s="117"/>
      <c r="F417" s="118"/>
    </row>
    <row r="418" spans="2:6" s="110" customFormat="1" outlineLevel="1" x14ac:dyDescent="0.2">
      <c r="B418" s="60" t="s">
        <v>4035</v>
      </c>
      <c r="C418" s="490" t="s">
        <v>461</v>
      </c>
      <c r="D418" s="111" t="s">
        <v>263</v>
      </c>
      <c r="E418" s="117"/>
      <c r="F418" s="118"/>
    </row>
    <row r="419" spans="2:6" s="110" customFormat="1" outlineLevel="1" x14ac:dyDescent="0.2">
      <c r="B419" s="60" t="s">
        <v>4036</v>
      </c>
      <c r="C419" s="490" t="s">
        <v>651</v>
      </c>
      <c r="D419" s="111" t="s">
        <v>263</v>
      </c>
      <c r="E419" s="117"/>
      <c r="F419" s="118"/>
    </row>
    <row r="420" spans="2:6" s="110" customFormat="1" outlineLevel="1" x14ac:dyDescent="0.2">
      <c r="B420" s="60" t="s">
        <v>4037</v>
      </c>
      <c r="C420" s="490" t="s">
        <v>652</v>
      </c>
      <c r="D420" s="111" t="s">
        <v>263</v>
      </c>
      <c r="E420" s="117"/>
      <c r="F420" s="118"/>
    </row>
    <row r="421" spans="2:6" s="110" customFormat="1" outlineLevel="1" x14ac:dyDescent="0.2">
      <c r="B421" s="60" t="s">
        <v>4038</v>
      </c>
      <c r="C421" s="490" t="s">
        <v>653</v>
      </c>
      <c r="D421" s="111" t="s">
        <v>263</v>
      </c>
      <c r="E421" s="117"/>
      <c r="F421" s="118"/>
    </row>
    <row r="422" spans="2:6" s="110" customFormat="1" outlineLevel="1" x14ac:dyDescent="0.2">
      <c r="B422" s="60" t="s">
        <v>4039</v>
      </c>
      <c r="C422" s="490" t="s">
        <v>654</v>
      </c>
      <c r="D422" s="111" t="s">
        <v>263</v>
      </c>
      <c r="E422" s="117"/>
      <c r="F422" s="118"/>
    </row>
    <row r="423" spans="2:6" s="110" customFormat="1" outlineLevel="1" x14ac:dyDescent="0.2">
      <c r="B423" s="60" t="s">
        <v>4040</v>
      </c>
      <c r="C423" s="490" t="s">
        <v>655</v>
      </c>
      <c r="D423" s="111" t="s">
        <v>263</v>
      </c>
      <c r="E423" s="117"/>
      <c r="F423" s="118"/>
    </row>
    <row r="424" spans="2:6" s="110" customFormat="1" outlineLevel="1" x14ac:dyDescent="0.2">
      <c r="B424" s="60" t="s">
        <v>4041</v>
      </c>
      <c r="C424" s="490" t="s">
        <v>656</v>
      </c>
      <c r="D424" s="111" t="s">
        <v>263</v>
      </c>
      <c r="E424" s="117"/>
      <c r="F424" s="118"/>
    </row>
    <row r="425" spans="2:6" s="110" customFormat="1" outlineLevel="1" x14ac:dyDescent="0.2">
      <c r="B425" s="60" t="s">
        <v>4042</v>
      </c>
      <c r="C425" s="490" t="s">
        <v>657</v>
      </c>
      <c r="D425" s="111" t="s">
        <v>263</v>
      </c>
      <c r="E425" s="117"/>
      <c r="F425" s="118"/>
    </row>
    <row r="426" spans="2:6" s="110" customFormat="1" outlineLevel="1" x14ac:dyDescent="0.2">
      <c r="B426" s="60" t="s">
        <v>4043</v>
      </c>
      <c r="C426" s="490" t="s">
        <v>658</v>
      </c>
      <c r="D426" s="111" t="s">
        <v>263</v>
      </c>
      <c r="E426" s="117"/>
      <c r="F426" s="118"/>
    </row>
    <row r="427" spans="2:6" s="110" customFormat="1" outlineLevel="1" x14ac:dyDescent="0.2">
      <c r="B427" s="60" t="s">
        <v>4044</v>
      </c>
      <c r="C427" s="490" t="s">
        <v>659</v>
      </c>
      <c r="D427" s="111" t="s">
        <v>263</v>
      </c>
      <c r="E427" s="117"/>
      <c r="F427" s="118"/>
    </row>
    <row r="428" spans="2:6" s="110" customFormat="1" outlineLevel="1" x14ac:dyDescent="0.2">
      <c r="B428" s="60" t="s">
        <v>4045</v>
      </c>
      <c r="C428" s="490" t="s">
        <v>660</v>
      </c>
      <c r="D428" s="111" t="s">
        <v>263</v>
      </c>
      <c r="E428" s="117"/>
      <c r="F428" s="118"/>
    </row>
    <row r="429" spans="2:6" s="110" customFormat="1" outlineLevel="1" x14ac:dyDescent="0.2">
      <c r="B429" s="60" t="s">
        <v>4046</v>
      </c>
      <c r="C429" s="490" t="s">
        <v>661</v>
      </c>
      <c r="D429" s="111" t="s">
        <v>263</v>
      </c>
      <c r="E429" s="117"/>
      <c r="F429" s="118"/>
    </row>
    <row r="430" spans="2:6" s="110" customFormat="1" outlineLevel="1" x14ac:dyDescent="0.2">
      <c r="B430" s="60" t="s">
        <v>4047</v>
      </c>
      <c r="C430" s="490" t="s">
        <v>662</v>
      </c>
      <c r="D430" s="111" t="s">
        <v>263</v>
      </c>
      <c r="E430" s="117"/>
      <c r="F430" s="118"/>
    </row>
    <row r="431" spans="2:6" s="110" customFormat="1" outlineLevel="1" x14ac:dyDescent="0.2">
      <c r="B431" s="60" t="s">
        <v>4048</v>
      </c>
      <c r="C431" s="490" t="s">
        <v>663</v>
      </c>
      <c r="D431" s="111" t="s">
        <v>263</v>
      </c>
      <c r="E431" s="117"/>
      <c r="F431" s="118"/>
    </row>
    <row r="432" spans="2:6" s="110" customFormat="1" outlineLevel="1" x14ac:dyDescent="0.2">
      <c r="B432" s="60" t="s">
        <v>4049</v>
      </c>
      <c r="C432" s="490" t="s">
        <v>664</v>
      </c>
      <c r="D432" s="111" t="s">
        <v>263</v>
      </c>
      <c r="E432" s="117"/>
      <c r="F432" s="118"/>
    </row>
    <row r="433" spans="2:9" s="110" customFormat="1" outlineLevel="1" x14ac:dyDescent="0.2">
      <c r="B433" s="60" t="s">
        <v>4050</v>
      </c>
      <c r="C433" s="490" t="s">
        <v>665</v>
      </c>
      <c r="D433" s="111" t="s">
        <v>263</v>
      </c>
      <c r="E433" s="117"/>
      <c r="F433" s="118"/>
    </row>
    <row r="434" spans="2:9" s="110" customFormat="1" outlineLevel="1" x14ac:dyDescent="0.2">
      <c r="B434" s="60" t="s">
        <v>4051</v>
      </c>
      <c r="C434" s="490" t="s">
        <v>666</v>
      </c>
      <c r="D434" s="111" t="s">
        <v>263</v>
      </c>
      <c r="E434" s="117"/>
      <c r="F434" s="118"/>
    </row>
    <row r="435" spans="2:9" s="110" customFormat="1" outlineLevel="1" x14ac:dyDescent="0.2">
      <c r="B435" s="60" t="s">
        <v>4052</v>
      </c>
      <c r="C435" s="490" t="s">
        <v>667</v>
      </c>
      <c r="D435" s="111" t="s">
        <v>263</v>
      </c>
      <c r="E435" s="117"/>
      <c r="F435" s="118"/>
    </row>
    <row r="436" spans="2:9" s="104" customFormat="1" ht="33" customHeight="1" thickBot="1" x14ac:dyDescent="0.25">
      <c r="B436" s="491" t="s">
        <v>4053</v>
      </c>
      <c r="C436" s="810" t="s">
        <v>4663</v>
      </c>
      <c r="D436" s="811"/>
      <c r="E436" s="249">
        <f>E96+E139+E266+E393</f>
        <v>0</v>
      </c>
      <c r="F436" s="250">
        <f>F96+F139+F266+F393</f>
        <v>0</v>
      </c>
      <c r="G436" s="119"/>
    </row>
    <row r="437" spans="2:9" s="96" customFormat="1" ht="9" customHeight="1" x14ac:dyDescent="0.3">
      <c r="C437" s="128"/>
      <c r="D437" s="128"/>
      <c r="E437" s="121"/>
      <c r="F437" s="121"/>
    </row>
    <row r="438" spans="2:9" s="96" customFormat="1" ht="15.75" thickBot="1" x14ac:dyDescent="0.35">
      <c r="C438" s="807" t="s">
        <v>268</v>
      </c>
      <c r="D438" s="807"/>
      <c r="E438" s="807"/>
      <c r="F438" s="807"/>
    </row>
    <row r="439" spans="2:9" s="119" customFormat="1" ht="15" customHeight="1" x14ac:dyDescent="0.2">
      <c r="B439" s="418" t="s">
        <v>4054</v>
      </c>
      <c r="C439" s="487">
        <v>1</v>
      </c>
      <c r="D439" s="478" t="s">
        <v>255</v>
      </c>
      <c r="E439" s="479">
        <f>E440+E461</f>
        <v>0</v>
      </c>
      <c r="F439" s="480">
        <f>F440+F461</f>
        <v>0</v>
      </c>
    </row>
    <row r="440" spans="2:9" s="104" customFormat="1" x14ac:dyDescent="0.2">
      <c r="B440" s="60" t="s">
        <v>4055</v>
      </c>
      <c r="C440" s="488">
        <v>1.1000000000000001</v>
      </c>
      <c r="D440" s="125" t="s">
        <v>250</v>
      </c>
      <c r="E440" s="126">
        <f>SUM(E441:E460)</f>
        <v>0</v>
      </c>
      <c r="F440" s="127">
        <f>SUM(F441:F460)</f>
        <v>0</v>
      </c>
      <c r="G440" s="119"/>
      <c r="H440" s="119"/>
      <c r="I440" s="119"/>
    </row>
    <row r="441" spans="2:9" s="110" customFormat="1" outlineLevel="1" x14ac:dyDescent="0.2">
      <c r="B441" s="60" t="s">
        <v>4056</v>
      </c>
      <c r="C441" s="483" t="s">
        <v>446</v>
      </c>
      <c r="D441" s="111" t="s">
        <v>258</v>
      </c>
      <c r="E441" s="117"/>
      <c r="F441" s="118"/>
    </row>
    <row r="442" spans="2:9" s="110" customFormat="1" outlineLevel="1" x14ac:dyDescent="0.2">
      <c r="B442" s="60" t="s">
        <v>4057</v>
      </c>
      <c r="C442" s="483" t="s">
        <v>447</v>
      </c>
      <c r="D442" s="111" t="s">
        <v>258</v>
      </c>
      <c r="E442" s="117"/>
      <c r="F442" s="118"/>
    </row>
    <row r="443" spans="2:9" s="110" customFormat="1" outlineLevel="1" x14ac:dyDescent="0.2">
      <c r="B443" s="60" t="s">
        <v>4058</v>
      </c>
      <c r="C443" s="483" t="s">
        <v>456</v>
      </c>
      <c r="D443" s="111" t="s">
        <v>258</v>
      </c>
      <c r="E443" s="117"/>
      <c r="F443" s="118"/>
    </row>
    <row r="444" spans="2:9" s="110" customFormat="1" outlineLevel="1" x14ac:dyDescent="0.2">
      <c r="B444" s="60" t="s">
        <v>4059</v>
      </c>
      <c r="C444" s="483" t="s">
        <v>528</v>
      </c>
      <c r="D444" s="111" t="s">
        <v>258</v>
      </c>
      <c r="E444" s="117"/>
      <c r="F444" s="118"/>
    </row>
    <row r="445" spans="2:9" s="110" customFormat="1" outlineLevel="1" x14ac:dyDescent="0.2">
      <c r="B445" s="60" t="s">
        <v>4060</v>
      </c>
      <c r="C445" s="483" t="s">
        <v>529</v>
      </c>
      <c r="D445" s="111" t="s">
        <v>258</v>
      </c>
      <c r="E445" s="117"/>
      <c r="F445" s="118"/>
    </row>
    <row r="446" spans="2:9" s="110" customFormat="1" outlineLevel="1" x14ac:dyDescent="0.2">
      <c r="B446" s="60" t="s">
        <v>4061</v>
      </c>
      <c r="C446" s="483" t="s">
        <v>530</v>
      </c>
      <c r="D446" s="111" t="s">
        <v>258</v>
      </c>
      <c r="E446" s="117"/>
      <c r="F446" s="118"/>
    </row>
    <row r="447" spans="2:9" s="110" customFormat="1" outlineLevel="1" x14ac:dyDescent="0.2">
      <c r="B447" s="60" t="s">
        <v>4062</v>
      </c>
      <c r="C447" s="483" t="s">
        <v>531</v>
      </c>
      <c r="D447" s="111" t="s">
        <v>258</v>
      </c>
      <c r="E447" s="117"/>
      <c r="F447" s="118"/>
    </row>
    <row r="448" spans="2:9" s="110" customFormat="1" outlineLevel="1" x14ac:dyDescent="0.2">
      <c r="B448" s="60" t="s">
        <v>4063</v>
      </c>
      <c r="C448" s="483" t="s">
        <v>532</v>
      </c>
      <c r="D448" s="111" t="s">
        <v>258</v>
      </c>
      <c r="E448" s="117"/>
      <c r="F448" s="118"/>
    </row>
    <row r="449" spans="2:9" s="110" customFormat="1" outlineLevel="1" x14ac:dyDescent="0.2">
      <c r="B449" s="60" t="s">
        <v>4064</v>
      </c>
      <c r="C449" s="483" t="s">
        <v>533</v>
      </c>
      <c r="D449" s="111" t="s">
        <v>258</v>
      </c>
      <c r="E449" s="117"/>
      <c r="F449" s="118"/>
    </row>
    <row r="450" spans="2:9" s="110" customFormat="1" outlineLevel="1" x14ac:dyDescent="0.2">
      <c r="B450" s="60" t="s">
        <v>4065</v>
      </c>
      <c r="C450" s="483" t="s">
        <v>534</v>
      </c>
      <c r="D450" s="111" t="s">
        <v>258</v>
      </c>
      <c r="E450" s="117"/>
      <c r="F450" s="118"/>
    </row>
    <row r="451" spans="2:9" s="110" customFormat="1" outlineLevel="1" x14ac:dyDescent="0.2">
      <c r="B451" s="60" t="s">
        <v>4066</v>
      </c>
      <c r="C451" s="483" t="s">
        <v>535</v>
      </c>
      <c r="D451" s="111" t="s">
        <v>258</v>
      </c>
      <c r="E451" s="117"/>
      <c r="F451" s="118"/>
    </row>
    <row r="452" spans="2:9" s="110" customFormat="1" outlineLevel="1" x14ac:dyDescent="0.2">
      <c r="B452" s="60" t="s">
        <v>4067</v>
      </c>
      <c r="C452" s="483" t="s">
        <v>536</v>
      </c>
      <c r="D452" s="111" t="s">
        <v>258</v>
      </c>
      <c r="E452" s="117"/>
      <c r="F452" s="118"/>
    </row>
    <row r="453" spans="2:9" s="110" customFormat="1" outlineLevel="1" x14ac:dyDescent="0.2">
      <c r="B453" s="60" t="s">
        <v>4068</v>
      </c>
      <c r="C453" s="483" t="s">
        <v>537</v>
      </c>
      <c r="D453" s="111" t="s">
        <v>258</v>
      </c>
      <c r="E453" s="117"/>
      <c r="F453" s="118"/>
    </row>
    <row r="454" spans="2:9" s="110" customFormat="1" outlineLevel="1" x14ac:dyDescent="0.2">
      <c r="B454" s="60" t="s">
        <v>4069</v>
      </c>
      <c r="C454" s="483" t="s">
        <v>538</v>
      </c>
      <c r="D454" s="111" t="s">
        <v>258</v>
      </c>
      <c r="E454" s="117"/>
      <c r="F454" s="118"/>
    </row>
    <row r="455" spans="2:9" s="110" customFormat="1" outlineLevel="1" x14ac:dyDescent="0.2">
      <c r="B455" s="60" t="s">
        <v>4070</v>
      </c>
      <c r="C455" s="483" t="s">
        <v>539</v>
      </c>
      <c r="D455" s="111" t="s">
        <v>258</v>
      </c>
      <c r="E455" s="117"/>
      <c r="F455" s="118"/>
    </row>
    <row r="456" spans="2:9" s="110" customFormat="1" outlineLevel="1" x14ac:dyDescent="0.2">
      <c r="B456" s="60" t="s">
        <v>4071</v>
      </c>
      <c r="C456" s="483" t="s">
        <v>540</v>
      </c>
      <c r="D456" s="111" t="s">
        <v>258</v>
      </c>
      <c r="E456" s="117"/>
      <c r="F456" s="118"/>
    </row>
    <row r="457" spans="2:9" s="110" customFormat="1" outlineLevel="1" x14ac:dyDescent="0.2">
      <c r="B457" s="60" t="s">
        <v>4072</v>
      </c>
      <c r="C457" s="483" t="s">
        <v>541</v>
      </c>
      <c r="D457" s="111" t="s">
        <v>258</v>
      </c>
      <c r="E457" s="117"/>
      <c r="F457" s="118"/>
    </row>
    <row r="458" spans="2:9" s="110" customFormat="1" outlineLevel="1" x14ac:dyDescent="0.2">
      <c r="B458" s="60" t="s">
        <v>4073</v>
      </c>
      <c r="C458" s="483" t="s">
        <v>542</v>
      </c>
      <c r="D458" s="111" t="s">
        <v>258</v>
      </c>
      <c r="E458" s="117"/>
      <c r="F458" s="118"/>
    </row>
    <row r="459" spans="2:9" s="110" customFormat="1" outlineLevel="1" x14ac:dyDescent="0.2">
      <c r="B459" s="60" t="s">
        <v>4074</v>
      </c>
      <c r="C459" s="483" t="s">
        <v>543</v>
      </c>
      <c r="D459" s="111" t="s">
        <v>258</v>
      </c>
      <c r="E459" s="117"/>
      <c r="F459" s="118"/>
    </row>
    <row r="460" spans="2:9" s="110" customFormat="1" outlineLevel="1" x14ac:dyDescent="0.2">
      <c r="B460" s="60" t="s">
        <v>4075</v>
      </c>
      <c r="C460" s="483" t="s">
        <v>544</v>
      </c>
      <c r="D460" s="111" t="s">
        <v>258</v>
      </c>
      <c r="E460" s="117"/>
      <c r="F460" s="118"/>
    </row>
    <row r="461" spans="2:9" s="104" customFormat="1" x14ac:dyDescent="0.2">
      <c r="B461" s="60" t="s">
        <v>4076</v>
      </c>
      <c r="C461" s="488">
        <v>1.2</v>
      </c>
      <c r="D461" s="125" t="s">
        <v>254</v>
      </c>
      <c r="E461" s="126">
        <f>SUM(E462:E481)</f>
        <v>0</v>
      </c>
      <c r="F461" s="127">
        <f>SUM(F462:F481)</f>
        <v>0</v>
      </c>
      <c r="G461" s="119"/>
      <c r="H461" s="119"/>
      <c r="I461" s="119"/>
    </row>
    <row r="462" spans="2:9" s="110" customFormat="1" outlineLevel="1" x14ac:dyDescent="0.2">
      <c r="B462" s="60" t="s">
        <v>4077</v>
      </c>
      <c r="C462" s="483" t="s">
        <v>452</v>
      </c>
      <c r="D462" s="111" t="s">
        <v>258</v>
      </c>
      <c r="E462" s="117"/>
      <c r="F462" s="118"/>
    </row>
    <row r="463" spans="2:9" s="110" customFormat="1" outlineLevel="1" x14ac:dyDescent="0.2">
      <c r="B463" s="60" t="s">
        <v>4078</v>
      </c>
      <c r="C463" s="483" t="s">
        <v>453</v>
      </c>
      <c r="D463" s="111" t="s">
        <v>258</v>
      </c>
      <c r="E463" s="117"/>
      <c r="F463" s="118"/>
    </row>
    <row r="464" spans="2:9" s="110" customFormat="1" outlineLevel="1" x14ac:dyDescent="0.2">
      <c r="B464" s="60" t="s">
        <v>4079</v>
      </c>
      <c r="C464" s="483" t="s">
        <v>457</v>
      </c>
      <c r="D464" s="111" t="s">
        <v>258</v>
      </c>
      <c r="E464" s="117"/>
      <c r="F464" s="118"/>
    </row>
    <row r="465" spans="2:6" s="110" customFormat="1" outlineLevel="1" x14ac:dyDescent="0.2">
      <c r="B465" s="60" t="s">
        <v>4080</v>
      </c>
      <c r="C465" s="483" t="s">
        <v>545</v>
      </c>
      <c r="D465" s="111" t="s">
        <v>258</v>
      </c>
      <c r="E465" s="117"/>
      <c r="F465" s="118"/>
    </row>
    <row r="466" spans="2:6" s="110" customFormat="1" outlineLevel="1" x14ac:dyDescent="0.2">
      <c r="B466" s="60" t="s">
        <v>4081</v>
      </c>
      <c r="C466" s="483" t="s">
        <v>546</v>
      </c>
      <c r="D466" s="111" t="s">
        <v>258</v>
      </c>
      <c r="E466" s="117"/>
      <c r="F466" s="118"/>
    </row>
    <row r="467" spans="2:6" s="110" customFormat="1" outlineLevel="1" x14ac:dyDescent="0.2">
      <c r="B467" s="60" t="s">
        <v>4082</v>
      </c>
      <c r="C467" s="483" t="s">
        <v>547</v>
      </c>
      <c r="D467" s="111" t="s">
        <v>258</v>
      </c>
      <c r="E467" s="117"/>
      <c r="F467" s="118"/>
    </row>
    <row r="468" spans="2:6" s="110" customFormat="1" outlineLevel="1" x14ac:dyDescent="0.2">
      <c r="B468" s="60" t="s">
        <v>4083</v>
      </c>
      <c r="C468" s="483" t="s">
        <v>548</v>
      </c>
      <c r="D468" s="111" t="s">
        <v>258</v>
      </c>
      <c r="E468" s="117"/>
      <c r="F468" s="118"/>
    </row>
    <row r="469" spans="2:6" s="110" customFormat="1" outlineLevel="1" x14ac:dyDescent="0.2">
      <c r="B469" s="60" t="s">
        <v>4084</v>
      </c>
      <c r="C469" s="483" t="s">
        <v>549</v>
      </c>
      <c r="D469" s="111" t="s">
        <v>258</v>
      </c>
      <c r="E469" s="117"/>
      <c r="F469" s="118"/>
    </row>
    <row r="470" spans="2:6" s="110" customFormat="1" outlineLevel="1" x14ac:dyDescent="0.2">
      <c r="B470" s="60" t="s">
        <v>4085</v>
      </c>
      <c r="C470" s="483" t="s">
        <v>550</v>
      </c>
      <c r="D470" s="111" t="s">
        <v>258</v>
      </c>
      <c r="E470" s="117"/>
      <c r="F470" s="118"/>
    </row>
    <row r="471" spans="2:6" s="110" customFormat="1" outlineLevel="1" x14ac:dyDescent="0.2">
      <c r="B471" s="60" t="s">
        <v>4086</v>
      </c>
      <c r="C471" s="483" t="s">
        <v>551</v>
      </c>
      <c r="D471" s="111" t="s">
        <v>258</v>
      </c>
      <c r="E471" s="117"/>
      <c r="F471" s="118"/>
    </row>
    <row r="472" spans="2:6" s="110" customFormat="1" outlineLevel="1" x14ac:dyDescent="0.2">
      <c r="B472" s="60" t="s">
        <v>4087</v>
      </c>
      <c r="C472" s="483" t="s">
        <v>552</v>
      </c>
      <c r="D472" s="111" t="s">
        <v>258</v>
      </c>
      <c r="E472" s="117"/>
      <c r="F472" s="118"/>
    </row>
    <row r="473" spans="2:6" s="110" customFormat="1" outlineLevel="1" x14ac:dyDescent="0.2">
      <c r="B473" s="60" t="s">
        <v>4088</v>
      </c>
      <c r="C473" s="483" t="s">
        <v>553</v>
      </c>
      <c r="D473" s="111" t="s">
        <v>258</v>
      </c>
      <c r="E473" s="117"/>
      <c r="F473" s="118"/>
    </row>
    <row r="474" spans="2:6" s="110" customFormat="1" outlineLevel="1" x14ac:dyDescent="0.2">
      <c r="B474" s="60" t="s">
        <v>4089</v>
      </c>
      <c r="C474" s="483" t="s">
        <v>554</v>
      </c>
      <c r="D474" s="111" t="s">
        <v>258</v>
      </c>
      <c r="E474" s="117"/>
      <c r="F474" s="118"/>
    </row>
    <row r="475" spans="2:6" s="110" customFormat="1" outlineLevel="1" x14ac:dyDescent="0.2">
      <c r="B475" s="60" t="s">
        <v>4090</v>
      </c>
      <c r="C475" s="483" t="s">
        <v>555</v>
      </c>
      <c r="D475" s="111" t="s">
        <v>258</v>
      </c>
      <c r="E475" s="117"/>
      <c r="F475" s="118"/>
    </row>
    <row r="476" spans="2:6" s="110" customFormat="1" outlineLevel="1" x14ac:dyDescent="0.2">
      <c r="B476" s="60" t="s">
        <v>4091</v>
      </c>
      <c r="C476" s="483" t="s">
        <v>556</v>
      </c>
      <c r="D476" s="111" t="s">
        <v>258</v>
      </c>
      <c r="E476" s="117"/>
      <c r="F476" s="118"/>
    </row>
    <row r="477" spans="2:6" s="110" customFormat="1" outlineLevel="1" x14ac:dyDescent="0.2">
      <c r="B477" s="60" t="s">
        <v>4092</v>
      </c>
      <c r="C477" s="483" t="s">
        <v>557</v>
      </c>
      <c r="D477" s="111" t="s">
        <v>258</v>
      </c>
      <c r="E477" s="117"/>
      <c r="F477" s="118"/>
    </row>
    <row r="478" spans="2:6" s="110" customFormat="1" outlineLevel="1" x14ac:dyDescent="0.2">
      <c r="B478" s="60" t="s">
        <v>4093</v>
      </c>
      <c r="C478" s="483" t="s">
        <v>558</v>
      </c>
      <c r="D478" s="111" t="s">
        <v>258</v>
      </c>
      <c r="E478" s="117"/>
      <c r="F478" s="118"/>
    </row>
    <row r="479" spans="2:6" s="110" customFormat="1" outlineLevel="1" x14ac:dyDescent="0.2">
      <c r="B479" s="60" t="s">
        <v>4094</v>
      </c>
      <c r="C479" s="483" t="s">
        <v>559</v>
      </c>
      <c r="D479" s="111" t="s">
        <v>258</v>
      </c>
      <c r="E479" s="117"/>
      <c r="F479" s="118"/>
    </row>
    <row r="480" spans="2:6" s="110" customFormat="1" outlineLevel="1" x14ac:dyDescent="0.2">
      <c r="B480" s="60" t="s">
        <v>4095</v>
      </c>
      <c r="C480" s="483" t="s">
        <v>560</v>
      </c>
      <c r="D480" s="111" t="s">
        <v>258</v>
      </c>
      <c r="E480" s="117"/>
      <c r="F480" s="118"/>
    </row>
    <row r="481" spans="2:9" s="110" customFormat="1" outlineLevel="1" x14ac:dyDescent="0.2">
      <c r="B481" s="60" t="s">
        <v>4096</v>
      </c>
      <c r="C481" s="483" t="s">
        <v>561</v>
      </c>
      <c r="D481" s="111" t="s">
        <v>258</v>
      </c>
      <c r="E481" s="117"/>
      <c r="F481" s="118"/>
    </row>
    <row r="482" spans="2:9" s="119" customFormat="1" x14ac:dyDescent="0.2">
      <c r="B482" s="60" t="s">
        <v>4097</v>
      </c>
      <c r="C482" s="489">
        <v>2</v>
      </c>
      <c r="D482" s="122" t="s">
        <v>259</v>
      </c>
      <c r="E482" s="123">
        <f>E483+E504+E525+E546+E567+E588</f>
        <v>0</v>
      </c>
      <c r="F482" s="124">
        <f>F483+F504+F525+F546+F567+F588</f>
        <v>0</v>
      </c>
    </row>
    <row r="483" spans="2:9" s="104" customFormat="1" x14ac:dyDescent="0.2">
      <c r="B483" s="60" t="s">
        <v>4098</v>
      </c>
      <c r="C483" s="488">
        <v>2.1</v>
      </c>
      <c r="D483" s="125" t="s">
        <v>250</v>
      </c>
      <c r="E483" s="126">
        <f>SUM(E484:E503)</f>
        <v>0</v>
      </c>
      <c r="F483" s="127">
        <f>SUM(F484:F503)</f>
        <v>0</v>
      </c>
      <c r="G483" s="119"/>
      <c r="H483" s="119"/>
      <c r="I483" s="119"/>
    </row>
    <row r="484" spans="2:9" s="110" customFormat="1" outlineLevel="1" x14ac:dyDescent="0.2">
      <c r="B484" s="60" t="s">
        <v>4099</v>
      </c>
      <c r="C484" s="490" t="s">
        <v>448</v>
      </c>
      <c r="D484" s="116" t="s">
        <v>260</v>
      </c>
      <c r="E484" s="117"/>
      <c r="F484" s="118"/>
    </row>
    <row r="485" spans="2:9" s="110" customFormat="1" outlineLevel="1" x14ac:dyDescent="0.2">
      <c r="B485" s="60" t="s">
        <v>4100</v>
      </c>
      <c r="C485" s="490" t="s">
        <v>449</v>
      </c>
      <c r="D485" s="116" t="s">
        <v>260</v>
      </c>
      <c r="E485" s="117"/>
      <c r="F485" s="118"/>
    </row>
    <row r="486" spans="2:9" s="110" customFormat="1" outlineLevel="1" x14ac:dyDescent="0.2">
      <c r="B486" s="60" t="s">
        <v>4101</v>
      </c>
      <c r="C486" s="490" t="s">
        <v>562</v>
      </c>
      <c r="D486" s="116" t="s">
        <v>260</v>
      </c>
      <c r="E486" s="117"/>
      <c r="F486" s="118"/>
    </row>
    <row r="487" spans="2:9" s="110" customFormat="1" outlineLevel="1" x14ac:dyDescent="0.2">
      <c r="B487" s="60" t="s">
        <v>4102</v>
      </c>
      <c r="C487" s="490" t="s">
        <v>563</v>
      </c>
      <c r="D487" s="116" t="s">
        <v>260</v>
      </c>
      <c r="E487" s="117"/>
      <c r="F487" s="118"/>
    </row>
    <row r="488" spans="2:9" s="110" customFormat="1" outlineLevel="1" x14ac:dyDescent="0.2">
      <c r="B488" s="60" t="s">
        <v>4103</v>
      </c>
      <c r="C488" s="490" t="s">
        <v>564</v>
      </c>
      <c r="D488" s="116" t="s">
        <v>260</v>
      </c>
      <c r="E488" s="117"/>
      <c r="F488" s="118"/>
    </row>
    <row r="489" spans="2:9" s="110" customFormat="1" outlineLevel="1" x14ac:dyDescent="0.2">
      <c r="B489" s="60" t="s">
        <v>4104</v>
      </c>
      <c r="C489" s="490" t="s">
        <v>565</v>
      </c>
      <c r="D489" s="116" t="s">
        <v>260</v>
      </c>
      <c r="E489" s="117"/>
      <c r="F489" s="118"/>
    </row>
    <row r="490" spans="2:9" s="110" customFormat="1" outlineLevel="1" x14ac:dyDescent="0.2">
      <c r="B490" s="60" t="s">
        <v>4105</v>
      </c>
      <c r="C490" s="490" t="s">
        <v>566</v>
      </c>
      <c r="D490" s="116" t="s">
        <v>260</v>
      </c>
      <c r="E490" s="117"/>
      <c r="F490" s="118"/>
    </row>
    <row r="491" spans="2:9" s="110" customFormat="1" outlineLevel="1" x14ac:dyDescent="0.2">
      <c r="B491" s="60" t="s">
        <v>4106</v>
      </c>
      <c r="C491" s="490" t="s">
        <v>567</v>
      </c>
      <c r="D491" s="116" t="s">
        <v>260</v>
      </c>
      <c r="E491" s="117"/>
      <c r="F491" s="118"/>
    </row>
    <row r="492" spans="2:9" s="110" customFormat="1" outlineLevel="1" x14ac:dyDescent="0.2">
      <c r="B492" s="60" t="s">
        <v>4107</v>
      </c>
      <c r="C492" s="490" t="s">
        <v>568</v>
      </c>
      <c r="D492" s="116" t="s">
        <v>260</v>
      </c>
      <c r="E492" s="117"/>
      <c r="F492" s="118"/>
    </row>
    <row r="493" spans="2:9" s="110" customFormat="1" outlineLevel="1" x14ac:dyDescent="0.2">
      <c r="B493" s="60" t="s">
        <v>4108</v>
      </c>
      <c r="C493" s="490" t="s">
        <v>569</v>
      </c>
      <c r="D493" s="116" t="s">
        <v>260</v>
      </c>
      <c r="E493" s="117"/>
      <c r="F493" s="118"/>
    </row>
    <row r="494" spans="2:9" s="110" customFormat="1" outlineLevel="1" x14ac:dyDescent="0.2">
      <c r="B494" s="60" t="s">
        <v>4109</v>
      </c>
      <c r="C494" s="490" t="s">
        <v>570</v>
      </c>
      <c r="D494" s="116" t="s">
        <v>260</v>
      </c>
      <c r="E494" s="117"/>
      <c r="F494" s="118"/>
    </row>
    <row r="495" spans="2:9" s="110" customFormat="1" outlineLevel="1" x14ac:dyDescent="0.2">
      <c r="B495" s="60" t="s">
        <v>4110</v>
      </c>
      <c r="C495" s="490" t="s">
        <v>571</v>
      </c>
      <c r="D495" s="116" t="s">
        <v>260</v>
      </c>
      <c r="E495" s="117"/>
      <c r="F495" s="118"/>
    </row>
    <row r="496" spans="2:9" s="110" customFormat="1" outlineLevel="1" x14ac:dyDescent="0.2">
      <c r="B496" s="60" t="s">
        <v>4111</v>
      </c>
      <c r="C496" s="490" t="s">
        <v>572</v>
      </c>
      <c r="D496" s="116" t="s">
        <v>260</v>
      </c>
      <c r="E496" s="117"/>
      <c r="F496" s="118"/>
    </row>
    <row r="497" spans="2:9" s="110" customFormat="1" outlineLevel="1" x14ac:dyDescent="0.2">
      <c r="B497" s="60" t="s">
        <v>4112</v>
      </c>
      <c r="C497" s="490" t="s">
        <v>573</v>
      </c>
      <c r="D497" s="116" t="s">
        <v>260</v>
      </c>
      <c r="E497" s="117"/>
      <c r="F497" s="118"/>
    </row>
    <row r="498" spans="2:9" s="110" customFormat="1" outlineLevel="1" x14ac:dyDescent="0.2">
      <c r="B498" s="60" t="s">
        <v>4113</v>
      </c>
      <c r="C498" s="490" t="s">
        <v>574</v>
      </c>
      <c r="D498" s="116" t="s">
        <v>260</v>
      </c>
      <c r="E498" s="117"/>
      <c r="F498" s="118"/>
    </row>
    <row r="499" spans="2:9" s="110" customFormat="1" outlineLevel="1" x14ac:dyDescent="0.2">
      <c r="B499" s="60" t="s">
        <v>4114</v>
      </c>
      <c r="C499" s="490" t="s">
        <v>575</v>
      </c>
      <c r="D499" s="116" t="s">
        <v>260</v>
      </c>
      <c r="E499" s="117"/>
      <c r="F499" s="118"/>
    </row>
    <row r="500" spans="2:9" s="110" customFormat="1" outlineLevel="1" x14ac:dyDescent="0.2">
      <c r="B500" s="60" t="s">
        <v>4115</v>
      </c>
      <c r="C500" s="490" t="s">
        <v>576</v>
      </c>
      <c r="D500" s="116" t="s">
        <v>260</v>
      </c>
      <c r="E500" s="117"/>
      <c r="F500" s="118"/>
    </row>
    <row r="501" spans="2:9" s="110" customFormat="1" outlineLevel="1" x14ac:dyDescent="0.2">
      <c r="B501" s="60" t="s">
        <v>4116</v>
      </c>
      <c r="C501" s="490" t="s">
        <v>577</v>
      </c>
      <c r="D501" s="116" t="s">
        <v>260</v>
      </c>
      <c r="E501" s="117"/>
      <c r="F501" s="118"/>
    </row>
    <row r="502" spans="2:9" s="110" customFormat="1" outlineLevel="1" x14ac:dyDescent="0.2">
      <c r="B502" s="60" t="s">
        <v>4117</v>
      </c>
      <c r="C502" s="490" t="s">
        <v>578</v>
      </c>
      <c r="D502" s="116" t="s">
        <v>260</v>
      </c>
      <c r="E502" s="117"/>
      <c r="F502" s="118"/>
    </row>
    <row r="503" spans="2:9" s="110" customFormat="1" outlineLevel="1" x14ac:dyDescent="0.2">
      <c r="B503" s="60" t="s">
        <v>4118</v>
      </c>
      <c r="C503" s="490" t="s">
        <v>579</v>
      </c>
      <c r="D503" s="116" t="s">
        <v>260</v>
      </c>
      <c r="E503" s="117"/>
      <c r="F503" s="118"/>
    </row>
    <row r="504" spans="2:9" s="104" customFormat="1" x14ac:dyDescent="0.2">
      <c r="B504" s="60" t="s">
        <v>4119</v>
      </c>
      <c r="C504" s="488" t="s">
        <v>425</v>
      </c>
      <c r="D504" s="125" t="s">
        <v>264</v>
      </c>
      <c r="E504" s="126">
        <f>SUM(E505:E524)</f>
        <v>0</v>
      </c>
      <c r="F504" s="127">
        <f>SUM(F505:F524)</f>
        <v>0</v>
      </c>
      <c r="G504" s="119"/>
      <c r="H504" s="119"/>
      <c r="I504" s="119"/>
    </row>
    <row r="505" spans="2:9" s="110" customFormat="1" outlineLevel="1" x14ac:dyDescent="0.2">
      <c r="B505" s="60" t="s">
        <v>4120</v>
      </c>
      <c r="C505" s="490" t="s">
        <v>580</v>
      </c>
      <c r="D505" s="116" t="s">
        <v>260</v>
      </c>
      <c r="E505" s="117"/>
      <c r="F505" s="118"/>
    </row>
    <row r="506" spans="2:9" s="110" customFormat="1" outlineLevel="1" x14ac:dyDescent="0.2">
      <c r="B506" s="60" t="s">
        <v>4121</v>
      </c>
      <c r="C506" s="490" t="s">
        <v>581</v>
      </c>
      <c r="D506" s="116" t="s">
        <v>260</v>
      </c>
      <c r="E506" s="117"/>
      <c r="F506" s="118"/>
    </row>
    <row r="507" spans="2:9" s="110" customFormat="1" outlineLevel="1" x14ac:dyDescent="0.2">
      <c r="B507" s="60" t="s">
        <v>4122</v>
      </c>
      <c r="C507" s="490" t="s">
        <v>582</v>
      </c>
      <c r="D507" s="116" t="s">
        <v>260</v>
      </c>
      <c r="E507" s="117"/>
      <c r="F507" s="118"/>
    </row>
    <row r="508" spans="2:9" s="110" customFormat="1" outlineLevel="1" x14ac:dyDescent="0.2">
      <c r="B508" s="60" t="s">
        <v>4123</v>
      </c>
      <c r="C508" s="490" t="s">
        <v>583</v>
      </c>
      <c r="D508" s="116" t="s">
        <v>260</v>
      </c>
      <c r="E508" s="117"/>
      <c r="F508" s="118"/>
    </row>
    <row r="509" spans="2:9" s="110" customFormat="1" outlineLevel="1" x14ac:dyDescent="0.2">
      <c r="B509" s="60" t="s">
        <v>4124</v>
      </c>
      <c r="C509" s="490" t="s">
        <v>584</v>
      </c>
      <c r="D509" s="116" t="s">
        <v>260</v>
      </c>
      <c r="E509" s="117"/>
      <c r="F509" s="118"/>
    </row>
    <row r="510" spans="2:9" s="110" customFormat="1" outlineLevel="1" x14ac:dyDescent="0.2">
      <c r="B510" s="60" t="s">
        <v>4125</v>
      </c>
      <c r="C510" s="490" t="s">
        <v>585</v>
      </c>
      <c r="D510" s="116" t="s">
        <v>260</v>
      </c>
      <c r="E510" s="117"/>
      <c r="F510" s="118"/>
    </row>
    <row r="511" spans="2:9" s="110" customFormat="1" outlineLevel="1" x14ac:dyDescent="0.2">
      <c r="B511" s="60" t="s">
        <v>4126</v>
      </c>
      <c r="C511" s="490" t="s">
        <v>586</v>
      </c>
      <c r="D511" s="116" t="s">
        <v>260</v>
      </c>
      <c r="E511" s="117"/>
      <c r="F511" s="118"/>
    </row>
    <row r="512" spans="2:9" s="110" customFormat="1" outlineLevel="1" x14ac:dyDescent="0.2">
      <c r="B512" s="60" t="s">
        <v>4127</v>
      </c>
      <c r="C512" s="490" t="s">
        <v>587</v>
      </c>
      <c r="D512" s="116" t="s">
        <v>260</v>
      </c>
      <c r="E512" s="117"/>
      <c r="F512" s="118"/>
    </row>
    <row r="513" spans="2:9" s="110" customFormat="1" outlineLevel="1" x14ac:dyDescent="0.2">
      <c r="B513" s="60" t="s">
        <v>4128</v>
      </c>
      <c r="C513" s="490" t="s">
        <v>588</v>
      </c>
      <c r="D513" s="116" t="s">
        <v>260</v>
      </c>
      <c r="E513" s="117"/>
      <c r="F513" s="118"/>
    </row>
    <row r="514" spans="2:9" s="110" customFormat="1" outlineLevel="1" x14ac:dyDescent="0.2">
      <c r="B514" s="60" t="s">
        <v>4129</v>
      </c>
      <c r="C514" s="490" t="s">
        <v>589</v>
      </c>
      <c r="D514" s="116" t="s">
        <v>260</v>
      </c>
      <c r="E514" s="117"/>
      <c r="F514" s="118"/>
    </row>
    <row r="515" spans="2:9" s="110" customFormat="1" outlineLevel="1" x14ac:dyDescent="0.2">
      <c r="B515" s="60" t="s">
        <v>4130</v>
      </c>
      <c r="C515" s="490" t="s">
        <v>590</v>
      </c>
      <c r="D515" s="116" t="s">
        <v>260</v>
      </c>
      <c r="E515" s="117"/>
      <c r="F515" s="118"/>
    </row>
    <row r="516" spans="2:9" s="110" customFormat="1" outlineLevel="1" x14ac:dyDescent="0.2">
      <c r="B516" s="60" t="s">
        <v>4131</v>
      </c>
      <c r="C516" s="490" t="s">
        <v>591</v>
      </c>
      <c r="D516" s="116" t="s">
        <v>260</v>
      </c>
      <c r="E516" s="117"/>
      <c r="F516" s="118"/>
    </row>
    <row r="517" spans="2:9" s="110" customFormat="1" outlineLevel="1" x14ac:dyDescent="0.2">
      <c r="B517" s="60" t="s">
        <v>4132</v>
      </c>
      <c r="C517" s="490" t="s">
        <v>592</v>
      </c>
      <c r="D517" s="116" t="s">
        <v>260</v>
      </c>
      <c r="E517" s="117"/>
      <c r="F517" s="118"/>
    </row>
    <row r="518" spans="2:9" s="110" customFormat="1" outlineLevel="1" x14ac:dyDescent="0.2">
      <c r="B518" s="60" t="s">
        <v>4133</v>
      </c>
      <c r="C518" s="490" t="s">
        <v>593</v>
      </c>
      <c r="D518" s="116" t="s">
        <v>260</v>
      </c>
      <c r="E518" s="117"/>
      <c r="F518" s="118"/>
    </row>
    <row r="519" spans="2:9" s="110" customFormat="1" outlineLevel="1" x14ac:dyDescent="0.2">
      <c r="B519" s="60" t="s">
        <v>4134</v>
      </c>
      <c r="C519" s="490" t="s">
        <v>594</v>
      </c>
      <c r="D519" s="116" t="s">
        <v>260</v>
      </c>
      <c r="E519" s="117"/>
      <c r="F519" s="118"/>
    </row>
    <row r="520" spans="2:9" s="110" customFormat="1" outlineLevel="1" x14ac:dyDescent="0.2">
      <c r="B520" s="60" t="s">
        <v>4135</v>
      </c>
      <c r="C520" s="490" t="s">
        <v>595</v>
      </c>
      <c r="D520" s="116" t="s">
        <v>260</v>
      </c>
      <c r="E520" s="117"/>
      <c r="F520" s="118"/>
    </row>
    <row r="521" spans="2:9" s="110" customFormat="1" outlineLevel="1" x14ac:dyDescent="0.2">
      <c r="B521" s="60" t="s">
        <v>4136</v>
      </c>
      <c r="C521" s="490" t="s">
        <v>596</v>
      </c>
      <c r="D521" s="116" t="s">
        <v>260</v>
      </c>
      <c r="E521" s="117"/>
      <c r="F521" s="118"/>
    </row>
    <row r="522" spans="2:9" s="110" customFormat="1" outlineLevel="1" x14ac:dyDescent="0.2">
      <c r="B522" s="60" t="s">
        <v>4137</v>
      </c>
      <c r="C522" s="490" t="s">
        <v>597</v>
      </c>
      <c r="D522" s="116" t="s">
        <v>260</v>
      </c>
      <c r="E522" s="117"/>
      <c r="F522" s="118"/>
    </row>
    <row r="523" spans="2:9" s="110" customFormat="1" outlineLevel="1" x14ac:dyDescent="0.2">
      <c r="B523" s="60" t="s">
        <v>4138</v>
      </c>
      <c r="C523" s="490" t="s">
        <v>598</v>
      </c>
      <c r="D523" s="116" t="s">
        <v>260</v>
      </c>
      <c r="E523" s="117"/>
      <c r="F523" s="118"/>
    </row>
    <row r="524" spans="2:9" s="110" customFormat="1" outlineLevel="1" x14ac:dyDescent="0.2">
      <c r="B524" s="60" t="s">
        <v>4139</v>
      </c>
      <c r="C524" s="490" t="s">
        <v>599</v>
      </c>
      <c r="D524" s="116" t="s">
        <v>260</v>
      </c>
      <c r="E524" s="117"/>
      <c r="F524" s="118"/>
    </row>
    <row r="525" spans="2:9" s="104" customFormat="1" x14ac:dyDescent="0.2">
      <c r="B525" s="60" t="s">
        <v>4140</v>
      </c>
      <c r="C525" s="488" t="s">
        <v>441</v>
      </c>
      <c r="D525" s="125" t="s">
        <v>257</v>
      </c>
      <c r="E525" s="126">
        <f>SUM(E526:E545)</f>
        <v>0</v>
      </c>
      <c r="F525" s="127">
        <f>SUM(F526:F545)</f>
        <v>0</v>
      </c>
      <c r="G525" s="119"/>
      <c r="H525" s="119"/>
      <c r="I525" s="119"/>
    </row>
    <row r="526" spans="2:9" s="110" customFormat="1" outlineLevel="1" x14ac:dyDescent="0.2">
      <c r="B526" s="60" t="s">
        <v>4141</v>
      </c>
      <c r="C526" s="490" t="s">
        <v>1604</v>
      </c>
      <c r="D526" s="116" t="s">
        <v>260</v>
      </c>
      <c r="E526" s="117"/>
      <c r="F526" s="118"/>
    </row>
    <row r="527" spans="2:9" s="110" customFormat="1" outlineLevel="1" x14ac:dyDescent="0.2">
      <c r="B527" s="60" t="s">
        <v>4142</v>
      </c>
      <c r="C527" s="490" t="s">
        <v>1605</v>
      </c>
      <c r="D527" s="116" t="s">
        <v>260</v>
      </c>
      <c r="E527" s="117"/>
      <c r="F527" s="118"/>
    </row>
    <row r="528" spans="2:9" s="110" customFormat="1" outlineLevel="1" x14ac:dyDescent="0.2">
      <c r="B528" s="60" t="s">
        <v>4143</v>
      </c>
      <c r="C528" s="490" t="s">
        <v>1606</v>
      </c>
      <c r="D528" s="116" t="s">
        <v>260</v>
      </c>
      <c r="E528" s="117"/>
      <c r="F528" s="118"/>
    </row>
    <row r="529" spans="2:6" s="110" customFormat="1" outlineLevel="1" x14ac:dyDescent="0.2">
      <c r="B529" s="60" t="s">
        <v>4144</v>
      </c>
      <c r="C529" s="490" t="s">
        <v>1607</v>
      </c>
      <c r="D529" s="116" t="s">
        <v>260</v>
      </c>
      <c r="E529" s="117"/>
      <c r="F529" s="118"/>
    </row>
    <row r="530" spans="2:6" s="110" customFormat="1" outlineLevel="1" x14ac:dyDescent="0.2">
      <c r="B530" s="60" t="s">
        <v>4145</v>
      </c>
      <c r="C530" s="490" t="s">
        <v>1608</v>
      </c>
      <c r="D530" s="116" t="s">
        <v>260</v>
      </c>
      <c r="E530" s="117"/>
      <c r="F530" s="118"/>
    </row>
    <row r="531" spans="2:6" s="110" customFormat="1" outlineLevel="1" x14ac:dyDescent="0.2">
      <c r="B531" s="60" t="s">
        <v>4146</v>
      </c>
      <c r="C531" s="490" t="s">
        <v>1609</v>
      </c>
      <c r="D531" s="116" t="s">
        <v>260</v>
      </c>
      <c r="E531" s="117"/>
      <c r="F531" s="118"/>
    </row>
    <row r="532" spans="2:6" s="110" customFormat="1" outlineLevel="1" x14ac:dyDescent="0.2">
      <c r="B532" s="60" t="s">
        <v>4147</v>
      </c>
      <c r="C532" s="490" t="s">
        <v>1610</v>
      </c>
      <c r="D532" s="116" t="s">
        <v>260</v>
      </c>
      <c r="E532" s="117"/>
      <c r="F532" s="118"/>
    </row>
    <row r="533" spans="2:6" s="110" customFormat="1" outlineLevel="1" x14ac:dyDescent="0.2">
      <c r="B533" s="60" t="s">
        <v>4148</v>
      </c>
      <c r="C533" s="490" t="s">
        <v>1611</v>
      </c>
      <c r="D533" s="116" t="s">
        <v>260</v>
      </c>
      <c r="E533" s="117"/>
      <c r="F533" s="118"/>
    </row>
    <row r="534" spans="2:6" s="110" customFormat="1" outlineLevel="1" x14ac:dyDescent="0.2">
      <c r="B534" s="60" t="s">
        <v>4149</v>
      </c>
      <c r="C534" s="490" t="s">
        <v>1612</v>
      </c>
      <c r="D534" s="116" t="s">
        <v>260</v>
      </c>
      <c r="E534" s="117"/>
      <c r="F534" s="118"/>
    </row>
    <row r="535" spans="2:6" s="110" customFormat="1" outlineLevel="1" x14ac:dyDescent="0.2">
      <c r="B535" s="60" t="s">
        <v>4150</v>
      </c>
      <c r="C535" s="490" t="s">
        <v>1613</v>
      </c>
      <c r="D535" s="116" t="s">
        <v>260</v>
      </c>
      <c r="E535" s="117"/>
      <c r="F535" s="118"/>
    </row>
    <row r="536" spans="2:6" s="110" customFormat="1" outlineLevel="1" x14ac:dyDescent="0.2">
      <c r="B536" s="60" t="s">
        <v>4151</v>
      </c>
      <c r="C536" s="490" t="s">
        <v>1614</v>
      </c>
      <c r="D536" s="116" t="s">
        <v>260</v>
      </c>
      <c r="E536" s="117"/>
      <c r="F536" s="118"/>
    </row>
    <row r="537" spans="2:6" s="110" customFormat="1" outlineLevel="1" x14ac:dyDescent="0.2">
      <c r="B537" s="60" t="s">
        <v>4152</v>
      </c>
      <c r="C537" s="490" t="s">
        <v>1615</v>
      </c>
      <c r="D537" s="116" t="s">
        <v>260</v>
      </c>
      <c r="E537" s="117"/>
      <c r="F537" s="118"/>
    </row>
    <row r="538" spans="2:6" s="110" customFormat="1" outlineLevel="1" x14ac:dyDescent="0.2">
      <c r="B538" s="60" t="s">
        <v>4153</v>
      </c>
      <c r="C538" s="490" t="s">
        <v>1616</v>
      </c>
      <c r="D538" s="116" t="s">
        <v>260</v>
      </c>
      <c r="E538" s="117"/>
      <c r="F538" s="118"/>
    </row>
    <row r="539" spans="2:6" s="110" customFormat="1" outlineLevel="1" x14ac:dyDescent="0.2">
      <c r="B539" s="60" t="s">
        <v>4154</v>
      </c>
      <c r="C539" s="490" t="s">
        <v>1617</v>
      </c>
      <c r="D539" s="116" t="s">
        <v>260</v>
      </c>
      <c r="E539" s="117"/>
      <c r="F539" s="118"/>
    </row>
    <row r="540" spans="2:6" s="110" customFormat="1" outlineLevel="1" x14ac:dyDescent="0.2">
      <c r="B540" s="60" t="s">
        <v>4155</v>
      </c>
      <c r="C540" s="490" t="s">
        <v>1618</v>
      </c>
      <c r="D540" s="116" t="s">
        <v>260</v>
      </c>
      <c r="E540" s="117"/>
      <c r="F540" s="118"/>
    </row>
    <row r="541" spans="2:6" s="110" customFormat="1" outlineLevel="1" x14ac:dyDescent="0.2">
      <c r="B541" s="60" t="s">
        <v>4156</v>
      </c>
      <c r="C541" s="490" t="s">
        <v>1619</v>
      </c>
      <c r="D541" s="116" t="s">
        <v>260</v>
      </c>
      <c r="E541" s="117"/>
      <c r="F541" s="118"/>
    </row>
    <row r="542" spans="2:6" s="110" customFormat="1" outlineLevel="1" x14ac:dyDescent="0.2">
      <c r="B542" s="60" t="s">
        <v>4157</v>
      </c>
      <c r="C542" s="490" t="s">
        <v>1620</v>
      </c>
      <c r="D542" s="116" t="s">
        <v>260</v>
      </c>
      <c r="E542" s="117"/>
      <c r="F542" s="118"/>
    </row>
    <row r="543" spans="2:6" s="110" customFormat="1" outlineLevel="1" x14ac:dyDescent="0.2">
      <c r="B543" s="60" t="s">
        <v>4158</v>
      </c>
      <c r="C543" s="490" t="s">
        <v>1621</v>
      </c>
      <c r="D543" s="116" t="s">
        <v>260</v>
      </c>
      <c r="E543" s="117"/>
      <c r="F543" s="118"/>
    </row>
    <row r="544" spans="2:6" s="110" customFormat="1" outlineLevel="1" x14ac:dyDescent="0.2">
      <c r="B544" s="60" t="s">
        <v>4159</v>
      </c>
      <c r="C544" s="490" t="s">
        <v>1622</v>
      </c>
      <c r="D544" s="116" t="s">
        <v>260</v>
      </c>
      <c r="E544" s="117"/>
      <c r="F544" s="118"/>
    </row>
    <row r="545" spans="2:9" s="110" customFormat="1" outlineLevel="1" x14ac:dyDescent="0.2">
      <c r="B545" s="60" t="s">
        <v>4160</v>
      </c>
      <c r="C545" s="490" t="s">
        <v>1623</v>
      </c>
      <c r="D545" s="116" t="s">
        <v>260</v>
      </c>
      <c r="E545" s="117"/>
      <c r="F545" s="118"/>
    </row>
    <row r="546" spans="2:9" s="104" customFormat="1" x14ac:dyDescent="0.2">
      <c r="B546" s="60" t="s">
        <v>4161</v>
      </c>
      <c r="C546" s="488">
        <v>2.4</v>
      </c>
      <c r="D546" s="125" t="s">
        <v>265</v>
      </c>
      <c r="E546" s="126">
        <f>SUM(E547:E566)</f>
        <v>0</v>
      </c>
      <c r="F546" s="127">
        <f>SUM(F547:F566)</f>
        <v>0</v>
      </c>
      <c r="G546" s="119"/>
      <c r="H546" s="119"/>
      <c r="I546" s="119"/>
    </row>
    <row r="547" spans="2:9" s="110" customFormat="1" outlineLevel="1" x14ac:dyDescent="0.2">
      <c r="B547" s="60" t="s">
        <v>4162</v>
      </c>
      <c r="C547" s="490" t="s">
        <v>1624</v>
      </c>
      <c r="D547" s="116" t="s">
        <v>260</v>
      </c>
      <c r="E547" s="117"/>
      <c r="F547" s="118"/>
    </row>
    <row r="548" spans="2:9" s="110" customFormat="1" outlineLevel="1" x14ac:dyDescent="0.2">
      <c r="B548" s="60" t="s">
        <v>4163</v>
      </c>
      <c r="C548" s="490" t="s">
        <v>1625</v>
      </c>
      <c r="D548" s="116" t="s">
        <v>260</v>
      </c>
      <c r="E548" s="117"/>
      <c r="F548" s="118"/>
    </row>
    <row r="549" spans="2:9" s="110" customFormat="1" outlineLevel="1" x14ac:dyDescent="0.2">
      <c r="B549" s="60" t="s">
        <v>4164</v>
      </c>
      <c r="C549" s="490" t="s">
        <v>1626</v>
      </c>
      <c r="D549" s="116" t="s">
        <v>260</v>
      </c>
      <c r="E549" s="117"/>
      <c r="F549" s="118"/>
    </row>
    <row r="550" spans="2:9" s="110" customFormat="1" outlineLevel="1" x14ac:dyDescent="0.2">
      <c r="B550" s="60" t="s">
        <v>4165</v>
      </c>
      <c r="C550" s="490" t="s">
        <v>1627</v>
      </c>
      <c r="D550" s="116" t="s">
        <v>260</v>
      </c>
      <c r="E550" s="117"/>
      <c r="F550" s="118"/>
    </row>
    <row r="551" spans="2:9" s="110" customFormat="1" outlineLevel="1" x14ac:dyDescent="0.2">
      <c r="B551" s="60" t="s">
        <v>4166</v>
      </c>
      <c r="C551" s="490" t="s">
        <v>1628</v>
      </c>
      <c r="D551" s="116" t="s">
        <v>260</v>
      </c>
      <c r="E551" s="117"/>
      <c r="F551" s="118"/>
    </row>
    <row r="552" spans="2:9" s="110" customFormat="1" outlineLevel="1" x14ac:dyDescent="0.2">
      <c r="B552" s="60" t="s">
        <v>4167</v>
      </c>
      <c r="C552" s="490" t="s">
        <v>1629</v>
      </c>
      <c r="D552" s="116" t="s">
        <v>260</v>
      </c>
      <c r="E552" s="117"/>
      <c r="F552" s="118"/>
    </row>
    <row r="553" spans="2:9" s="110" customFormat="1" outlineLevel="1" x14ac:dyDescent="0.2">
      <c r="B553" s="60" t="s">
        <v>4168</v>
      </c>
      <c r="C553" s="490" t="s">
        <v>1630</v>
      </c>
      <c r="D553" s="116" t="s">
        <v>260</v>
      </c>
      <c r="E553" s="117"/>
      <c r="F553" s="118"/>
    </row>
    <row r="554" spans="2:9" s="110" customFormat="1" outlineLevel="1" x14ac:dyDescent="0.2">
      <c r="B554" s="60" t="s">
        <v>4169</v>
      </c>
      <c r="C554" s="490" t="s">
        <v>1631</v>
      </c>
      <c r="D554" s="116" t="s">
        <v>260</v>
      </c>
      <c r="E554" s="117"/>
      <c r="F554" s="118"/>
    </row>
    <row r="555" spans="2:9" s="110" customFormat="1" outlineLevel="1" x14ac:dyDescent="0.2">
      <c r="B555" s="60" t="s">
        <v>4170</v>
      </c>
      <c r="C555" s="490" t="s">
        <v>1632</v>
      </c>
      <c r="D555" s="116" t="s">
        <v>260</v>
      </c>
      <c r="E555" s="117"/>
      <c r="F555" s="118"/>
    </row>
    <row r="556" spans="2:9" s="110" customFormat="1" outlineLevel="1" x14ac:dyDescent="0.2">
      <c r="B556" s="60" t="s">
        <v>4171</v>
      </c>
      <c r="C556" s="490" t="s">
        <v>1633</v>
      </c>
      <c r="D556" s="116" t="s">
        <v>260</v>
      </c>
      <c r="E556" s="117"/>
      <c r="F556" s="118"/>
    </row>
    <row r="557" spans="2:9" s="110" customFormat="1" outlineLevel="1" x14ac:dyDescent="0.2">
      <c r="B557" s="60" t="s">
        <v>4172</v>
      </c>
      <c r="C557" s="490" t="s">
        <v>1634</v>
      </c>
      <c r="D557" s="116" t="s">
        <v>260</v>
      </c>
      <c r="E557" s="117"/>
      <c r="F557" s="118"/>
    </row>
    <row r="558" spans="2:9" s="110" customFormat="1" outlineLevel="1" x14ac:dyDescent="0.2">
      <c r="B558" s="60" t="s">
        <v>4173</v>
      </c>
      <c r="C558" s="490" t="s">
        <v>1635</v>
      </c>
      <c r="D558" s="116" t="s">
        <v>260</v>
      </c>
      <c r="E558" s="117"/>
      <c r="F558" s="118"/>
    </row>
    <row r="559" spans="2:9" s="110" customFormat="1" outlineLevel="1" x14ac:dyDescent="0.2">
      <c r="B559" s="60" t="s">
        <v>4174</v>
      </c>
      <c r="C559" s="490" t="s">
        <v>1636</v>
      </c>
      <c r="D559" s="116" t="s">
        <v>260</v>
      </c>
      <c r="E559" s="117"/>
      <c r="F559" s="118"/>
    </row>
    <row r="560" spans="2:9" s="110" customFormat="1" outlineLevel="1" x14ac:dyDescent="0.2">
      <c r="B560" s="60" t="s">
        <v>4175</v>
      </c>
      <c r="C560" s="490" t="s">
        <v>1637</v>
      </c>
      <c r="D560" s="116" t="s">
        <v>260</v>
      </c>
      <c r="E560" s="117"/>
      <c r="F560" s="118"/>
    </row>
    <row r="561" spans="2:9" s="110" customFormat="1" outlineLevel="1" x14ac:dyDescent="0.2">
      <c r="B561" s="60" t="s">
        <v>4176</v>
      </c>
      <c r="C561" s="490" t="s">
        <v>1638</v>
      </c>
      <c r="D561" s="116" t="s">
        <v>260</v>
      </c>
      <c r="E561" s="117"/>
      <c r="F561" s="118"/>
    </row>
    <row r="562" spans="2:9" s="110" customFormat="1" outlineLevel="1" x14ac:dyDescent="0.2">
      <c r="B562" s="60" t="s">
        <v>4177</v>
      </c>
      <c r="C562" s="490" t="s">
        <v>1639</v>
      </c>
      <c r="D562" s="116" t="s">
        <v>260</v>
      </c>
      <c r="E562" s="117"/>
      <c r="F562" s="118"/>
    </row>
    <row r="563" spans="2:9" s="110" customFormat="1" outlineLevel="1" x14ac:dyDescent="0.2">
      <c r="B563" s="60" t="s">
        <v>4178</v>
      </c>
      <c r="C563" s="490" t="s">
        <v>1640</v>
      </c>
      <c r="D563" s="116" t="s">
        <v>260</v>
      </c>
      <c r="E563" s="117"/>
      <c r="F563" s="118"/>
    </row>
    <row r="564" spans="2:9" s="110" customFormat="1" outlineLevel="1" x14ac:dyDescent="0.2">
      <c r="B564" s="60" t="s">
        <v>4179</v>
      </c>
      <c r="C564" s="490" t="s">
        <v>1641</v>
      </c>
      <c r="D564" s="116" t="s">
        <v>260</v>
      </c>
      <c r="E564" s="117"/>
      <c r="F564" s="118"/>
    </row>
    <row r="565" spans="2:9" s="110" customFormat="1" outlineLevel="1" x14ac:dyDescent="0.2">
      <c r="B565" s="60" t="s">
        <v>4180</v>
      </c>
      <c r="C565" s="490" t="s">
        <v>1642</v>
      </c>
      <c r="D565" s="116" t="s">
        <v>260</v>
      </c>
      <c r="E565" s="117"/>
      <c r="F565" s="118"/>
    </row>
    <row r="566" spans="2:9" s="110" customFormat="1" outlineLevel="1" x14ac:dyDescent="0.2">
      <c r="B566" s="60" t="s">
        <v>4181</v>
      </c>
      <c r="C566" s="490" t="s">
        <v>1643</v>
      </c>
      <c r="D566" s="116" t="s">
        <v>260</v>
      </c>
      <c r="E566" s="117"/>
      <c r="F566" s="118"/>
    </row>
    <row r="567" spans="2:9" s="104" customFormat="1" x14ac:dyDescent="0.2">
      <c r="B567" s="60" t="s">
        <v>4182</v>
      </c>
      <c r="C567" s="488">
        <v>2.5</v>
      </c>
      <c r="D567" s="125" t="s">
        <v>254</v>
      </c>
      <c r="E567" s="126">
        <f>SUM(E568:E587)</f>
        <v>0</v>
      </c>
      <c r="F567" s="127">
        <f>SUM(F568:F587)</f>
        <v>0</v>
      </c>
      <c r="G567" s="119"/>
      <c r="H567" s="119"/>
      <c r="I567" s="119"/>
    </row>
    <row r="568" spans="2:9" s="110" customFormat="1" outlineLevel="1" x14ac:dyDescent="0.2">
      <c r="B568" s="60" t="s">
        <v>4183</v>
      </c>
      <c r="C568" s="490" t="s">
        <v>2391</v>
      </c>
      <c r="D568" s="116" t="s">
        <v>260</v>
      </c>
      <c r="E568" s="117"/>
      <c r="F568" s="118"/>
    </row>
    <row r="569" spans="2:9" s="110" customFormat="1" outlineLevel="1" x14ac:dyDescent="0.2">
      <c r="B569" s="60" t="s">
        <v>4184</v>
      </c>
      <c r="C569" s="490" t="s">
        <v>2392</v>
      </c>
      <c r="D569" s="116" t="s">
        <v>260</v>
      </c>
      <c r="E569" s="117"/>
      <c r="F569" s="118"/>
    </row>
    <row r="570" spans="2:9" s="110" customFormat="1" outlineLevel="1" x14ac:dyDescent="0.2">
      <c r="B570" s="60" t="s">
        <v>4185</v>
      </c>
      <c r="C570" s="490" t="s">
        <v>2393</v>
      </c>
      <c r="D570" s="116" t="s">
        <v>260</v>
      </c>
      <c r="E570" s="117"/>
      <c r="F570" s="118"/>
    </row>
    <row r="571" spans="2:9" s="110" customFormat="1" outlineLevel="1" x14ac:dyDescent="0.2">
      <c r="B571" s="60" t="s">
        <v>4186</v>
      </c>
      <c r="C571" s="490" t="s">
        <v>2394</v>
      </c>
      <c r="D571" s="116" t="s">
        <v>260</v>
      </c>
      <c r="E571" s="117"/>
      <c r="F571" s="118"/>
    </row>
    <row r="572" spans="2:9" s="110" customFormat="1" outlineLevel="1" x14ac:dyDescent="0.2">
      <c r="B572" s="60" t="s">
        <v>4187</v>
      </c>
      <c r="C572" s="490" t="s">
        <v>2395</v>
      </c>
      <c r="D572" s="116" t="s">
        <v>260</v>
      </c>
      <c r="E572" s="117"/>
      <c r="F572" s="118"/>
    </row>
    <row r="573" spans="2:9" s="110" customFormat="1" outlineLevel="1" x14ac:dyDescent="0.2">
      <c r="B573" s="60" t="s">
        <v>4188</v>
      </c>
      <c r="C573" s="490" t="s">
        <v>2396</v>
      </c>
      <c r="D573" s="116" t="s">
        <v>260</v>
      </c>
      <c r="E573" s="117"/>
      <c r="F573" s="118"/>
    </row>
    <row r="574" spans="2:9" s="110" customFormat="1" outlineLevel="1" x14ac:dyDescent="0.2">
      <c r="B574" s="60" t="s">
        <v>4189</v>
      </c>
      <c r="C574" s="490" t="s">
        <v>2397</v>
      </c>
      <c r="D574" s="116" t="s">
        <v>260</v>
      </c>
      <c r="E574" s="117"/>
      <c r="F574" s="118"/>
    </row>
    <row r="575" spans="2:9" s="110" customFormat="1" outlineLevel="1" x14ac:dyDescent="0.2">
      <c r="B575" s="60" t="s">
        <v>4190</v>
      </c>
      <c r="C575" s="490" t="s">
        <v>2398</v>
      </c>
      <c r="D575" s="116" t="s">
        <v>260</v>
      </c>
      <c r="E575" s="117"/>
      <c r="F575" s="118"/>
    </row>
    <row r="576" spans="2:9" s="110" customFormat="1" outlineLevel="1" x14ac:dyDescent="0.2">
      <c r="B576" s="60" t="s">
        <v>4191</v>
      </c>
      <c r="C576" s="490" t="s">
        <v>2399</v>
      </c>
      <c r="D576" s="116" t="s">
        <v>260</v>
      </c>
      <c r="E576" s="117"/>
      <c r="F576" s="118"/>
    </row>
    <row r="577" spans="2:9" s="110" customFormat="1" outlineLevel="1" x14ac:dyDescent="0.2">
      <c r="B577" s="60" t="s">
        <v>4192</v>
      </c>
      <c r="C577" s="490" t="s">
        <v>2400</v>
      </c>
      <c r="D577" s="116" t="s">
        <v>260</v>
      </c>
      <c r="E577" s="117"/>
      <c r="F577" s="118"/>
    </row>
    <row r="578" spans="2:9" s="110" customFormat="1" outlineLevel="1" x14ac:dyDescent="0.2">
      <c r="B578" s="60" t="s">
        <v>4193</v>
      </c>
      <c r="C578" s="490" t="s">
        <v>2401</v>
      </c>
      <c r="D578" s="116" t="s">
        <v>260</v>
      </c>
      <c r="E578" s="117"/>
      <c r="F578" s="118"/>
    </row>
    <row r="579" spans="2:9" s="110" customFormat="1" outlineLevel="1" x14ac:dyDescent="0.2">
      <c r="B579" s="60" t="s">
        <v>4194</v>
      </c>
      <c r="C579" s="490" t="s">
        <v>2402</v>
      </c>
      <c r="D579" s="116" t="s">
        <v>260</v>
      </c>
      <c r="E579" s="117"/>
      <c r="F579" s="118"/>
    </row>
    <row r="580" spans="2:9" s="110" customFormat="1" outlineLevel="1" x14ac:dyDescent="0.2">
      <c r="B580" s="60" t="s">
        <v>4195</v>
      </c>
      <c r="C580" s="490" t="s">
        <v>2403</v>
      </c>
      <c r="D580" s="116" t="s">
        <v>260</v>
      </c>
      <c r="E580" s="117"/>
      <c r="F580" s="118"/>
    </row>
    <row r="581" spans="2:9" s="110" customFormat="1" outlineLevel="1" x14ac:dyDescent="0.2">
      <c r="B581" s="60" t="s">
        <v>4196</v>
      </c>
      <c r="C581" s="490" t="s">
        <v>2404</v>
      </c>
      <c r="D581" s="116" t="s">
        <v>260</v>
      </c>
      <c r="E581" s="117"/>
      <c r="F581" s="118"/>
    </row>
    <row r="582" spans="2:9" s="110" customFormat="1" outlineLevel="1" x14ac:dyDescent="0.2">
      <c r="B582" s="60" t="s">
        <v>4197</v>
      </c>
      <c r="C582" s="490" t="s">
        <v>2405</v>
      </c>
      <c r="D582" s="116" t="s">
        <v>260</v>
      </c>
      <c r="E582" s="117"/>
      <c r="F582" s="118"/>
    </row>
    <row r="583" spans="2:9" s="110" customFormat="1" outlineLevel="1" x14ac:dyDescent="0.2">
      <c r="B583" s="60" t="s">
        <v>4198</v>
      </c>
      <c r="C583" s="490" t="s">
        <v>2406</v>
      </c>
      <c r="D583" s="116" t="s">
        <v>260</v>
      </c>
      <c r="E583" s="117"/>
      <c r="F583" s="118"/>
    </row>
    <row r="584" spans="2:9" s="110" customFormat="1" outlineLevel="1" x14ac:dyDescent="0.2">
      <c r="B584" s="60" t="s">
        <v>4199</v>
      </c>
      <c r="C584" s="490" t="s">
        <v>2407</v>
      </c>
      <c r="D584" s="116" t="s">
        <v>260</v>
      </c>
      <c r="E584" s="117"/>
      <c r="F584" s="118"/>
    </row>
    <row r="585" spans="2:9" s="110" customFormat="1" outlineLevel="1" x14ac:dyDescent="0.2">
      <c r="B585" s="60" t="s">
        <v>4200</v>
      </c>
      <c r="C585" s="490" t="s">
        <v>2408</v>
      </c>
      <c r="D585" s="116" t="s">
        <v>260</v>
      </c>
      <c r="E585" s="117"/>
      <c r="F585" s="118"/>
    </row>
    <row r="586" spans="2:9" s="110" customFormat="1" outlineLevel="1" x14ac:dyDescent="0.2">
      <c r="B586" s="60" t="s">
        <v>4201</v>
      </c>
      <c r="C586" s="490" t="s">
        <v>2409</v>
      </c>
      <c r="D586" s="116" t="s">
        <v>260</v>
      </c>
      <c r="E586" s="117"/>
      <c r="F586" s="118"/>
    </row>
    <row r="587" spans="2:9" s="110" customFormat="1" outlineLevel="1" x14ac:dyDescent="0.2">
      <c r="B587" s="60" t="s">
        <v>4202</v>
      </c>
      <c r="C587" s="490" t="s">
        <v>2410</v>
      </c>
      <c r="D587" s="116" t="s">
        <v>260</v>
      </c>
      <c r="E587" s="117"/>
      <c r="F587" s="118"/>
    </row>
    <row r="588" spans="2:9" s="104" customFormat="1" x14ac:dyDescent="0.2">
      <c r="B588" s="60" t="s">
        <v>4203</v>
      </c>
      <c r="C588" s="488">
        <v>2.6</v>
      </c>
      <c r="D588" s="125" t="s">
        <v>266</v>
      </c>
      <c r="E588" s="126">
        <f>SUM(E589:E608)</f>
        <v>0</v>
      </c>
      <c r="F588" s="127">
        <f>SUM(F589:F608)</f>
        <v>0</v>
      </c>
      <c r="G588" s="119"/>
      <c r="H588" s="119"/>
      <c r="I588" s="119"/>
    </row>
    <row r="589" spans="2:9" s="110" customFormat="1" outlineLevel="1" x14ac:dyDescent="0.2">
      <c r="B589" s="60" t="s">
        <v>4204</v>
      </c>
      <c r="C589" s="490" t="s">
        <v>2411</v>
      </c>
      <c r="D589" s="116" t="s">
        <v>260</v>
      </c>
      <c r="E589" s="117"/>
      <c r="F589" s="118"/>
    </row>
    <row r="590" spans="2:9" s="110" customFormat="1" outlineLevel="1" x14ac:dyDescent="0.2">
      <c r="B590" s="60" t="s">
        <v>4205</v>
      </c>
      <c r="C590" s="490" t="s">
        <v>2412</v>
      </c>
      <c r="D590" s="116" t="s">
        <v>260</v>
      </c>
      <c r="E590" s="117"/>
      <c r="F590" s="118"/>
    </row>
    <row r="591" spans="2:9" s="110" customFormat="1" outlineLevel="1" x14ac:dyDescent="0.2">
      <c r="B591" s="60" t="s">
        <v>4206</v>
      </c>
      <c r="C591" s="490" t="s">
        <v>2413</v>
      </c>
      <c r="D591" s="116" t="s">
        <v>260</v>
      </c>
      <c r="E591" s="117"/>
      <c r="F591" s="118"/>
    </row>
    <row r="592" spans="2:9" s="110" customFormat="1" outlineLevel="1" x14ac:dyDescent="0.2">
      <c r="B592" s="60" t="s">
        <v>4207</v>
      </c>
      <c r="C592" s="490" t="s">
        <v>2414</v>
      </c>
      <c r="D592" s="116" t="s">
        <v>260</v>
      </c>
      <c r="E592" s="117"/>
      <c r="F592" s="118"/>
    </row>
    <row r="593" spans="2:6" s="110" customFormat="1" outlineLevel="1" x14ac:dyDescent="0.2">
      <c r="B593" s="60" t="s">
        <v>4208</v>
      </c>
      <c r="C593" s="490" t="s">
        <v>2415</v>
      </c>
      <c r="D593" s="116" t="s">
        <v>260</v>
      </c>
      <c r="E593" s="117"/>
      <c r="F593" s="118"/>
    </row>
    <row r="594" spans="2:6" s="110" customFormat="1" outlineLevel="1" x14ac:dyDescent="0.2">
      <c r="B594" s="60" t="s">
        <v>4209</v>
      </c>
      <c r="C594" s="490" t="s">
        <v>2416</v>
      </c>
      <c r="D594" s="116" t="s">
        <v>260</v>
      </c>
      <c r="E594" s="117"/>
      <c r="F594" s="118"/>
    </row>
    <row r="595" spans="2:6" s="110" customFormat="1" outlineLevel="1" x14ac:dyDescent="0.2">
      <c r="B595" s="60" t="s">
        <v>4210</v>
      </c>
      <c r="C595" s="490" t="s">
        <v>2417</v>
      </c>
      <c r="D595" s="116" t="s">
        <v>260</v>
      </c>
      <c r="E595" s="117"/>
      <c r="F595" s="118"/>
    </row>
    <row r="596" spans="2:6" s="110" customFormat="1" outlineLevel="1" x14ac:dyDescent="0.2">
      <c r="B596" s="60" t="s">
        <v>4211</v>
      </c>
      <c r="C596" s="490" t="s">
        <v>2418</v>
      </c>
      <c r="D596" s="116" t="s">
        <v>260</v>
      </c>
      <c r="E596" s="117"/>
      <c r="F596" s="118"/>
    </row>
    <row r="597" spans="2:6" s="110" customFormat="1" outlineLevel="1" x14ac:dyDescent="0.2">
      <c r="B597" s="60" t="s">
        <v>4212</v>
      </c>
      <c r="C597" s="490" t="s">
        <v>2419</v>
      </c>
      <c r="D597" s="116" t="s">
        <v>260</v>
      </c>
      <c r="E597" s="117"/>
      <c r="F597" s="118"/>
    </row>
    <row r="598" spans="2:6" s="110" customFormat="1" outlineLevel="1" x14ac:dyDescent="0.2">
      <c r="B598" s="60" t="s">
        <v>4213</v>
      </c>
      <c r="C598" s="490" t="s">
        <v>2420</v>
      </c>
      <c r="D598" s="116" t="s">
        <v>260</v>
      </c>
      <c r="E598" s="117"/>
      <c r="F598" s="118"/>
    </row>
    <row r="599" spans="2:6" s="110" customFormat="1" outlineLevel="1" x14ac:dyDescent="0.2">
      <c r="B599" s="60" t="s">
        <v>4214</v>
      </c>
      <c r="C599" s="490" t="s">
        <v>2421</v>
      </c>
      <c r="D599" s="116" t="s">
        <v>260</v>
      </c>
      <c r="E599" s="117"/>
      <c r="F599" s="118"/>
    </row>
    <row r="600" spans="2:6" s="110" customFormat="1" outlineLevel="1" x14ac:dyDescent="0.2">
      <c r="B600" s="60" t="s">
        <v>4215</v>
      </c>
      <c r="C600" s="490" t="s">
        <v>2422</v>
      </c>
      <c r="D600" s="116" t="s">
        <v>260</v>
      </c>
      <c r="E600" s="117"/>
      <c r="F600" s="118"/>
    </row>
    <row r="601" spans="2:6" s="110" customFormat="1" outlineLevel="1" x14ac:dyDescent="0.2">
      <c r="B601" s="60" t="s">
        <v>4216</v>
      </c>
      <c r="C601" s="490" t="s">
        <v>2423</v>
      </c>
      <c r="D601" s="116" t="s">
        <v>260</v>
      </c>
      <c r="E601" s="117"/>
      <c r="F601" s="118"/>
    </row>
    <row r="602" spans="2:6" s="110" customFormat="1" outlineLevel="1" x14ac:dyDescent="0.2">
      <c r="B602" s="60" t="s">
        <v>4217</v>
      </c>
      <c r="C602" s="490" t="s">
        <v>2424</v>
      </c>
      <c r="D602" s="116" t="s">
        <v>260</v>
      </c>
      <c r="E602" s="117"/>
      <c r="F602" s="118"/>
    </row>
    <row r="603" spans="2:6" s="110" customFormat="1" outlineLevel="1" x14ac:dyDescent="0.2">
      <c r="B603" s="60" t="s">
        <v>4218</v>
      </c>
      <c r="C603" s="490" t="s">
        <v>2425</v>
      </c>
      <c r="D603" s="116" t="s">
        <v>260</v>
      </c>
      <c r="E603" s="117"/>
      <c r="F603" s="118"/>
    </row>
    <row r="604" spans="2:6" s="110" customFormat="1" outlineLevel="1" x14ac:dyDescent="0.2">
      <c r="B604" s="60" t="s">
        <v>4219</v>
      </c>
      <c r="C604" s="490" t="s">
        <v>2426</v>
      </c>
      <c r="D604" s="116" t="s">
        <v>260</v>
      </c>
      <c r="E604" s="117"/>
      <c r="F604" s="118"/>
    </row>
    <row r="605" spans="2:6" s="110" customFormat="1" outlineLevel="1" x14ac:dyDescent="0.2">
      <c r="B605" s="60" t="s">
        <v>4220</v>
      </c>
      <c r="C605" s="490" t="s">
        <v>2427</v>
      </c>
      <c r="D605" s="116" t="s">
        <v>260</v>
      </c>
      <c r="E605" s="117"/>
      <c r="F605" s="118"/>
    </row>
    <row r="606" spans="2:6" s="110" customFormat="1" outlineLevel="1" x14ac:dyDescent="0.2">
      <c r="B606" s="60" t="s">
        <v>4221</v>
      </c>
      <c r="C606" s="490" t="s">
        <v>2428</v>
      </c>
      <c r="D606" s="116" t="s">
        <v>260</v>
      </c>
      <c r="E606" s="117"/>
      <c r="F606" s="118"/>
    </row>
    <row r="607" spans="2:6" s="110" customFormat="1" outlineLevel="1" x14ac:dyDescent="0.2">
      <c r="B607" s="60" t="s">
        <v>4222</v>
      </c>
      <c r="C607" s="490" t="s">
        <v>2429</v>
      </c>
      <c r="D607" s="116" t="s">
        <v>260</v>
      </c>
      <c r="E607" s="117"/>
      <c r="F607" s="118"/>
    </row>
    <row r="608" spans="2:6" s="110" customFormat="1" outlineLevel="1" x14ac:dyDescent="0.2">
      <c r="B608" s="60" t="s">
        <v>4223</v>
      </c>
      <c r="C608" s="490" t="s">
        <v>2430</v>
      </c>
      <c r="D608" s="116" t="s">
        <v>260</v>
      </c>
      <c r="E608" s="117"/>
      <c r="F608" s="118"/>
    </row>
    <row r="609" spans="2:9" s="119" customFormat="1" x14ac:dyDescent="0.2">
      <c r="B609" s="60" t="s">
        <v>4224</v>
      </c>
      <c r="C609" s="489">
        <v>3</v>
      </c>
      <c r="D609" s="122" t="s">
        <v>261</v>
      </c>
      <c r="E609" s="123">
        <f>E610+E631+E652+E673+E694+E715</f>
        <v>0</v>
      </c>
      <c r="F609" s="124">
        <f>F610+F631+F652+F673+F694+F715</f>
        <v>0</v>
      </c>
    </row>
    <row r="610" spans="2:9" s="104" customFormat="1" x14ac:dyDescent="0.2">
      <c r="B610" s="60" t="s">
        <v>4225</v>
      </c>
      <c r="C610" s="488">
        <v>3.1</v>
      </c>
      <c r="D610" s="125" t="s">
        <v>250</v>
      </c>
      <c r="E610" s="126">
        <f>SUM(E611:E630)</f>
        <v>0</v>
      </c>
      <c r="F610" s="127">
        <f>SUM(F611:F630)</f>
        <v>0</v>
      </c>
      <c r="G610" s="119"/>
      <c r="H610" s="119"/>
      <c r="I610" s="119"/>
    </row>
    <row r="611" spans="2:9" s="110" customFormat="1" outlineLevel="1" x14ac:dyDescent="0.2">
      <c r="B611" s="60" t="s">
        <v>4226</v>
      </c>
      <c r="C611" s="490" t="s">
        <v>450</v>
      </c>
      <c r="D611" s="116" t="s">
        <v>260</v>
      </c>
      <c r="E611" s="117"/>
      <c r="F611" s="118"/>
    </row>
    <row r="612" spans="2:9" s="110" customFormat="1" outlineLevel="1" x14ac:dyDescent="0.2">
      <c r="B612" s="60" t="s">
        <v>4227</v>
      </c>
      <c r="C612" s="490" t="s">
        <v>451</v>
      </c>
      <c r="D612" s="116" t="s">
        <v>260</v>
      </c>
      <c r="E612" s="117"/>
      <c r="F612" s="118"/>
    </row>
    <row r="613" spans="2:9" s="110" customFormat="1" outlineLevel="1" x14ac:dyDescent="0.2">
      <c r="B613" s="60" t="s">
        <v>4228</v>
      </c>
      <c r="C613" s="490" t="s">
        <v>458</v>
      </c>
      <c r="D613" s="116" t="s">
        <v>260</v>
      </c>
      <c r="E613" s="117"/>
      <c r="F613" s="118"/>
    </row>
    <row r="614" spans="2:9" s="110" customFormat="1" outlineLevel="1" x14ac:dyDescent="0.2">
      <c r="B614" s="60" t="s">
        <v>4229</v>
      </c>
      <c r="C614" s="490" t="s">
        <v>600</v>
      </c>
      <c r="D614" s="116" t="s">
        <v>260</v>
      </c>
      <c r="E614" s="117"/>
      <c r="F614" s="118"/>
    </row>
    <row r="615" spans="2:9" s="110" customFormat="1" outlineLevel="1" x14ac:dyDescent="0.2">
      <c r="B615" s="60" t="s">
        <v>4230</v>
      </c>
      <c r="C615" s="490" t="s">
        <v>601</v>
      </c>
      <c r="D615" s="116" t="s">
        <v>260</v>
      </c>
      <c r="E615" s="117"/>
      <c r="F615" s="118"/>
    </row>
    <row r="616" spans="2:9" s="110" customFormat="1" outlineLevel="1" x14ac:dyDescent="0.2">
      <c r="B616" s="60" t="s">
        <v>4231</v>
      </c>
      <c r="C616" s="490" t="s">
        <v>602</v>
      </c>
      <c r="D616" s="116" t="s">
        <v>260</v>
      </c>
      <c r="E616" s="117"/>
      <c r="F616" s="118"/>
    </row>
    <row r="617" spans="2:9" s="110" customFormat="1" outlineLevel="1" x14ac:dyDescent="0.2">
      <c r="B617" s="60" t="s">
        <v>4232</v>
      </c>
      <c r="C617" s="490" t="s">
        <v>603</v>
      </c>
      <c r="D617" s="116" t="s">
        <v>260</v>
      </c>
      <c r="E617" s="117"/>
      <c r="F617" s="118"/>
    </row>
    <row r="618" spans="2:9" s="110" customFormat="1" outlineLevel="1" x14ac:dyDescent="0.2">
      <c r="B618" s="60" t="s">
        <v>4233</v>
      </c>
      <c r="C618" s="490" t="s">
        <v>604</v>
      </c>
      <c r="D618" s="116" t="s">
        <v>260</v>
      </c>
      <c r="E618" s="117"/>
      <c r="F618" s="118"/>
    </row>
    <row r="619" spans="2:9" s="110" customFormat="1" outlineLevel="1" x14ac:dyDescent="0.2">
      <c r="B619" s="60" t="s">
        <v>4234</v>
      </c>
      <c r="C619" s="490" t="s">
        <v>605</v>
      </c>
      <c r="D619" s="116" t="s">
        <v>260</v>
      </c>
      <c r="E619" s="117"/>
      <c r="F619" s="118"/>
    </row>
    <row r="620" spans="2:9" s="110" customFormat="1" outlineLevel="1" x14ac:dyDescent="0.2">
      <c r="B620" s="60" t="s">
        <v>4235</v>
      </c>
      <c r="C620" s="490" t="s">
        <v>606</v>
      </c>
      <c r="D620" s="116" t="s">
        <v>260</v>
      </c>
      <c r="E620" s="117"/>
      <c r="F620" s="118"/>
    </row>
    <row r="621" spans="2:9" s="110" customFormat="1" outlineLevel="1" x14ac:dyDescent="0.2">
      <c r="B621" s="60" t="s">
        <v>4236</v>
      </c>
      <c r="C621" s="490" t="s">
        <v>607</v>
      </c>
      <c r="D621" s="116" t="s">
        <v>260</v>
      </c>
      <c r="E621" s="117"/>
      <c r="F621" s="118"/>
    </row>
    <row r="622" spans="2:9" s="110" customFormat="1" outlineLevel="1" x14ac:dyDescent="0.2">
      <c r="B622" s="60" t="s">
        <v>4237</v>
      </c>
      <c r="C622" s="490" t="s">
        <v>608</v>
      </c>
      <c r="D622" s="116" t="s">
        <v>260</v>
      </c>
      <c r="E622" s="117"/>
      <c r="F622" s="118"/>
    </row>
    <row r="623" spans="2:9" s="110" customFormat="1" outlineLevel="1" x14ac:dyDescent="0.2">
      <c r="B623" s="60" t="s">
        <v>4238</v>
      </c>
      <c r="C623" s="490" t="s">
        <v>609</v>
      </c>
      <c r="D623" s="116" t="s">
        <v>260</v>
      </c>
      <c r="E623" s="117"/>
      <c r="F623" s="118"/>
    </row>
    <row r="624" spans="2:9" s="110" customFormat="1" outlineLevel="1" x14ac:dyDescent="0.2">
      <c r="B624" s="60" t="s">
        <v>4239</v>
      </c>
      <c r="C624" s="490" t="s">
        <v>610</v>
      </c>
      <c r="D624" s="116" t="s">
        <v>260</v>
      </c>
      <c r="E624" s="117"/>
      <c r="F624" s="118"/>
    </row>
    <row r="625" spans="2:9" s="110" customFormat="1" outlineLevel="1" x14ac:dyDescent="0.2">
      <c r="B625" s="60" t="s">
        <v>4240</v>
      </c>
      <c r="C625" s="490" t="s">
        <v>611</v>
      </c>
      <c r="D625" s="116" t="s">
        <v>260</v>
      </c>
      <c r="E625" s="117"/>
      <c r="F625" s="118"/>
    </row>
    <row r="626" spans="2:9" s="110" customFormat="1" outlineLevel="1" x14ac:dyDescent="0.2">
      <c r="B626" s="60" t="s">
        <v>4241</v>
      </c>
      <c r="C626" s="490" t="s">
        <v>612</v>
      </c>
      <c r="D626" s="116" t="s">
        <v>260</v>
      </c>
      <c r="E626" s="117"/>
      <c r="F626" s="118"/>
    </row>
    <row r="627" spans="2:9" s="110" customFormat="1" outlineLevel="1" x14ac:dyDescent="0.2">
      <c r="B627" s="60" t="s">
        <v>4242</v>
      </c>
      <c r="C627" s="490" t="s">
        <v>613</v>
      </c>
      <c r="D627" s="116" t="s">
        <v>260</v>
      </c>
      <c r="E627" s="117"/>
      <c r="F627" s="118"/>
    </row>
    <row r="628" spans="2:9" s="110" customFormat="1" outlineLevel="1" x14ac:dyDescent="0.2">
      <c r="B628" s="60" t="s">
        <v>4243</v>
      </c>
      <c r="C628" s="490" t="s">
        <v>614</v>
      </c>
      <c r="D628" s="116" t="s">
        <v>260</v>
      </c>
      <c r="E628" s="117"/>
      <c r="F628" s="118"/>
    </row>
    <row r="629" spans="2:9" s="110" customFormat="1" outlineLevel="1" x14ac:dyDescent="0.2">
      <c r="B629" s="60" t="s">
        <v>4244</v>
      </c>
      <c r="C629" s="490" t="s">
        <v>615</v>
      </c>
      <c r="D629" s="116" t="s">
        <v>260</v>
      </c>
      <c r="E629" s="117"/>
      <c r="F629" s="118"/>
    </row>
    <row r="630" spans="2:9" s="110" customFormat="1" outlineLevel="1" x14ac:dyDescent="0.2">
      <c r="B630" s="60" t="s">
        <v>4245</v>
      </c>
      <c r="C630" s="490" t="s">
        <v>616</v>
      </c>
      <c r="D630" s="116" t="s">
        <v>260</v>
      </c>
      <c r="E630" s="117"/>
      <c r="F630" s="118"/>
    </row>
    <row r="631" spans="2:9" s="104" customFormat="1" x14ac:dyDescent="0.2">
      <c r="B631" s="60" t="s">
        <v>4246</v>
      </c>
      <c r="C631" s="488">
        <v>3.2</v>
      </c>
      <c r="D631" s="125" t="s">
        <v>264</v>
      </c>
      <c r="E631" s="126">
        <f>SUM(E632:E651)</f>
        <v>0</v>
      </c>
      <c r="F631" s="127">
        <f>SUM(F632:F651)</f>
        <v>0</v>
      </c>
      <c r="G631" s="119"/>
      <c r="H631" s="119"/>
      <c r="I631" s="119"/>
    </row>
    <row r="632" spans="2:9" s="110" customFormat="1" outlineLevel="1" x14ac:dyDescent="0.2">
      <c r="B632" s="60" t="s">
        <v>4247</v>
      </c>
      <c r="C632" s="490" t="s">
        <v>454</v>
      </c>
      <c r="D632" s="116" t="s">
        <v>260</v>
      </c>
      <c r="E632" s="117"/>
      <c r="F632" s="118"/>
    </row>
    <row r="633" spans="2:9" s="110" customFormat="1" outlineLevel="1" x14ac:dyDescent="0.2">
      <c r="B633" s="60" t="s">
        <v>4248</v>
      </c>
      <c r="C633" s="490" t="s">
        <v>455</v>
      </c>
      <c r="D633" s="116" t="s">
        <v>260</v>
      </c>
      <c r="E633" s="117"/>
      <c r="F633" s="118"/>
    </row>
    <row r="634" spans="2:9" s="110" customFormat="1" outlineLevel="1" x14ac:dyDescent="0.2">
      <c r="B634" s="60" t="s">
        <v>4249</v>
      </c>
      <c r="C634" s="490" t="s">
        <v>459</v>
      </c>
      <c r="D634" s="116" t="s">
        <v>260</v>
      </c>
      <c r="E634" s="117"/>
      <c r="F634" s="118"/>
    </row>
    <row r="635" spans="2:9" s="110" customFormat="1" outlineLevel="1" x14ac:dyDescent="0.2">
      <c r="B635" s="60" t="s">
        <v>4250</v>
      </c>
      <c r="C635" s="490" t="s">
        <v>617</v>
      </c>
      <c r="D635" s="116" t="s">
        <v>260</v>
      </c>
      <c r="E635" s="117"/>
      <c r="F635" s="118"/>
    </row>
    <row r="636" spans="2:9" s="110" customFormat="1" outlineLevel="1" x14ac:dyDescent="0.2">
      <c r="B636" s="60" t="s">
        <v>4251</v>
      </c>
      <c r="C636" s="490" t="s">
        <v>618</v>
      </c>
      <c r="D636" s="116" t="s">
        <v>260</v>
      </c>
      <c r="E636" s="117"/>
      <c r="F636" s="118"/>
    </row>
    <row r="637" spans="2:9" s="110" customFormat="1" outlineLevel="1" x14ac:dyDescent="0.2">
      <c r="B637" s="60" t="s">
        <v>4252</v>
      </c>
      <c r="C637" s="490" t="s">
        <v>619</v>
      </c>
      <c r="D637" s="116" t="s">
        <v>260</v>
      </c>
      <c r="E637" s="117"/>
      <c r="F637" s="118"/>
    </row>
    <row r="638" spans="2:9" s="110" customFormat="1" outlineLevel="1" x14ac:dyDescent="0.2">
      <c r="B638" s="60" t="s">
        <v>4253</v>
      </c>
      <c r="C638" s="490" t="s">
        <v>620</v>
      </c>
      <c r="D638" s="116" t="s">
        <v>260</v>
      </c>
      <c r="E638" s="117"/>
      <c r="F638" s="118"/>
    </row>
    <row r="639" spans="2:9" s="110" customFormat="1" outlineLevel="1" x14ac:dyDescent="0.2">
      <c r="B639" s="60" t="s">
        <v>4254</v>
      </c>
      <c r="C639" s="490" t="s">
        <v>621</v>
      </c>
      <c r="D639" s="116" t="s">
        <v>260</v>
      </c>
      <c r="E639" s="117"/>
      <c r="F639" s="118"/>
    </row>
    <row r="640" spans="2:9" s="110" customFormat="1" outlineLevel="1" x14ac:dyDescent="0.2">
      <c r="B640" s="60" t="s">
        <v>4255</v>
      </c>
      <c r="C640" s="490" t="s">
        <v>622</v>
      </c>
      <c r="D640" s="116" t="s">
        <v>260</v>
      </c>
      <c r="E640" s="117"/>
      <c r="F640" s="118"/>
    </row>
    <row r="641" spans="2:9" s="110" customFormat="1" outlineLevel="1" x14ac:dyDescent="0.2">
      <c r="B641" s="60" t="s">
        <v>4256</v>
      </c>
      <c r="C641" s="490" t="s">
        <v>623</v>
      </c>
      <c r="D641" s="116" t="s">
        <v>260</v>
      </c>
      <c r="E641" s="117"/>
      <c r="F641" s="118"/>
    </row>
    <row r="642" spans="2:9" s="110" customFormat="1" outlineLevel="1" x14ac:dyDescent="0.2">
      <c r="B642" s="60" t="s">
        <v>4257</v>
      </c>
      <c r="C642" s="490" t="s">
        <v>624</v>
      </c>
      <c r="D642" s="116" t="s">
        <v>260</v>
      </c>
      <c r="E642" s="117"/>
      <c r="F642" s="118"/>
    </row>
    <row r="643" spans="2:9" s="110" customFormat="1" outlineLevel="1" x14ac:dyDescent="0.2">
      <c r="B643" s="60" t="s">
        <v>4258</v>
      </c>
      <c r="C643" s="490" t="s">
        <v>625</v>
      </c>
      <c r="D643" s="116" t="s">
        <v>260</v>
      </c>
      <c r="E643" s="117"/>
      <c r="F643" s="118"/>
    </row>
    <row r="644" spans="2:9" s="110" customFormat="1" outlineLevel="1" x14ac:dyDescent="0.2">
      <c r="B644" s="60" t="s">
        <v>4259</v>
      </c>
      <c r="C644" s="490" t="s">
        <v>626</v>
      </c>
      <c r="D644" s="116" t="s">
        <v>260</v>
      </c>
      <c r="E644" s="117"/>
      <c r="F644" s="118"/>
    </row>
    <row r="645" spans="2:9" s="110" customFormat="1" outlineLevel="1" x14ac:dyDescent="0.2">
      <c r="B645" s="60" t="s">
        <v>4260</v>
      </c>
      <c r="C645" s="490" t="s">
        <v>627</v>
      </c>
      <c r="D645" s="116" t="s">
        <v>260</v>
      </c>
      <c r="E645" s="117"/>
      <c r="F645" s="118"/>
    </row>
    <row r="646" spans="2:9" s="110" customFormat="1" outlineLevel="1" x14ac:dyDescent="0.2">
      <c r="B646" s="60" t="s">
        <v>4261</v>
      </c>
      <c r="C646" s="490" t="s">
        <v>628</v>
      </c>
      <c r="D646" s="116" t="s">
        <v>260</v>
      </c>
      <c r="E646" s="117"/>
      <c r="F646" s="118"/>
    </row>
    <row r="647" spans="2:9" s="110" customFormat="1" outlineLevel="1" x14ac:dyDescent="0.2">
      <c r="B647" s="60" t="s">
        <v>4262</v>
      </c>
      <c r="C647" s="490" t="s">
        <v>629</v>
      </c>
      <c r="D647" s="116" t="s">
        <v>260</v>
      </c>
      <c r="E647" s="117"/>
      <c r="F647" s="118"/>
    </row>
    <row r="648" spans="2:9" s="110" customFormat="1" outlineLevel="1" x14ac:dyDescent="0.2">
      <c r="B648" s="60" t="s">
        <v>4263</v>
      </c>
      <c r="C648" s="490" t="s">
        <v>630</v>
      </c>
      <c r="D648" s="116" t="s">
        <v>260</v>
      </c>
      <c r="E648" s="117"/>
      <c r="F648" s="118"/>
    </row>
    <row r="649" spans="2:9" s="110" customFormat="1" outlineLevel="1" x14ac:dyDescent="0.2">
      <c r="B649" s="60" t="s">
        <v>4264</v>
      </c>
      <c r="C649" s="490" t="s">
        <v>631</v>
      </c>
      <c r="D649" s="116" t="s">
        <v>260</v>
      </c>
      <c r="E649" s="117"/>
      <c r="F649" s="118"/>
    </row>
    <row r="650" spans="2:9" s="110" customFormat="1" outlineLevel="1" x14ac:dyDescent="0.2">
      <c r="B650" s="60" t="s">
        <v>4265</v>
      </c>
      <c r="C650" s="490" t="s">
        <v>632</v>
      </c>
      <c r="D650" s="116" t="s">
        <v>260</v>
      </c>
      <c r="E650" s="117"/>
      <c r="F650" s="118"/>
    </row>
    <row r="651" spans="2:9" s="110" customFormat="1" outlineLevel="1" x14ac:dyDescent="0.2">
      <c r="B651" s="60" t="s">
        <v>4266</v>
      </c>
      <c r="C651" s="490" t="s">
        <v>633</v>
      </c>
      <c r="D651" s="116" t="s">
        <v>260</v>
      </c>
      <c r="E651" s="117"/>
      <c r="F651" s="118"/>
    </row>
    <row r="652" spans="2:9" s="104" customFormat="1" x14ac:dyDescent="0.2">
      <c r="B652" s="60" t="s">
        <v>4267</v>
      </c>
      <c r="C652" s="488">
        <v>3.3</v>
      </c>
      <c r="D652" s="125" t="s">
        <v>257</v>
      </c>
      <c r="E652" s="126">
        <f>SUM(E653:E672)</f>
        <v>0</v>
      </c>
      <c r="F652" s="127">
        <f>SUM(F653:F672)</f>
        <v>0</v>
      </c>
      <c r="G652" s="119"/>
      <c r="H652" s="119"/>
      <c r="I652" s="119"/>
    </row>
    <row r="653" spans="2:9" s="110" customFormat="1" outlineLevel="1" x14ac:dyDescent="0.2">
      <c r="B653" s="60" t="s">
        <v>4268</v>
      </c>
      <c r="C653" s="490" t="s">
        <v>1644</v>
      </c>
      <c r="D653" s="116" t="s">
        <v>260</v>
      </c>
      <c r="E653" s="117"/>
      <c r="F653" s="118"/>
    </row>
    <row r="654" spans="2:9" s="110" customFormat="1" outlineLevel="1" x14ac:dyDescent="0.2">
      <c r="B654" s="60" t="s">
        <v>4269</v>
      </c>
      <c r="C654" s="490" t="s">
        <v>1645</v>
      </c>
      <c r="D654" s="116" t="s">
        <v>260</v>
      </c>
      <c r="E654" s="117"/>
      <c r="F654" s="118"/>
    </row>
    <row r="655" spans="2:9" s="110" customFormat="1" outlineLevel="1" x14ac:dyDescent="0.2">
      <c r="B655" s="60" t="s">
        <v>4270</v>
      </c>
      <c r="C655" s="490" t="s">
        <v>1646</v>
      </c>
      <c r="D655" s="116" t="s">
        <v>260</v>
      </c>
      <c r="E655" s="117"/>
      <c r="F655" s="118"/>
    </row>
    <row r="656" spans="2:9" s="110" customFormat="1" outlineLevel="1" x14ac:dyDescent="0.2">
      <c r="B656" s="60" t="s">
        <v>4271</v>
      </c>
      <c r="C656" s="490" t="s">
        <v>1647</v>
      </c>
      <c r="D656" s="116" t="s">
        <v>260</v>
      </c>
      <c r="E656" s="117"/>
      <c r="F656" s="118"/>
    </row>
    <row r="657" spans="2:6" s="110" customFormat="1" outlineLevel="1" x14ac:dyDescent="0.2">
      <c r="B657" s="60" t="s">
        <v>4272</v>
      </c>
      <c r="C657" s="490" t="s">
        <v>1648</v>
      </c>
      <c r="D657" s="116" t="s">
        <v>260</v>
      </c>
      <c r="E657" s="117"/>
      <c r="F657" s="118"/>
    </row>
    <row r="658" spans="2:6" s="110" customFormat="1" outlineLevel="1" x14ac:dyDescent="0.2">
      <c r="B658" s="60" t="s">
        <v>4273</v>
      </c>
      <c r="C658" s="490" t="s">
        <v>1649</v>
      </c>
      <c r="D658" s="116" t="s">
        <v>260</v>
      </c>
      <c r="E658" s="117"/>
      <c r="F658" s="118"/>
    </row>
    <row r="659" spans="2:6" s="110" customFormat="1" outlineLevel="1" x14ac:dyDescent="0.2">
      <c r="B659" s="60" t="s">
        <v>4274</v>
      </c>
      <c r="C659" s="490" t="s">
        <v>1650</v>
      </c>
      <c r="D659" s="116" t="s">
        <v>260</v>
      </c>
      <c r="E659" s="117"/>
      <c r="F659" s="118"/>
    </row>
    <row r="660" spans="2:6" s="110" customFormat="1" outlineLevel="1" x14ac:dyDescent="0.2">
      <c r="B660" s="60" t="s">
        <v>4275</v>
      </c>
      <c r="C660" s="490" t="s">
        <v>1651</v>
      </c>
      <c r="D660" s="116" t="s">
        <v>260</v>
      </c>
      <c r="E660" s="117"/>
      <c r="F660" s="118"/>
    </row>
    <row r="661" spans="2:6" s="110" customFormat="1" outlineLevel="1" x14ac:dyDescent="0.2">
      <c r="B661" s="60" t="s">
        <v>4276</v>
      </c>
      <c r="C661" s="490" t="s">
        <v>1652</v>
      </c>
      <c r="D661" s="116" t="s">
        <v>260</v>
      </c>
      <c r="E661" s="117"/>
      <c r="F661" s="118"/>
    </row>
    <row r="662" spans="2:6" s="110" customFormat="1" outlineLevel="1" x14ac:dyDescent="0.2">
      <c r="B662" s="60" t="s">
        <v>4277</v>
      </c>
      <c r="C662" s="490" t="s">
        <v>1653</v>
      </c>
      <c r="D662" s="116" t="s">
        <v>260</v>
      </c>
      <c r="E662" s="117"/>
      <c r="F662" s="118"/>
    </row>
    <row r="663" spans="2:6" s="110" customFormat="1" outlineLevel="1" x14ac:dyDescent="0.2">
      <c r="B663" s="60" t="s">
        <v>4278</v>
      </c>
      <c r="C663" s="490" t="s">
        <v>1654</v>
      </c>
      <c r="D663" s="116" t="s">
        <v>260</v>
      </c>
      <c r="E663" s="117"/>
      <c r="F663" s="118"/>
    </row>
    <row r="664" spans="2:6" s="110" customFormat="1" outlineLevel="1" x14ac:dyDescent="0.2">
      <c r="B664" s="60" t="s">
        <v>4279</v>
      </c>
      <c r="C664" s="490" t="s">
        <v>1655</v>
      </c>
      <c r="D664" s="116" t="s">
        <v>260</v>
      </c>
      <c r="E664" s="117"/>
      <c r="F664" s="118"/>
    </row>
    <row r="665" spans="2:6" s="110" customFormat="1" outlineLevel="1" x14ac:dyDescent="0.2">
      <c r="B665" s="60" t="s">
        <v>4280</v>
      </c>
      <c r="C665" s="490" t="s">
        <v>1656</v>
      </c>
      <c r="D665" s="116" t="s">
        <v>260</v>
      </c>
      <c r="E665" s="117"/>
      <c r="F665" s="118"/>
    </row>
    <row r="666" spans="2:6" s="110" customFormat="1" outlineLevel="1" x14ac:dyDescent="0.2">
      <c r="B666" s="60" t="s">
        <v>4281</v>
      </c>
      <c r="C666" s="490" t="s">
        <v>1657</v>
      </c>
      <c r="D666" s="116" t="s">
        <v>260</v>
      </c>
      <c r="E666" s="117"/>
      <c r="F666" s="118"/>
    </row>
    <row r="667" spans="2:6" s="110" customFormat="1" outlineLevel="1" x14ac:dyDescent="0.2">
      <c r="B667" s="60" t="s">
        <v>4282</v>
      </c>
      <c r="C667" s="490" t="s">
        <v>1658</v>
      </c>
      <c r="D667" s="116" t="s">
        <v>260</v>
      </c>
      <c r="E667" s="117"/>
      <c r="F667" s="118"/>
    </row>
    <row r="668" spans="2:6" s="110" customFormat="1" outlineLevel="1" x14ac:dyDescent="0.2">
      <c r="B668" s="60" t="s">
        <v>4283</v>
      </c>
      <c r="C668" s="490" t="s">
        <v>1659</v>
      </c>
      <c r="D668" s="116" t="s">
        <v>260</v>
      </c>
      <c r="E668" s="117"/>
      <c r="F668" s="118"/>
    </row>
    <row r="669" spans="2:6" s="110" customFormat="1" outlineLevel="1" x14ac:dyDescent="0.2">
      <c r="B669" s="60" t="s">
        <v>4284</v>
      </c>
      <c r="C669" s="490" t="s">
        <v>1660</v>
      </c>
      <c r="D669" s="116" t="s">
        <v>260</v>
      </c>
      <c r="E669" s="117"/>
      <c r="F669" s="118"/>
    </row>
    <row r="670" spans="2:6" s="110" customFormat="1" outlineLevel="1" x14ac:dyDescent="0.2">
      <c r="B670" s="60" t="s">
        <v>4285</v>
      </c>
      <c r="C670" s="490" t="s">
        <v>1661</v>
      </c>
      <c r="D670" s="116" t="s">
        <v>260</v>
      </c>
      <c r="E670" s="117"/>
      <c r="F670" s="118"/>
    </row>
    <row r="671" spans="2:6" s="110" customFormat="1" outlineLevel="1" x14ac:dyDescent="0.2">
      <c r="B671" s="60" t="s">
        <v>4286</v>
      </c>
      <c r="C671" s="490" t="s">
        <v>1662</v>
      </c>
      <c r="D671" s="116" t="s">
        <v>260</v>
      </c>
      <c r="E671" s="117"/>
      <c r="F671" s="118"/>
    </row>
    <row r="672" spans="2:6" s="110" customFormat="1" outlineLevel="1" x14ac:dyDescent="0.2">
      <c r="B672" s="60" t="s">
        <v>4287</v>
      </c>
      <c r="C672" s="490" t="s">
        <v>1663</v>
      </c>
      <c r="D672" s="116" t="s">
        <v>260</v>
      </c>
      <c r="E672" s="117"/>
      <c r="F672" s="118"/>
    </row>
    <row r="673" spans="2:9" s="104" customFormat="1" x14ac:dyDescent="0.2">
      <c r="B673" s="60" t="s">
        <v>4288</v>
      </c>
      <c r="C673" s="488">
        <v>3.4</v>
      </c>
      <c r="D673" s="125" t="s">
        <v>265</v>
      </c>
      <c r="E673" s="126">
        <f>SUM(E674:E693)</f>
        <v>0</v>
      </c>
      <c r="F673" s="127">
        <f>SUM(F674:F693)</f>
        <v>0</v>
      </c>
      <c r="G673" s="119"/>
      <c r="H673" s="119"/>
      <c r="I673" s="119"/>
    </row>
    <row r="674" spans="2:9" s="110" customFormat="1" outlineLevel="1" x14ac:dyDescent="0.2">
      <c r="B674" s="60" t="s">
        <v>4289</v>
      </c>
      <c r="C674" s="490" t="s">
        <v>1664</v>
      </c>
      <c r="D674" s="116" t="s">
        <v>260</v>
      </c>
      <c r="E674" s="117"/>
      <c r="F674" s="118"/>
    </row>
    <row r="675" spans="2:9" s="110" customFormat="1" outlineLevel="1" x14ac:dyDescent="0.2">
      <c r="B675" s="60" t="s">
        <v>4290</v>
      </c>
      <c r="C675" s="490" t="s">
        <v>1665</v>
      </c>
      <c r="D675" s="116" t="s">
        <v>260</v>
      </c>
      <c r="E675" s="117"/>
      <c r="F675" s="118"/>
    </row>
    <row r="676" spans="2:9" s="110" customFormat="1" outlineLevel="1" x14ac:dyDescent="0.2">
      <c r="B676" s="60" t="s">
        <v>4291</v>
      </c>
      <c r="C676" s="490" t="s">
        <v>1666</v>
      </c>
      <c r="D676" s="116" t="s">
        <v>260</v>
      </c>
      <c r="E676" s="117"/>
      <c r="F676" s="118"/>
    </row>
    <row r="677" spans="2:9" s="110" customFormat="1" outlineLevel="1" x14ac:dyDescent="0.2">
      <c r="B677" s="60" t="s">
        <v>4292</v>
      </c>
      <c r="C677" s="490" t="s">
        <v>1667</v>
      </c>
      <c r="D677" s="116" t="s">
        <v>260</v>
      </c>
      <c r="E677" s="117"/>
      <c r="F677" s="118"/>
    </row>
    <row r="678" spans="2:9" s="110" customFormat="1" outlineLevel="1" x14ac:dyDescent="0.2">
      <c r="B678" s="60" t="s">
        <v>4293</v>
      </c>
      <c r="C678" s="490" t="s">
        <v>1668</v>
      </c>
      <c r="D678" s="116" t="s">
        <v>260</v>
      </c>
      <c r="E678" s="117"/>
      <c r="F678" s="118"/>
    </row>
    <row r="679" spans="2:9" s="110" customFormat="1" outlineLevel="1" x14ac:dyDescent="0.2">
      <c r="B679" s="60" t="s">
        <v>4294</v>
      </c>
      <c r="C679" s="490" t="s">
        <v>1669</v>
      </c>
      <c r="D679" s="116" t="s">
        <v>260</v>
      </c>
      <c r="E679" s="117"/>
      <c r="F679" s="118"/>
    </row>
    <row r="680" spans="2:9" s="110" customFormat="1" outlineLevel="1" x14ac:dyDescent="0.2">
      <c r="B680" s="60" t="s">
        <v>4295</v>
      </c>
      <c r="C680" s="490" t="s">
        <v>1670</v>
      </c>
      <c r="D680" s="116" t="s">
        <v>260</v>
      </c>
      <c r="E680" s="117"/>
      <c r="F680" s="118"/>
    </row>
    <row r="681" spans="2:9" s="110" customFormat="1" outlineLevel="1" x14ac:dyDescent="0.2">
      <c r="B681" s="60" t="s">
        <v>4296</v>
      </c>
      <c r="C681" s="490" t="s">
        <v>1671</v>
      </c>
      <c r="D681" s="116" t="s">
        <v>260</v>
      </c>
      <c r="E681" s="117"/>
      <c r="F681" s="118"/>
    </row>
    <row r="682" spans="2:9" s="110" customFormat="1" outlineLevel="1" x14ac:dyDescent="0.2">
      <c r="B682" s="60" t="s">
        <v>4297</v>
      </c>
      <c r="C682" s="490" t="s">
        <v>1672</v>
      </c>
      <c r="D682" s="116" t="s">
        <v>260</v>
      </c>
      <c r="E682" s="117"/>
      <c r="F682" s="118"/>
    </row>
    <row r="683" spans="2:9" s="110" customFormat="1" outlineLevel="1" x14ac:dyDescent="0.2">
      <c r="B683" s="60" t="s">
        <v>4298</v>
      </c>
      <c r="C683" s="490" t="s">
        <v>1673</v>
      </c>
      <c r="D683" s="116" t="s">
        <v>260</v>
      </c>
      <c r="E683" s="117"/>
      <c r="F683" s="118"/>
    </row>
    <row r="684" spans="2:9" s="110" customFormat="1" outlineLevel="1" x14ac:dyDescent="0.2">
      <c r="B684" s="60" t="s">
        <v>4299</v>
      </c>
      <c r="C684" s="490" t="s">
        <v>1674</v>
      </c>
      <c r="D684" s="116" t="s">
        <v>260</v>
      </c>
      <c r="E684" s="117"/>
      <c r="F684" s="118"/>
    </row>
    <row r="685" spans="2:9" s="110" customFormat="1" outlineLevel="1" x14ac:dyDescent="0.2">
      <c r="B685" s="60" t="s">
        <v>4300</v>
      </c>
      <c r="C685" s="490" t="s">
        <v>1675</v>
      </c>
      <c r="D685" s="116" t="s">
        <v>260</v>
      </c>
      <c r="E685" s="117"/>
      <c r="F685" s="118"/>
    </row>
    <row r="686" spans="2:9" s="110" customFormat="1" outlineLevel="1" x14ac:dyDescent="0.2">
      <c r="B686" s="60" t="s">
        <v>4301</v>
      </c>
      <c r="C686" s="490" t="s">
        <v>1676</v>
      </c>
      <c r="D686" s="116" t="s">
        <v>260</v>
      </c>
      <c r="E686" s="117"/>
      <c r="F686" s="118"/>
    </row>
    <row r="687" spans="2:9" s="110" customFormat="1" outlineLevel="1" x14ac:dyDescent="0.2">
      <c r="B687" s="60" t="s">
        <v>4302</v>
      </c>
      <c r="C687" s="490" t="s">
        <v>1677</v>
      </c>
      <c r="D687" s="116" t="s">
        <v>260</v>
      </c>
      <c r="E687" s="117"/>
      <c r="F687" s="118"/>
    </row>
    <row r="688" spans="2:9" s="110" customFormat="1" outlineLevel="1" x14ac:dyDescent="0.2">
      <c r="B688" s="60" t="s">
        <v>4303</v>
      </c>
      <c r="C688" s="490" t="s">
        <v>1678</v>
      </c>
      <c r="D688" s="116" t="s">
        <v>260</v>
      </c>
      <c r="E688" s="117"/>
      <c r="F688" s="118"/>
    </row>
    <row r="689" spans="2:9" s="110" customFormat="1" outlineLevel="1" x14ac:dyDescent="0.2">
      <c r="B689" s="60" t="s">
        <v>4304</v>
      </c>
      <c r="C689" s="490" t="s">
        <v>1679</v>
      </c>
      <c r="D689" s="116" t="s">
        <v>260</v>
      </c>
      <c r="E689" s="117"/>
      <c r="F689" s="118"/>
    </row>
    <row r="690" spans="2:9" s="110" customFormat="1" outlineLevel="1" x14ac:dyDescent="0.2">
      <c r="B690" s="60" t="s">
        <v>4305</v>
      </c>
      <c r="C690" s="490" t="s">
        <v>1680</v>
      </c>
      <c r="D690" s="116" t="s">
        <v>260</v>
      </c>
      <c r="E690" s="117"/>
      <c r="F690" s="118"/>
    </row>
    <row r="691" spans="2:9" s="110" customFormat="1" outlineLevel="1" x14ac:dyDescent="0.2">
      <c r="B691" s="60" t="s">
        <v>4306</v>
      </c>
      <c r="C691" s="490" t="s">
        <v>1681</v>
      </c>
      <c r="D691" s="116" t="s">
        <v>260</v>
      </c>
      <c r="E691" s="117"/>
      <c r="F691" s="118"/>
    </row>
    <row r="692" spans="2:9" s="110" customFormat="1" outlineLevel="1" x14ac:dyDescent="0.2">
      <c r="B692" s="60" t="s">
        <v>4307</v>
      </c>
      <c r="C692" s="490" t="s">
        <v>1682</v>
      </c>
      <c r="D692" s="116" t="s">
        <v>260</v>
      </c>
      <c r="E692" s="117"/>
      <c r="F692" s="118"/>
    </row>
    <row r="693" spans="2:9" s="110" customFormat="1" outlineLevel="1" x14ac:dyDescent="0.2">
      <c r="B693" s="60" t="s">
        <v>4308</v>
      </c>
      <c r="C693" s="490" t="s">
        <v>1683</v>
      </c>
      <c r="D693" s="116" t="s">
        <v>260</v>
      </c>
      <c r="E693" s="117"/>
      <c r="F693" s="118"/>
    </row>
    <row r="694" spans="2:9" s="104" customFormat="1" x14ac:dyDescent="0.2">
      <c r="B694" s="60" t="s">
        <v>4309</v>
      </c>
      <c r="C694" s="488">
        <v>3.5</v>
      </c>
      <c r="D694" s="125" t="s">
        <v>254</v>
      </c>
      <c r="E694" s="126">
        <f>SUM(E695:E714)</f>
        <v>0</v>
      </c>
      <c r="F694" s="127">
        <f>SUM(F695:F714)</f>
        <v>0</v>
      </c>
      <c r="G694" s="119"/>
      <c r="H694" s="119"/>
      <c r="I694" s="119"/>
    </row>
    <row r="695" spans="2:9" s="110" customFormat="1" outlineLevel="1" x14ac:dyDescent="0.2">
      <c r="B695" s="60" t="s">
        <v>4310</v>
      </c>
      <c r="C695" s="490" t="s">
        <v>2431</v>
      </c>
      <c r="D695" s="116" t="s">
        <v>260</v>
      </c>
      <c r="E695" s="117"/>
      <c r="F695" s="118"/>
    </row>
    <row r="696" spans="2:9" s="110" customFormat="1" outlineLevel="1" x14ac:dyDescent="0.2">
      <c r="B696" s="60" t="s">
        <v>4311</v>
      </c>
      <c r="C696" s="490" t="s">
        <v>2432</v>
      </c>
      <c r="D696" s="116" t="s">
        <v>260</v>
      </c>
      <c r="E696" s="117"/>
      <c r="F696" s="118"/>
    </row>
    <row r="697" spans="2:9" s="110" customFormat="1" outlineLevel="1" x14ac:dyDescent="0.2">
      <c r="B697" s="60" t="s">
        <v>4312</v>
      </c>
      <c r="C697" s="490" t="s">
        <v>2433</v>
      </c>
      <c r="D697" s="116" t="s">
        <v>260</v>
      </c>
      <c r="E697" s="117"/>
      <c r="F697" s="118"/>
    </row>
    <row r="698" spans="2:9" s="110" customFormat="1" outlineLevel="1" x14ac:dyDescent="0.2">
      <c r="B698" s="60" t="s">
        <v>4313</v>
      </c>
      <c r="C698" s="490" t="s">
        <v>2434</v>
      </c>
      <c r="D698" s="116" t="s">
        <v>260</v>
      </c>
      <c r="E698" s="117"/>
      <c r="F698" s="118"/>
    </row>
    <row r="699" spans="2:9" s="110" customFormat="1" outlineLevel="1" x14ac:dyDescent="0.2">
      <c r="B699" s="60" t="s">
        <v>4314</v>
      </c>
      <c r="C699" s="490" t="s">
        <v>2435</v>
      </c>
      <c r="D699" s="116" t="s">
        <v>260</v>
      </c>
      <c r="E699" s="117"/>
      <c r="F699" s="118"/>
    </row>
    <row r="700" spans="2:9" s="110" customFormat="1" outlineLevel="1" x14ac:dyDescent="0.2">
      <c r="B700" s="60" t="s">
        <v>4315</v>
      </c>
      <c r="C700" s="490" t="s">
        <v>2436</v>
      </c>
      <c r="D700" s="116" t="s">
        <v>260</v>
      </c>
      <c r="E700" s="117"/>
      <c r="F700" s="118"/>
    </row>
    <row r="701" spans="2:9" s="110" customFormat="1" outlineLevel="1" x14ac:dyDescent="0.2">
      <c r="B701" s="60" t="s">
        <v>4316</v>
      </c>
      <c r="C701" s="490" t="s">
        <v>2437</v>
      </c>
      <c r="D701" s="116" t="s">
        <v>260</v>
      </c>
      <c r="E701" s="117"/>
      <c r="F701" s="118"/>
    </row>
    <row r="702" spans="2:9" s="110" customFormat="1" outlineLevel="1" x14ac:dyDescent="0.2">
      <c r="B702" s="60" t="s">
        <v>4317</v>
      </c>
      <c r="C702" s="490" t="s">
        <v>2438</v>
      </c>
      <c r="D702" s="116" t="s">
        <v>260</v>
      </c>
      <c r="E702" s="117"/>
      <c r="F702" s="118"/>
    </row>
    <row r="703" spans="2:9" s="110" customFormat="1" outlineLevel="1" x14ac:dyDescent="0.2">
      <c r="B703" s="60" t="s">
        <v>4318</v>
      </c>
      <c r="C703" s="490" t="s">
        <v>2439</v>
      </c>
      <c r="D703" s="116" t="s">
        <v>260</v>
      </c>
      <c r="E703" s="117"/>
      <c r="F703" s="118"/>
    </row>
    <row r="704" spans="2:9" s="110" customFormat="1" outlineLevel="1" x14ac:dyDescent="0.2">
      <c r="B704" s="60" t="s">
        <v>4319</v>
      </c>
      <c r="C704" s="490" t="s">
        <v>2440</v>
      </c>
      <c r="D704" s="116" t="s">
        <v>260</v>
      </c>
      <c r="E704" s="117"/>
      <c r="F704" s="118"/>
    </row>
    <row r="705" spans="2:9" s="110" customFormat="1" outlineLevel="1" x14ac:dyDescent="0.2">
      <c r="B705" s="60" t="s">
        <v>4320</v>
      </c>
      <c r="C705" s="490" t="s">
        <v>2441</v>
      </c>
      <c r="D705" s="116" t="s">
        <v>260</v>
      </c>
      <c r="E705" s="117"/>
      <c r="F705" s="118"/>
    </row>
    <row r="706" spans="2:9" s="110" customFormat="1" outlineLevel="1" x14ac:dyDescent="0.2">
      <c r="B706" s="60" t="s">
        <v>4321</v>
      </c>
      <c r="C706" s="490" t="s">
        <v>2442</v>
      </c>
      <c r="D706" s="116" t="s">
        <v>260</v>
      </c>
      <c r="E706" s="117"/>
      <c r="F706" s="118"/>
    </row>
    <row r="707" spans="2:9" s="110" customFormat="1" outlineLevel="1" x14ac:dyDescent="0.2">
      <c r="B707" s="60" t="s">
        <v>4322</v>
      </c>
      <c r="C707" s="490" t="s">
        <v>2443</v>
      </c>
      <c r="D707" s="116" t="s">
        <v>260</v>
      </c>
      <c r="E707" s="117"/>
      <c r="F707" s="118"/>
    </row>
    <row r="708" spans="2:9" s="110" customFormat="1" outlineLevel="1" x14ac:dyDescent="0.2">
      <c r="B708" s="60" t="s">
        <v>4323</v>
      </c>
      <c r="C708" s="490" t="s">
        <v>2444</v>
      </c>
      <c r="D708" s="116" t="s">
        <v>260</v>
      </c>
      <c r="E708" s="117"/>
      <c r="F708" s="118"/>
    </row>
    <row r="709" spans="2:9" s="110" customFormat="1" outlineLevel="1" x14ac:dyDescent="0.2">
      <c r="B709" s="60" t="s">
        <v>4324</v>
      </c>
      <c r="C709" s="490" t="s">
        <v>2445</v>
      </c>
      <c r="D709" s="116" t="s">
        <v>260</v>
      </c>
      <c r="E709" s="117"/>
      <c r="F709" s="118"/>
    </row>
    <row r="710" spans="2:9" s="110" customFormat="1" outlineLevel="1" x14ac:dyDescent="0.2">
      <c r="B710" s="60" t="s">
        <v>4325</v>
      </c>
      <c r="C710" s="490" t="s">
        <v>2446</v>
      </c>
      <c r="D710" s="116" t="s">
        <v>260</v>
      </c>
      <c r="E710" s="117"/>
      <c r="F710" s="118"/>
    </row>
    <row r="711" spans="2:9" s="110" customFormat="1" outlineLevel="1" x14ac:dyDescent="0.2">
      <c r="B711" s="60" t="s">
        <v>4326</v>
      </c>
      <c r="C711" s="490" t="s">
        <v>2447</v>
      </c>
      <c r="D711" s="116" t="s">
        <v>260</v>
      </c>
      <c r="E711" s="117"/>
      <c r="F711" s="118"/>
    </row>
    <row r="712" spans="2:9" s="110" customFormat="1" outlineLevel="1" x14ac:dyDescent="0.2">
      <c r="B712" s="60" t="s">
        <v>4327</v>
      </c>
      <c r="C712" s="490" t="s">
        <v>2448</v>
      </c>
      <c r="D712" s="116" t="s">
        <v>260</v>
      </c>
      <c r="E712" s="117"/>
      <c r="F712" s="118"/>
    </row>
    <row r="713" spans="2:9" s="110" customFormat="1" outlineLevel="1" x14ac:dyDescent="0.2">
      <c r="B713" s="60" t="s">
        <v>4328</v>
      </c>
      <c r="C713" s="490" t="s">
        <v>2449</v>
      </c>
      <c r="D713" s="116" t="s">
        <v>260</v>
      </c>
      <c r="E713" s="117"/>
      <c r="F713" s="118"/>
    </row>
    <row r="714" spans="2:9" s="110" customFormat="1" outlineLevel="1" x14ac:dyDescent="0.2">
      <c r="B714" s="60" t="s">
        <v>4329</v>
      </c>
      <c r="C714" s="490" t="s">
        <v>2450</v>
      </c>
      <c r="D714" s="116" t="s">
        <v>260</v>
      </c>
      <c r="E714" s="117"/>
      <c r="F714" s="118"/>
    </row>
    <row r="715" spans="2:9" s="104" customFormat="1" x14ac:dyDescent="0.2">
      <c r="B715" s="60" t="s">
        <v>4330</v>
      </c>
      <c r="C715" s="488">
        <v>3.6</v>
      </c>
      <c r="D715" s="125" t="s">
        <v>266</v>
      </c>
      <c r="E715" s="126">
        <f>SUM(E716:E735)</f>
        <v>0</v>
      </c>
      <c r="F715" s="127">
        <f>SUM(F716:F735)</f>
        <v>0</v>
      </c>
      <c r="G715" s="119"/>
      <c r="H715" s="119"/>
      <c r="I715" s="119"/>
    </row>
    <row r="716" spans="2:9" s="110" customFormat="1" outlineLevel="1" x14ac:dyDescent="0.2">
      <c r="B716" s="60" t="s">
        <v>4331</v>
      </c>
      <c r="C716" s="490" t="s">
        <v>2451</v>
      </c>
      <c r="D716" s="116" t="s">
        <v>260</v>
      </c>
      <c r="E716" s="117"/>
      <c r="F716" s="118"/>
    </row>
    <row r="717" spans="2:9" s="110" customFormat="1" outlineLevel="1" x14ac:dyDescent="0.2">
      <c r="B717" s="60" t="s">
        <v>4332</v>
      </c>
      <c r="C717" s="490" t="s">
        <v>2452</v>
      </c>
      <c r="D717" s="116" t="s">
        <v>260</v>
      </c>
      <c r="E717" s="117"/>
      <c r="F717" s="118"/>
    </row>
    <row r="718" spans="2:9" s="110" customFormat="1" outlineLevel="1" x14ac:dyDescent="0.2">
      <c r="B718" s="60" t="s">
        <v>4333</v>
      </c>
      <c r="C718" s="490" t="s">
        <v>2453</v>
      </c>
      <c r="D718" s="116" t="s">
        <v>260</v>
      </c>
      <c r="E718" s="117"/>
      <c r="F718" s="118"/>
    </row>
    <row r="719" spans="2:9" s="110" customFormat="1" outlineLevel="1" x14ac:dyDescent="0.2">
      <c r="B719" s="60" t="s">
        <v>4334</v>
      </c>
      <c r="C719" s="490" t="s">
        <v>2454</v>
      </c>
      <c r="D719" s="116" t="s">
        <v>260</v>
      </c>
      <c r="E719" s="117"/>
      <c r="F719" s="118"/>
    </row>
    <row r="720" spans="2:9" s="110" customFormat="1" outlineLevel="1" x14ac:dyDescent="0.2">
      <c r="B720" s="60" t="s">
        <v>4335</v>
      </c>
      <c r="C720" s="490" t="s">
        <v>2455</v>
      </c>
      <c r="D720" s="116" t="s">
        <v>260</v>
      </c>
      <c r="E720" s="117"/>
      <c r="F720" s="118"/>
    </row>
    <row r="721" spans="2:6" s="110" customFormat="1" outlineLevel="1" x14ac:dyDescent="0.2">
      <c r="B721" s="60" t="s">
        <v>4336</v>
      </c>
      <c r="C721" s="490" t="s">
        <v>2456</v>
      </c>
      <c r="D721" s="116" t="s">
        <v>260</v>
      </c>
      <c r="E721" s="117"/>
      <c r="F721" s="118"/>
    </row>
    <row r="722" spans="2:6" s="110" customFormat="1" outlineLevel="1" x14ac:dyDescent="0.2">
      <c r="B722" s="60" t="s">
        <v>4337</v>
      </c>
      <c r="C722" s="490" t="s">
        <v>2457</v>
      </c>
      <c r="D722" s="116" t="s">
        <v>260</v>
      </c>
      <c r="E722" s="117"/>
      <c r="F722" s="118"/>
    </row>
    <row r="723" spans="2:6" s="110" customFormat="1" outlineLevel="1" x14ac:dyDescent="0.2">
      <c r="B723" s="60" t="s">
        <v>4338</v>
      </c>
      <c r="C723" s="490" t="s">
        <v>2458</v>
      </c>
      <c r="D723" s="116" t="s">
        <v>260</v>
      </c>
      <c r="E723" s="117"/>
      <c r="F723" s="118"/>
    </row>
    <row r="724" spans="2:6" s="110" customFormat="1" outlineLevel="1" x14ac:dyDescent="0.2">
      <c r="B724" s="60" t="s">
        <v>4339</v>
      </c>
      <c r="C724" s="490" t="s">
        <v>2459</v>
      </c>
      <c r="D724" s="116" t="s">
        <v>260</v>
      </c>
      <c r="E724" s="117"/>
      <c r="F724" s="118"/>
    </row>
    <row r="725" spans="2:6" s="110" customFormat="1" outlineLevel="1" x14ac:dyDescent="0.2">
      <c r="B725" s="60" t="s">
        <v>4340</v>
      </c>
      <c r="C725" s="490" t="s">
        <v>2460</v>
      </c>
      <c r="D725" s="116" t="s">
        <v>260</v>
      </c>
      <c r="E725" s="117"/>
      <c r="F725" s="118"/>
    </row>
    <row r="726" spans="2:6" s="110" customFormat="1" outlineLevel="1" x14ac:dyDescent="0.2">
      <c r="B726" s="60" t="s">
        <v>4341</v>
      </c>
      <c r="C726" s="490" t="s">
        <v>2461</v>
      </c>
      <c r="D726" s="116" t="s">
        <v>260</v>
      </c>
      <c r="E726" s="117"/>
      <c r="F726" s="118"/>
    </row>
    <row r="727" spans="2:6" s="110" customFormat="1" outlineLevel="1" x14ac:dyDescent="0.2">
      <c r="B727" s="60" t="s">
        <v>4342</v>
      </c>
      <c r="C727" s="490" t="s">
        <v>2462</v>
      </c>
      <c r="D727" s="116" t="s">
        <v>260</v>
      </c>
      <c r="E727" s="117"/>
      <c r="F727" s="118"/>
    </row>
    <row r="728" spans="2:6" s="110" customFormat="1" outlineLevel="1" x14ac:dyDescent="0.2">
      <c r="B728" s="60" t="s">
        <v>4343</v>
      </c>
      <c r="C728" s="490" t="s">
        <v>2463</v>
      </c>
      <c r="D728" s="116" t="s">
        <v>260</v>
      </c>
      <c r="E728" s="117"/>
      <c r="F728" s="118"/>
    </row>
    <row r="729" spans="2:6" s="110" customFormat="1" outlineLevel="1" x14ac:dyDescent="0.2">
      <c r="B729" s="60" t="s">
        <v>4344</v>
      </c>
      <c r="C729" s="490" t="s">
        <v>2464</v>
      </c>
      <c r="D729" s="116" t="s">
        <v>260</v>
      </c>
      <c r="E729" s="117"/>
      <c r="F729" s="118"/>
    </row>
    <row r="730" spans="2:6" s="110" customFormat="1" outlineLevel="1" x14ac:dyDescent="0.2">
      <c r="B730" s="60" t="s">
        <v>4345</v>
      </c>
      <c r="C730" s="490" t="s">
        <v>2465</v>
      </c>
      <c r="D730" s="116" t="s">
        <v>260</v>
      </c>
      <c r="E730" s="117"/>
      <c r="F730" s="118"/>
    </row>
    <row r="731" spans="2:6" s="110" customFormat="1" outlineLevel="1" x14ac:dyDescent="0.2">
      <c r="B731" s="60" t="s">
        <v>4346</v>
      </c>
      <c r="C731" s="490" t="s">
        <v>2466</v>
      </c>
      <c r="D731" s="116" t="s">
        <v>260</v>
      </c>
      <c r="E731" s="117"/>
      <c r="F731" s="118"/>
    </row>
    <row r="732" spans="2:6" s="110" customFormat="1" outlineLevel="1" x14ac:dyDescent="0.2">
      <c r="B732" s="60" t="s">
        <v>4347</v>
      </c>
      <c r="C732" s="490" t="s">
        <v>2467</v>
      </c>
      <c r="D732" s="116" t="s">
        <v>260</v>
      </c>
      <c r="E732" s="117"/>
      <c r="F732" s="118"/>
    </row>
    <row r="733" spans="2:6" s="110" customFormat="1" outlineLevel="1" x14ac:dyDescent="0.2">
      <c r="B733" s="60" t="s">
        <v>4348</v>
      </c>
      <c r="C733" s="490" t="s">
        <v>2468</v>
      </c>
      <c r="D733" s="116" t="s">
        <v>260</v>
      </c>
      <c r="E733" s="117"/>
      <c r="F733" s="118"/>
    </row>
    <row r="734" spans="2:6" s="110" customFormat="1" outlineLevel="1" x14ac:dyDescent="0.2">
      <c r="B734" s="60" t="s">
        <v>4349</v>
      </c>
      <c r="C734" s="490" t="s">
        <v>2469</v>
      </c>
      <c r="D734" s="116" t="s">
        <v>260</v>
      </c>
      <c r="E734" s="117"/>
      <c r="F734" s="118"/>
    </row>
    <row r="735" spans="2:6" s="110" customFormat="1" outlineLevel="1" x14ac:dyDescent="0.2">
      <c r="B735" s="60" t="s">
        <v>4350</v>
      </c>
      <c r="C735" s="490" t="s">
        <v>2470</v>
      </c>
      <c r="D735" s="116" t="s">
        <v>260</v>
      </c>
      <c r="E735" s="117"/>
      <c r="F735" s="118"/>
    </row>
    <row r="736" spans="2:6" s="119" customFormat="1" ht="15" customHeight="1" x14ac:dyDescent="0.2">
      <c r="B736" s="60" t="s">
        <v>4351</v>
      </c>
      <c r="C736" s="489">
        <v>4</v>
      </c>
      <c r="D736" s="122" t="s">
        <v>267</v>
      </c>
      <c r="E736" s="123">
        <f>E737+E758</f>
        <v>0</v>
      </c>
      <c r="F736" s="124">
        <f>F737+F758</f>
        <v>0</v>
      </c>
    </row>
    <row r="737" spans="2:6" s="104" customFormat="1" x14ac:dyDescent="0.2">
      <c r="B737" s="60" t="s">
        <v>4352</v>
      </c>
      <c r="C737" s="488">
        <v>4.0999999999999996</v>
      </c>
      <c r="D737" s="125" t="s">
        <v>250</v>
      </c>
      <c r="E737" s="126">
        <f>SUM(E738:E757)</f>
        <v>0</v>
      </c>
      <c r="F737" s="127">
        <f>SUM(F738:F757)</f>
        <v>0</v>
      </c>
    </row>
    <row r="738" spans="2:6" s="110" customFormat="1" outlineLevel="1" x14ac:dyDescent="0.2">
      <c r="B738" s="60" t="s">
        <v>4353</v>
      </c>
      <c r="C738" s="490" t="s">
        <v>443</v>
      </c>
      <c r="D738" s="111" t="s">
        <v>263</v>
      </c>
      <c r="E738" s="117"/>
      <c r="F738" s="118"/>
    </row>
    <row r="739" spans="2:6" s="110" customFormat="1" outlineLevel="1" x14ac:dyDescent="0.2">
      <c r="B739" s="60" t="s">
        <v>4354</v>
      </c>
      <c r="C739" s="490" t="s">
        <v>442</v>
      </c>
      <c r="D739" s="111" t="s">
        <v>263</v>
      </c>
      <c r="E739" s="117"/>
      <c r="F739" s="118"/>
    </row>
    <row r="740" spans="2:6" s="110" customFormat="1" outlineLevel="1" x14ac:dyDescent="0.2">
      <c r="B740" s="60" t="s">
        <v>4355</v>
      </c>
      <c r="C740" s="490" t="s">
        <v>460</v>
      </c>
      <c r="D740" s="111" t="s">
        <v>263</v>
      </c>
      <c r="E740" s="117"/>
      <c r="F740" s="118"/>
    </row>
    <row r="741" spans="2:6" s="110" customFormat="1" outlineLevel="1" x14ac:dyDescent="0.2">
      <c r="B741" s="60" t="s">
        <v>4356</v>
      </c>
      <c r="C741" s="490" t="s">
        <v>634</v>
      </c>
      <c r="D741" s="111" t="s">
        <v>263</v>
      </c>
      <c r="E741" s="117"/>
      <c r="F741" s="118"/>
    </row>
    <row r="742" spans="2:6" s="110" customFormat="1" outlineLevel="1" x14ac:dyDescent="0.2">
      <c r="B742" s="60" t="s">
        <v>4357</v>
      </c>
      <c r="C742" s="490" t="s">
        <v>635</v>
      </c>
      <c r="D742" s="111" t="s">
        <v>263</v>
      </c>
      <c r="E742" s="117"/>
      <c r="F742" s="118"/>
    </row>
    <row r="743" spans="2:6" s="110" customFormat="1" outlineLevel="1" x14ac:dyDescent="0.2">
      <c r="B743" s="60" t="s">
        <v>4358</v>
      </c>
      <c r="C743" s="490" t="s">
        <v>636</v>
      </c>
      <c r="D743" s="111" t="s">
        <v>263</v>
      </c>
      <c r="E743" s="117"/>
      <c r="F743" s="118"/>
    </row>
    <row r="744" spans="2:6" s="110" customFormat="1" outlineLevel="1" x14ac:dyDescent="0.2">
      <c r="B744" s="60" t="s">
        <v>4359</v>
      </c>
      <c r="C744" s="490" t="s">
        <v>637</v>
      </c>
      <c r="D744" s="111" t="s">
        <v>263</v>
      </c>
      <c r="E744" s="117"/>
      <c r="F744" s="118"/>
    </row>
    <row r="745" spans="2:6" s="110" customFormat="1" outlineLevel="1" x14ac:dyDescent="0.2">
      <c r="B745" s="60" t="s">
        <v>4360</v>
      </c>
      <c r="C745" s="490" t="s">
        <v>638</v>
      </c>
      <c r="D745" s="111" t="s">
        <v>263</v>
      </c>
      <c r="E745" s="117"/>
      <c r="F745" s="118"/>
    </row>
    <row r="746" spans="2:6" s="110" customFormat="1" outlineLevel="1" x14ac:dyDescent="0.2">
      <c r="B746" s="60" t="s">
        <v>4361</v>
      </c>
      <c r="C746" s="490" t="s">
        <v>639</v>
      </c>
      <c r="D746" s="111" t="s">
        <v>263</v>
      </c>
      <c r="E746" s="117"/>
      <c r="F746" s="118"/>
    </row>
    <row r="747" spans="2:6" s="110" customFormat="1" outlineLevel="1" x14ac:dyDescent="0.2">
      <c r="B747" s="60" t="s">
        <v>4362</v>
      </c>
      <c r="C747" s="490" t="s">
        <v>640</v>
      </c>
      <c r="D747" s="111" t="s">
        <v>263</v>
      </c>
      <c r="E747" s="117"/>
      <c r="F747" s="118"/>
    </row>
    <row r="748" spans="2:6" s="110" customFormat="1" outlineLevel="1" x14ac:dyDescent="0.2">
      <c r="B748" s="60" t="s">
        <v>4363</v>
      </c>
      <c r="C748" s="490" t="s">
        <v>641</v>
      </c>
      <c r="D748" s="111" t="s">
        <v>263</v>
      </c>
      <c r="E748" s="117"/>
      <c r="F748" s="118"/>
    </row>
    <row r="749" spans="2:6" s="110" customFormat="1" outlineLevel="1" x14ac:dyDescent="0.2">
      <c r="B749" s="60" t="s">
        <v>4364</v>
      </c>
      <c r="C749" s="490" t="s">
        <v>642</v>
      </c>
      <c r="D749" s="111" t="s">
        <v>263</v>
      </c>
      <c r="E749" s="117"/>
      <c r="F749" s="118"/>
    </row>
    <row r="750" spans="2:6" s="110" customFormat="1" outlineLevel="1" x14ac:dyDescent="0.2">
      <c r="B750" s="60" t="s">
        <v>4365</v>
      </c>
      <c r="C750" s="490" t="s">
        <v>643</v>
      </c>
      <c r="D750" s="111" t="s">
        <v>263</v>
      </c>
      <c r="E750" s="117"/>
      <c r="F750" s="118"/>
    </row>
    <row r="751" spans="2:6" s="110" customFormat="1" outlineLevel="1" x14ac:dyDescent="0.2">
      <c r="B751" s="60" t="s">
        <v>4366</v>
      </c>
      <c r="C751" s="490" t="s">
        <v>644</v>
      </c>
      <c r="D751" s="111" t="s">
        <v>263</v>
      </c>
      <c r="E751" s="117"/>
      <c r="F751" s="118"/>
    </row>
    <row r="752" spans="2:6" s="110" customFormat="1" outlineLevel="1" x14ac:dyDescent="0.2">
      <c r="B752" s="60" t="s">
        <v>4367</v>
      </c>
      <c r="C752" s="490" t="s">
        <v>645</v>
      </c>
      <c r="D752" s="111" t="s">
        <v>263</v>
      </c>
      <c r="E752" s="117"/>
      <c r="F752" s="118"/>
    </row>
    <row r="753" spans="2:6" s="110" customFormat="1" outlineLevel="1" x14ac:dyDescent="0.2">
      <c r="B753" s="60" t="s">
        <v>4368</v>
      </c>
      <c r="C753" s="490" t="s">
        <v>646</v>
      </c>
      <c r="D753" s="111" t="s">
        <v>263</v>
      </c>
      <c r="E753" s="117"/>
      <c r="F753" s="118"/>
    </row>
    <row r="754" spans="2:6" s="110" customFormat="1" outlineLevel="1" x14ac:dyDescent="0.2">
      <c r="B754" s="60" t="s">
        <v>4369</v>
      </c>
      <c r="C754" s="490" t="s">
        <v>647</v>
      </c>
      <c r="D754" s="111" t="s">
        <v>263</v>
      </c>
      <c r="E754" s="117"/>
      <c r="F754" s="118"/>
    </row>
    <row r="755" spans="2:6" s="110" customFormat="1" outlineLevel="1" x14ac:dyDescent="0.2">
      <c r="B755" s="60" t="s">
        <v>4370</v>
      </c>
      <c r="C755" s="490" t="s">
        <v>648</v>
      </c>
      <c r="D755" s="111" t="s">
        <v>263</v>
      </c>
      <c r="E755" s="117"/>
      <c r="F755" s="118"/>
    </row>
    <row r="756" spans="2:6" s="110" customFormat="1" outlineLevel="1" x14ac:dyDescent="0.2">
      <c r="B756" s="60" t="s">
        <v>4371</v>
      </c>
      <c r="C756" s="490" t="s">
        <v>649</v>
      </c>
      <c r="D756" s="111" t="s">
        <v>263</v>
      </c>
      <c r="E756" s="117"/>
      <c r="F756" s="118"/>
    </row>
    <row r="757" spans="2:6" s="110" customFormat="1" outlineLevel="1" x14ac:dyDescent="0.2">
      <c r="B757" s="60" t="s">
        <v>4372</v>
      </c>
      <c r="C757" s="490" t="s">
        <v>650</v>
      </c>
      <c r="D757" s="111" t="s">
        <v>263</v>
      </c>
      <c r="E757" s="117"/>
      <c r="F757" s="118"/>
    </row>
    <row r="758" spans="2:6" s="104" customFormat="1" x14ac:dyDescent="0.2">
      <c r="B758" s="60" t="s">
        <v>4373</v>
      </c>
      <c r="C758" s="488" t="s">
        <v>428</v>
      </c>
      <c r="D758" s="125" t="s">
        <v>254</v>
      </c>
      <c r="E758" s="126">
        <f>SUM(E759:E778)</f>
        <v>0</v>
      </c>
      <c r="F758" s="127">
        <f>SUM(F759:F778)</f>
        <v>0</v>
      </c>
    </row>
    <row r="759" spans="2:6" s="110" customFormat="1" outlineLevel="1" x14ac:dyDescent="0.2">
      <c r="B759" s="60" t="s">
        <v>4374</v>
      </c>
      <c r="C759" s="490" t="s">
        <v>444</v>
      </c>
      <c r="D759" s="111" t="s">
        <v>263</v>
      </c>
      <c r="E759" s="117"/>
      <c r="F759" s="118"/>
    </row>
    <row r="760" spans="2:6" s="110" customFormat="1" outlineLevel="1" x14ac:dyDescent="0.2">
      <c r="B760" s="60" t="s">
        <v>4375</v>
      </c>
      <c r="C760" s="490" t="s">
        <v>445</v>
      </c>
      <c r="D760" s="111" t="s">
        <v>263</v>
      </c>
      <c r="E760" s="117"/>
      <c r="F760" s="118"/>
    </row>
    <row r="761" spans="2:6" s="110" customFormat="1" outlineLevel="1" x14ac:dyDescent="0.2">
      <c r="B761" s="60" t="s">
        <v>4376</v>
      </c>
      <c r="C761" s="490" t="s">
        <v>461</v>
      </c>
      <c r="D761" s="111" t="s">
        <v>263</v>
      </c>
      <c r="E761" s="117"/>
      <c r="F761" s="118"/>
    </row>
    <row r="762" spans="2:6" s="110" customFormat="1" outlineLevel="1" x14ac:dyDescent="0.2">
      <c r="B762" s="60" t="s">
        <v>4377</v>
      </c>
      <c r="C762" s="490" t="s">
        <v>651</v>
      </c>
      <c r="D762" s="111" t="s">
        <v>263</v>
      </c>
      <c r="E762" s="117"/>
      <c r="F762" s="118"/>
    </row>
    <row r="763" spans="2:6" s="110" customFormat="1" outlineLevel="1" x14ac:dyDescent="0.2">
      <c r="B763" s="60" t="s">
        <v>4378</v>
      </c>
      <c r="C763" s="490" t="s">
        <v>652</v>
      </c>
      <c r="D763" s="111" t="s">
        <v>263</v>
      </c>
      <c r="E763" s="117"/>
      <c r="F763" s="118"/>
    </row>
    <row r="764" spans="2:6" s="110" customFormat="1" outlineLevel="1" x14ac:dyDescent="0.2">
      <c r="B764" s="60" t="s">
        <v>4379</v>
      </c>
      <c r="C764" s="490" t="s">
        <v>653</v>
      </c>
      <c r="D764" s="111" t="s">
        <v>263</v>
      </c>
      <c r="E764" s="117"/>
      <c r="F764" s="118"/>
    </row>
    <row r="765" spans="2:6" s="110" customFormat="1" outlineLevel="1" x14ac:dyDescent="0.2">
      <c r="B765" s="60" t="s">
        <v>4380</v>
      </c>
      <c r="C765" s="490" t="s">
        <v>654</v>
      </c>
      <c r="D765" s="111" t="s">
        <v>263</v>
      </c>
      <c r="E765" s="117"/>
      <c r="F765" s="118"/>
    </row>
    <row r="766" spans="2:6" s="110" customFormat="1" outlineLevel="1" x14ac:dyDescent="0.2">
      <c r="B766" s="60" t="s">
        <v>4381</v>
      </c>
      <c r="C766" s="490" t="s">
        <v>655</v>
      </c>
      <c r="D766" s="111" t="s">
        <v>263</v>
      </c>
      <c r="E766" s="117"/>
      <c r="F766" s="118"/>
    </row>
    <row r="767" spans="2:6" s="110" customFormat="1" outlineLevel="1" x14ac:dyDescent="0.2">
      <c r="B767" s="60" t="s">
        <v>4382</v>
      </c>
      <c r="C767" s="490" t="s">
        <v>656</v>
      </c>
      <c r="D767" s="111" t="s">
        <v>263</v>
      </c>
      <c r="E767" s="117"/>
      <c r="F767" s="118"/>
    </row>
    <row r="768" spans="2:6" s="110" customFormat="1" outlineLevel="1" x14ac:dyDescent="0.2">
      <c r="B768" s="60" t="s">
        <v>4383</v>
      </c>
      <c r="C768" s="490" t="s">
        <v>657</v>
      </c>
      <c r="D768" s="111" t="s">
        <v>263</v>
      </c>
      <c r="E768" s="117"/>
      <c r="F768" s="118"/>
    </row>
    <row r="769" spans="2:7" s="110" customFormat="1" outlineLevel="1" x14ac:dyDescent="0.2">
      <c r="B769" s="60" t="s">
        <v>4384</v>
      </c>
      <c r="C769" s="490" t="s">
        <v>658</v>
      </c>
      <c r="D769" s="111" t="s">
        <v>263</v>
      </c>
      <c r="E769" s="117"/>
      <c r="F769" s="118"/>
    </row>
    <row r="770" spans="2:7" s="110" customFormat="1" outlineLevel="1" x14ac:dyDescent="0.2">
      <c r="B770" s="60" t="s">
        <v>4385</v>
      </c>
      <c r="C770" s="490" t="s">
        <v>659</v>
      </c>
      <c r="D770" s="111" t="s">
        <v>263</v>
      </c>
      <c r="E770" s="117"/>
      <c r="F770" s="118"/>
    </row>
    <row r="771" spans="2:7" s="110" customFormat="1" outlineLevel="1" x14ac:dyDescent="0.2">
      <c r="B771" s="60" t="s">
        <v>4386</v>
      </c>
      <c r="C771" s="490" t="s">
        <v>660</v>
      </c>
      <c r="D771" s="111" t="s">
        <v>263</v>
      </c>
      <c r="E771" s="117"/>
      <c r="F771" s="118"/>
    </row>
    <row r="772" spans="2:7" s="110" customFormat="1" outlineLevel="1" x14ac:dyDescent="0.2">
      <c r="B772" s="60" t="s">
        <v>4387</v>
      </c>
      <c r="C772" s="490" t="s">
        <v>661</v>
      </c>
      <c r="D772" s="111" t="s">
        <v>263</v>
      </c>
      <c r="E772" s="117"/>
      <c r="F772" s="118"/>
    </row>
    <row r="773" spans="2:7" s="110" customFormat="1" outlineLevel="1" x14ac:dyDescent="0.2">
      <c r="B773" s="60" t="s">
        <v>4388</v>
      </c>
      <c r="C773" s="490" t="s">
        <v>662</v>
      </c>
      <c r="D773" s="111" t="s">
        <v>263</v>
      </c>
      <c r="E773" s="117"/>
      <c r="F773" s="118"/>
    </row>
    <row r="774" spans="2:7" s="110" customFormat="1" outlineLevel="1" x14ac:dyDescent="0.2">
      <c r="B774" s="60" t="s">
        <v>4389</v>
      </c>
      <c r="C774" s="490" t="s">
        <v>663</v>
      </c>
      <c r="D774" s="111" t="s">
        <v>263</v>
      </c>
      <c r="E774" s="117"/>
      <c r="F774" s="118"/>
    </row>
    <row r="775" spans="2:7" s="110" customFormat="1" outlineLevel="1" x14ac:dyDescent="0.2">
      <c r="B775" s="60" t="s">
        <v>4390</v>
      </c>
      <c r="C775" s="490" t="s">
        <v>664</v>
      </c>
      <c r="D775" s="111" t="s">
        <v>263</v>
      </c>
      <c r="E775" s="117"/>
      <c r="F775" s="118"/>
    </row>
    <row r="776" spans="2:7" s="110" customFormat="1" outlineLevel="1" x14ac:dyDescent="0.2">
      <c r="B776" s="60" t="s">
        <v>4391</v>
      </c>
      <c r="C776" s="490" t="s">
        <v>665</v>
      </c>
      <c r="D776" s="111" t="s">
        <v>263</v>
      </c>
      <c r="E776" s="117"/>
      <c r="F776" s="118"/>
    </row>
    <row r="777" spans="2:7" s="110" customFormat="1" outlineLevel="1" x14ac:dyDescent="0.2">
      <c r="B777" s="60" t="s">
        <v>4392</v>
      </c>
      <c r="C777" s="490" t="s">
        <v>666</v>
      </c>
      <c r="D777" s="111" t="s">
        <v>263</v>
      </c>
      <c r="E777" s="117"/>
      <c r="F777" s="118"/>
    </row>
    <row r="778" spans="2:7" s="110" customFormat="1" outlineLevel="1" x14ac:dyDescent="0.2">
      <c r="B778" s="60" t="s">
        <v>4393</v>
      </c>
      <c r="C778" s="490" t="s">
        <v>667</v>
      </c>
      <c r="D778" s="111" t="s">
        <v>263</v>
      </c>
      <c r="E778" s="117"/>
      <c r="F778" s="118"/>
    </row>
    <row r="779" spans="2:7" s="104" customFormat="1" ht="15.75" thickBot="1" x14ac:dyDescent="0.25">
      <c r="B779" s="491" t="s">
        <v>4394</v>
      </c>
      <c r="C779" s="808" t="s">
        <v>269</v>
      </c>
      <c r="D779" s="809"/>
      <c r="E779" s="249">
        <f>E439+E482+E609+E736</f>
        <v>0</v>
      </c>
      <c r="F779" s="250">
        <f>F439+F482+F609+F736</f>
        <v>0</v>
      </c>
      <c r="G779" s="119"/>
    </row>
    <row r="780" spans="2:7" x14ac:dyDescent="0.3">
      <c r="C780" s="129"/>
      <c r="D780" s="129"/>
      <c r="E780" s="129"/>
      <c r="F780" s="129"/>
    </row>
    <row r="781" spans="2:7" x14ac:dyDescent="0.3">
      <c r="C781" s="98"/>
      <c r="D781" s="98"/>
      <c r="E781" s="98"/>
      <c r="F781" s="98"/>
    </row>
    <row r="782" spans="2:7" x14ac:dyDescent="0.3">
      <c r="C782" s="782"/>
      <c r="D782" s="782"/>
      <c r="E782" s="782"/>
      <c r="F782" s="782"/>
    </row>
    <row r="783" spans="2:7" x14ac:dyDescent="0.3">
      <c r="C783" s="785"/>
      <c r="D783" s="785"/>
      <c r="E783" s="785"/>
      <c r="F783" s="785"/>
    </row>
    <row r="784" spans="2:7" x14ac:dyDescent="0.3">
      <c r="C784" s="782"/>
      <c r="D784" s="782"/>
      <c r="E784" s="782"/>
      <c r="F784" s="782"/>
    </row>
    <row r="785" spans="3:6" x14ac:dyDescent="0.3">
      <c r="C785" s="785"/>
      <c r="D785" s="785"/>
      <c r="E785" s="785"/>
      <c r="F785" s="785"/>
    </row>
    <row r="786" spans="3:6" x14ac:dyDescent="0.3">
      <c r="C786" s="782"/>
      <c r="D786" s="782"/>
      <c r="E786" s="782"/>
      <c r="F786" s="782"/>
    </row>
    <row r="787" spans="3:6" x14ac:dyDescent="0.3">
      <c r="C787" s="785"/>
      <c r="D787" s="785"/>
      <c r="E787" s="785"/>
      <c r="F787" s="785"/>
    </row>
  </sheetData>
  <customSheetViews>
    <customSheetView guid="{F18E25A1-ACAC-4BA2-9084-15C64EADD71F}" showPageBreaks="1" fitToPage="1" topLeftCell="A34">
      <selection activeCell="B37" sqref="B37"/>
      <pageMargins left="0.35" right="0.39" top="0.43" bottom="0.35" header="0.41" footer="0.28999999999999998"/>
      <pageSetup paperSize="9" scale="81" fitToWidth="2" orientation="portrait" horizontalDpi="300" verticalDpi="300" r:id="rId1"/>
      <headerFooter alignWithMargins="0"/>
    </customSheetView>
    <customSheetView guid="{42441662-3193-455A-AAAC-E0697E2ED236}" showPageBreaks="1" fitToPage="1" topLeftCell="A34">
      <selection activeCell="A14" sqref="A14:D14"/>
      <pageMargins left="0.35" right="0.39" top="0.43" bottom="0.35" header="0.41" footer="0.28999999999999998"/>
      <pageSetup paperSize="9" fitToWidth="2" orientation="portrait" horizontalDpi="300" verticalDpi="300" r:id="rId2"/>
      <headerFooter alignWithMargins="0"/>
    </customSheetView>
    <customSheetView guid="{AB1DC9E9-A3E4-4BE0-8A49-B02D340E9D12}" fitToPage="1" topLeftCell="A55">
      <selection activeCell="B5" sqref="B5"/>
      <pageMargins left="0.35" right="0.39" top="0.43" bottom="0.35" header="0.41" footer="0.28999999999999998"/>
      <pageSetup paperSize="9" scale="95" fitToWidth="2" orientation="portrait" horizontalDpi="300" verticalDpi="300" r:id="rId3"/>
      <headerFooter alignWithMargins="0"/>
    </customSheetView>
    <customSheetView guid="{BC7A4191-54CC-4009-AB21-42ED557A5091}" showPageBreaks="1" fitToPage="1" showRuler="0">
      <selection activeCell="A15" sqref="A15"/>
      <pageMargins left="0.35" right="0.39" top="0.43" bottom="0.35" header="0.41" footer="0.28999999999999998"/>
      <pageSetup paperSize="9" scale="95" fitToWidth="2" orientation="portrait" horizontalDpi="300" verticalDpi="300" r:id="rId4"/>
      <headerFooter alignWithMargins="0"/>
    </customSheetView>
  </customSheetViews>
  <mergeCells count="17">
    <mergeCell ref="C787:F787"/>
    <mergeCell ref="C8:F8"/>
    <mergeCell ref="C95:F95"/>
    <mergeCell ref="C438:F438"/>
    <mergeCell ref="C779:D779"/>
    <mergeCell ref="C436:D436"/>
    <mergeCell ref="C93:D93"/>
    <mergeCell ref="C782:F782"/>
    <mergeCell ref="C783:F783"/>
    <mergeCell ref="C784:F784"/>
    <mergeCell ref="C785:F785"/>
    <mergeCell ref="C786:F786"/>
    <mergeCell ref="B1:C1"/>
    <mergeCell ref="C4:F4"/>
    <mergeCell ref="E5:F5"/>
    <mergeCell ref="E1:F1"/>
    <mergeCell ref="B2:F2"/>
  </mergeCells>
  <phoneticPr fontId="3" type="noConversion"/>
  <printOptions horizontalCentered="1"/>
  <pageMargins left="0.17" right="0.2" top="0.2" bottom="0.2" header="0.17" footer="0.17"/>
  <pageSetup paperSize="9" scale="80" fitToWidth="2" orientation="portrait" horizontalDpi="300" verticalDpi="300" r:id="rId5"/>
  <headerFooter alignWithMargins="0"/>
  <ignoredErrors>
    <ignoredError sqref="C29:C30 C51:D51 C438:D439 C95:D96 C72:D72 D52 D53 D54 D55 D56 D57 D58 D59 D60 D61 D62 D63 D64 D65 D66 D67 D68 D69 D70 C71:D71 C93:D93 D73 D74 D75 D76 D77 D78 D79 D80 D81 D82 D83 D84 D85 D86 D87 D88 D89 D90 D91 C92:D92 C139:D139 D97 D98 D99 D100 D101 D102 D103 D104 D105 D106 D107 D108 D109 D110 D111 D112 D113 D114 D115 D116 D117 D118 D119 D120 D121 D122 D123 D124 D125 D126 D127 D128 D129 D130 D131 D132 D133 D134 D135 D136 D137 D138 C161:D161 D140 D141 D142 D143 D144 D145 D146 D147 D148 D149 D150 D151 D152 D153 D154 D155 D156 D157 D158 D159 D160 C182:D182 D162 D163 D164 D165 D166 D167 D168 D169 D170 D171 D172 D173 D174 D175 D176 D177 D178 D179 D180 D181 C266:D266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C393:D393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C415:D415 D394 D395 D396 D397 D398 D399 D400 D401 D402 D403 D404 D405 D406 D407 D408 D409 D410 D411 D412 D413 D414 D436 D416 D417 D418 D419 D420 D421 D422 D423 D424 D425 D426 D427 D428 D429 D430 D431 D432 D433 D434 D435 C482:D482 D440 D441 D442 D443 D444 D445 D446 D447 D448 D449 D450 D451 D452 D453 D454 D455 D456 D457 D458 D459 D460 D461 D462 D463 D464 D465 D466 D467 D468 D469 D470 D471 D472 D473 D474 D475 D476 D477 D478 D479 D480 D481 C504:D504 D483 D484 D485 D486 D487 D488 D489 D490 D491 D492 D493 D494 D495 D496 D497 D498 D499 D500 D501 D502 D503 C525:D525 D505 D506 D507 D508 D509 D510 D511 D512 D513 D514 D515 D516 D517 D518 D519 D520 D521 D522 D523 D524 C609:D609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C736:D736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C758:D758 D737 D738 D739 D740 D741 D742 D743 D744 D745 D746 D747 D748 D749 D750 D751 D752 D753 D754 D755 D756 D757 C779:D779 D759 D760 D761 D762 D763 D764 D765 D766 D767 D768 D769 D770 D771 D772 D773 D774 D775 D776 D777 D778 C50 B9:B77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H45"/>
  <sheetViews>
    <sheetView showGridLines="0" zoomScale="90" zoomScaleNormal="90" workbookViewId="0">
      <pane ySplit="6" topLeftCell="A19" activePane="bottomLeft" state="frozen"/>
      <selection activeCell="C120" sqref="C120"/>
      <selection pane="bottomLeft" activeCell="I31" sqref="I31"/>
    </sheetView>
  </sheetViews>
  <sheetFormatPr defaultColWidth="9.140625" defaultRowHeight="15" x14ac:dyDescent="0.3"/>
  <cols>
    <col min="1" max="1" width="2" style="5" customWidth="1"/>
    <col min="2" max="2" width="11" style="5" customWidth="1"/>
    <col min="3" max="3" width="5.28515625" style="5" customWidth="1"/>
    <col min="4" max="4" width="68.42578125" style="5" customWidth="1"/>
    <col min="5" max="6" width="16.140625" style="5" customWidth="1"/>
    <col min="7" max="16384" width="9.140625" style="5"/>
  </cols>
  <sheetData>
    <row r="1" spans="2:8" ht="15" customHeight="1" x14ac:dyDescent="0.3">
      <c r="B1" s="803" t="s">
        <v>315</v>
      </c>
      <c r="C1" s="803"/>
      <c r="D1" s="42"/>
      <c r="E1" s="806" t="s">
        <v>1215</v>
      </c>
      <c r="F1" s="806"/>
    </row>
    <row r="2" spans="2:8" ht="15" customHeight="1" x14ac:dyDescent="0.3">
      <c r="B2" s="803" t="s">
        <v>1209</v>
      </c>
      <c r="C2" s="803"/>
      <c r="D2" s="803"/>
      <c r="E2" s="803"/>
      <c r="F2" s="803"/>
    </row>
    <row r="3" spans="2:8" ht="15" customHeight="1" x14ac:dyDescent="0.3"/>
    <row r="4" spans="2:8" s="76" customFormat="1" ht="15" customHeight="1" x14ac:dyDescent="0.35">
      <c r="B4" s="156"/>
      <c r="D4" s="815" t="s">
        <v>3332</v>
      </c>
      <c r="E4" s="815"/>
      <c r="F4" s="815"/>
    </row>
    <row r="5" spans="2:8" ht="15" customHeight="1" thickBot="1" x14ac:dyDescent="0.35">
      <c r="C5" s="12"/>
      <c r="D5" s="130"/>
      <c r="E5" s="802" t="s">
        <v>323</v>
      </c>
      <c r="F5" s="802"/>
    </row>
    <row r="6" spans="2:8" s="80" customFormat="1" ht="45.75" thickBot="1" x14ac:dyDescent="0.25">
      <c r="B6" s="481" t="s">
        <v>4627</v>
      </c>
      <c r="C6" s="492" t="s">
        <v>1211</v>
      </c>
      <c r="D6" s="492"/>
      <c r="E6" s="416" t="s">
        <v>322</v>
      </c>
      <c r="F6" s="417" t="s">
        <v>333</v>
      </c>
    </row>
    <row r="7" spans="2:8" s="4" customFormat="1" ht="9" customHeight="1" x14ac:dyDescent="0.3">
      <c r="C7" s="12"/>
      <c r="D7" s="79"/>
      <c r="E7" s="53"/>
      <c r="F7" s="53"/>
    </row>
    <row r="8" spans="2:8" s="30" customFormat="1" ht="15" customHeight="1" x14ac:dyDescent="0.2">
      <c r="C8" s="814" t="s">
        <v>274</v>
      </c>
      <c r="D8" s="814"/>
      <c r="E8" s="814"/>
      <c r="F8" s="814"/>
    </row>
    <row r="9" spans="2:8" s="4" customFormat="1" ht="9" customHeight="1" thickBot="1" x14ac:dyDescent="0.35">
      <c r="C9" s="12"/>
      <c r="D9" s="79"/>
      <c r="E9" s="53"/>
      <c r="F9" s="53"/>
    </row>
    <row r="10" spans="2:8" s="134" customFormat="1" ht="15" customHeight="1" x14ac:dyDescent="0.2">
      <c r="B10" s="418" t="s">
        <v>3628</v>
      </c>
      <c r="C10" s="497">
        <v>1</v>
      </c>
      <c r="D10" s="493" t="s">
        <v>274</v>
      </c>
      <c r="E10" s="494"/>
      <c r="F10" s="495"/>
    </row>
    <row r="11" spans="2:8" s="134" customFormat="1" ht="15" customHeight="1" x14ac:dyDescent="0.2">
      <c r="B11" s="60" t="s">
        <v>3629</v>
      </c>
      <c r="C11" s="425">
        <v>2</v>
      </c>
      <c r="D11" s="131" t="s">
        <v>272</v>
      </c>
      <c r="E11" s="91"/>
      <c r="F11" s="92"/>
      <c r="G11" s="79"/>
    </row>
    <row r="12" spans="2:8" s="132" customFormat="1" ht="15" customHeight="1" x14ac:dyDescent="0.2">
      <c r="B12" s="60" t="s">
        <v>3630</v>
      </c>
      <c r="C12" s="397">
        <v>3</v>
      </c>
      <c r="D12" s="94" t="s">
        <v>2473</v>
      </c>
      <c r="E12" s="635">
        <f>E10-E11</f>
        <v>0</v>
      </c>
      <c r="F12" s="638">
        <f>F10-F11</f>
        <v>0</v>
      </c>
    </row>
    <row r="13" spans="2:8" s="134" customFormat="1" ht="15" customHeight="1" x14ac:dyDescent="0.2">
      <c r="B13" s="60" t="s">
        <v>3631</v>
      </c>
      <c r="C13" s="425">
        <v>4</v>
      </c>
      <c r="D13" s="131" t="s">
        <v>275</v>
      </c>
      <c r="E13" s="91"/>
      <c r="F13" s="92"/>
      <c r="G13" s="79"/>
    </row>
    <row r="14" spans="2:8" s="134" customFormat="1" ht="15" customHeight="1" x14ac:dyDescent="0.2">
      <c r="B14" s="60" t="s">
        <v>3632</v>
      </c>
      <c r="C14" s="425">
        <v>5</v>
      </c>
      <c r="D14" s="131" t="s">
        <v>270</v>
      </c>
      <c r="E14" s="91"/>
      <c r="F14" s="92"/>
      <c r="G14" s="79"/>
    </row>
    <row r="15" spans="2:8" s="132" customFormat="1" ht="15" customHeight="1" x14ac:dyDescent="0.2">
      <c r="B15" s="60" t="s">
        <v>3633</v>
      </c>
      <c r="C15" s="397">
        <v>6</v>
      </c>
      <c r="D15" s="94" t="s">
        <v>276</v>
      </c>
      <c r="E15" s="635">
        <f>E13-E14</f>
        <v>0</v>
      </c>
      <c r="F15" s="638">
        <f>F13-F14</f>
        <v>0</v>
      </c>
    </row>
    <row r="16" spans="2:8" s="134" customFormat="1" ht="15" customHeight="1" x14ac:dyDescent="0.2">
      <c r="B16" s="60" t="s">
        <v>3634</v>
      </c>
      <c r="C16" s="425">
        <v>7</v>
      </c>
      <c r="D16" s="131" t="s">
        <v>277</v>
      </c>
      <c r="E16" s="91"/>
      <c r="F16" s="92"/>
      <c r="G16" s="79"/>
      <c r="H16" s="79"/>
    </row>
    <row r="17" spans="2:8" s="134" customFormat="1" ht="15" customHeight="1" x14ac:dyDescent="0.2">
      <c r="B17" s="60" t="s">
        <v>3635</v>
      </c>
      <c r="C17" s="425">
        <v>8</v>
      </c>
      <c r="D17" s="131" t="s">
        <v>271</v>
      </c>
      <c r="E17" s="91"/>
      <c r="F17" s="92"/>
      <c r="G17" s="79"/>
      <c r="H17" s="79"/>
    </row>
    <row r="18" spans="2:8" s="132" customFormat="1" ht="15" customHeight="1" x14ac:dyDescent="0.2">
      <c r="B18" s="60" t="s">
        <v>3636</v>
      </c>
      <c r="C18" s="397">
        <v>9</v>
      </c>
      <c r="D18" s="94" t="s">
        <v>2474</v>
      </c>
      <c r="E18" s="635">
        <f>E16-E17</f>
        <v>0</v>
      </c>
      <c r="F18" s="638">
        <f>F16-F17</f>
        <v>0</v>
      </c>
    </row>
    <row r="19" spans="2:8" s="134" customFormat="1" ht="15" customHeight="1" thickBot="1" x14ac:dyDescent="0.25">
      <c r="B19" s="491" t="s">
        <v>3637</v>
      </c>
      <c r="C19" s="812" t="s">
        <v>2475</v>
      </c>
      <c r="D19" s="813"/>
      <c r="E19" s="241">
        <f>E12+E15+E18</f>
        <v>0</v>
      </c>
      <c r="F19" s="242">
        <f>F12+F15+F18</f>
        <v>0</v>
      </c>
      <c r="G19" s="79"/>
      <c r="H19" s="79"/>
    </row>
    <row r="20" spans="2:8" s="30" customFormat="1" ht="9" customHeight="1" x14ac:dyDescent="0.2">
      <c r="C20" s="135"/>
      <c r="D20" s="93"/>
      <c r="E20" s="136"/>
      <c r="F20" s="136"/>
    </row>
    <row r="21" spans="2:8" s="51" customFormat="1" ht="15" customHeight="1" x14ac:dyDescent="0.2">
      <c r="C21" s="814" t="s">
        <v>3346</v>
      </c>
      <c r="D21" s="814"/>
      <c r="E21" s="814"/>
      <c r="F21" s="814"/>
    </row>
    <row r="22" spans="2:8" s="30" customFormat="1" ht="9" customHeight="1" thickBot="1" x14ac:dyDescent="0.25">
      <c r="C22" s="135"/>
      <c r="D22" s="93"/>
      <c r="E22" s="136"/>
      <c r="F22" s="136"/>
    </row>
    <row r="23" spans="2:8" s="134" customFormat="1" ht="15" customHeight="1" x14ac:dyDescent="0.2">
      <c r="B23" s="418" t="s">
        <v>3638</v>
      </c>
      <c r="C23" s="497">
        <v>10</v>
      </c>
      <c r="D23" s="493" t="s">
        <v>1162</v>
      </c>
      <c r="E23" s="494"/>
      <c r="F23" s="495"/>
      <c r="G23" s="79"/>
      <c r="H23" s="79"/>
    </row>
    <row r="24" spans="2:8" s="134" customFormat="1" ht="15" customHeight="1" x14ac:dyDescent="0.2">
      <c r="B24" s="60" t="s">
        <v>3639</v>
      </c>
      <c r="C24" s="425">
        <v>11</v>
      </c>
      <c r="D24" s="131" t="s">
        <v>273</v>
      </c>
      <c r="E24" s="91"/>
      <c r="F24" s="92"/>
      <c r="G24" s="79"/>
      <c r="H24" s="79"/>
    </row>
    <row r="25" spans="2:8" s="137" customFormat="1" ht="30.75" customHeight="1" x14ac:dyDescent="0.2">
      <c r="B25" s="60" t="s">
        <v>3640</v>
      </c>
      <c r="C25" s="498">
        <v>12</v>
      </c>
      <c r="D25" s="133" t="s">
        <v>1163</v>
      </c>
      <c r="E25" s="635">
        <f>E23-E24</f>
        <v>0</v>
      </c>
      <c r="F25" s="638">
        <f>F23-F24</f>
        <v>0</v>
      </c>
    </row>
    <row r="26" spans="2:8" s="138" customFormat="1" ht="15" customHeight="1" x14ac:dyDescent="0.2">
      <c r="B26" s="60" t="s">
        <v>3641</v>
      </c>
      <c r="C26" s="499">
        <v>13</v>
      </c>
      <c r="D26" s="131" t="s">
        <v>278</v>
      </c>
      <c r="E26" s="636"/>
      <c r="F26" s="637"/>
      <c r="G26" s="30"/>
      <c r="H26" s="30"/>
    </row>
    <row r="27" spans="2:8" s="138" customFormat="1" ht="15" customHeight="1" x14ac:dyDescent="0.2">
      <c r="B27" s="60" t="s">
        <v>3642</v>
      </c>
      <c r="C27" s="499">
        <v>14</v>
      </c>
      <c r="D27" s="131" t="s">
        <v>273</v>
      </c>
      <c r="E27" s="636"/>
      <c r="F27" s="637"/>
      <c r="G27" s="30"/>
      <c r="H27" s="30"/>
    </row>
    <row r="28" spans="2:8" s="132" customFormat="1" ht="15" customHeight="1" x14ac:dyDescent="0.2">
      <c r="B28" s="60" t="s">
        <v>3643</v>
      </c>
      <c r="C28" s="397">
        <v>15</v>
      </c>
      <c r="D28" s="94" t="s">
        <v>2476</v>
      </c>
      <c r="E28" s="635">
        <f>E26-E27</f>
        <v>0</v>
      </c>
      <c r="F28" s="638">
        <f>F26-F27</f>
        <v>0</v>
      </c>
    </row>
    <row r="29" spans="2:8" s="138" customFormat="1" ht="15" customHeight="1" x14ac:dyDescent="0.2">
      <c r="B29" s="60" t="s">
        <v>3644</v>
      </c>
      <c r="C29" s="499">
        <v>16</v>
      </c>
      <c r="D29" s="131" t="s">
        <v>279</v>
      </c>
      <c r="E29" s="636"/>
      <c r="F29" s="637"/>
      <c r="G29" s="30"/>
      <c r="H29" s="30"/>
    </row>
    <row r="30" spans="2:8" s="138" customFormat="1" ht="15" customHeight="1" x14ac:dyDescent="0.2">
      <c r="B30" s="60" t="s">
        <v>3645</v>
      </c>
      <c r="C30" s="499">
        <v>17</v>
      </c>
      <c r="D30" s="131" t="s">
        <v>270</v>
      </c>
      <c r="E30" s="636"/>
      <c r="F30" s="637"/>
      <c r="G30" s="30"/>
      <c r="H30" s="30"/>
    </row>
    <row r="31" spans="2:8" s="132" customFormat="1" ht="15" customHeight="1" x14ac:dyDescent="0.2">
      <c r="B31" s="60" t="s">
        <v>3646</v>
      </c>
      <c r="C31" s="397">
        <v>18</v>
      </c>
      <c r="D31" s="94" t="s">
        <v>2471</v>
      </c>
      <c r="E31" s="635">
        <f>E29-E30</f>
        <v>0</v>
      </c>
      <c r="F31" s="638">
        <f>F29-F30</f>
        <v>0</v>
      </c>
    </row>
    <row r="32" spans="2:8" s="138" customFormat="1" ht="15" customHeight="1" x14ac:dyDescent="0.2">
      <c r="B32" s="60" t="s">
        <v>3647</v>
      </c>
      <c r="C32" s="499">
        <v>19</v>
      </c>
      <c r="D32" s="131" t="s">
        <v>280</v>
      </c>
      <c r="E32" s="636"/>
      <c r="F32" s="637"/>
      <c r="G32" s="30"/>
      <c r="H32" s="30"/>
    </row>
    <row r="33" spans="2:8" s="138" customFormat="1" ht="15" customHeight="1" x14ac:dyDescent="0.2">
      <c r="B33" s="60" t="s">
        <v>3648</v>
      </c>
      <c r="C33" s="499">
        <v>20</v>
      </c>
      <c r="D33" s="131" t="s">
        <v>271</v>
      </c>
      <c r="E33" s="636"/>
      <c r="F33" s="637"/>
      <c r="G33" s="30"/>
      <c r="H33" s="30"/>
    </row>
    <row r="34" spans="2:8" s="132" customFormat="1" ht="15" customHeight="1" x14ac:dyDescent="0.2">
      <c r="B34" s="60" t="s">
        <v>3649</v>
      </c>
      <c r="C34" s="397">
        <v>21</v>
      </c>
      <c r="D34" s="94" t="s">
        <v>2472</v>
      </c>
      <c r="E34" s="635">
        <f>E32-E33</f>
        <v>0</v>
      </c>
      <c r="F34" s="638">
        <f>F32-F33</f>
        <v>0</v>
      </c>
    </row>
    <row r="35" spans="2:8" s="134" customFormat="1" ht="15" customHeight="1" thickBot="1" x14ac:dyDescent="0.25">
      <c r="B35" s="491" t="s">
        <v>3650</v>
      </c>
      <c r="C35" s="812" t="s">
        <v>2477</v>
      </c>
      <c r="D35" s="813"/>
      <c r="E35" s="241">
        <f>E25+E28+E31+E34</f>
        <v>0</v>
      </c>
      <c r="F35" s="242">
        <f>F25+F28+F31+F34</f>
        <v>0</v>
      </c>
      <c r="G35" s="30"/>
      <c r="H35" s="79"/>
    </row>
    <row r="36" spans="2:8" s="134" customFormat="1" x14ac:dyDescent="0.2">
      <c r="C36" s="79"/>
      <c r="D36" s="79"/>
      <c r="E36" s="79"/>
      <c r="F36" s="79"/>
      <c r="G36" s="79"/>
    </row>
    <row r="37" spans="2:8" s="134" customFormat="1" x14ac:dyDescent="0.2">
      <c r="C37" s="79"/>
      <c r="D37" s="79"/>
      <c r="E37" s="79"/>
      <c r="F37" s="79"/>
      <c r="G37" s="79"/>
    </row>
    <row r="38" spans="2:8" s="134" customFormat="1" x14ac:dyDescent="0.3">
      <c r="C38" s="782"/>
      <c r="D38" s="782"/>
      <c r="E38" s="782"/>
      <c r="F38" s="782"/>
    </row>
    <row r="39" spans="2:8" s="134" customFormat="1" x14ac:dyDescent="0.2">
      <c r="C39" s="785"/>
      <c r="D39" s="785"/>
      <c r="E39" s="785"/>
      <c r="F39" s="785"/>
    </row>
    <row r="40" spans="2:8" s="134" customFormat="1" x14ac:dyDescent="0.3">
      <c r="C40" s="782"/>
      <c r="D40" s="782"/>
      <c r="E40" s="782"/>
      <c r="F40" s="782"/>
    </row>
    <row r="41" spans="2:8" s="134" customFormat="1" x14ac:dyDescent="0.2">
      <c r="C41" s="785"/>
      <c r="D41" s="785"/>
      <c r="E41" s="785"/>
      <c r="F41" s="785"/>
    </row>
    <row r="42" spans="2:8" s="134" customFormat="1" x14ac:dyDescent="0.3">
      <c r="C42" s="782"/>
      <c r="D42" s="782"/>
      <c r="E42" s="782"/>
      <c r="F42" s="782"/>
    </row>
    <row r="43" spans="2:8" s="134" customFormat="1" x14ac:dyDescent="0.2">
      <c r="C43" s="785"/>
      <c r="D43" s="785"/>
      <c r="E43" s="785"/>
      <c r="F43" s="785"/>
    </row>
    <row r="44" spans="2:8" s="134" customFormat="1" x14ac:dyDescent="0.2">
      <c r="C44" s="79"/>
      <c r="D44" s="79"/>
      <c r="E44" s="79"/>
      <c r="F44" s="79"/>
    </row>
    <row r="45" spans="2:8" x14ac:dyDescent="0.3">
      <c r="C45" s="10"/>
      <c r="D45" s="10"/>
      <c r="E45" s="10"/>
      <c r="F45" s="10"/>
    </row>
  </sheetData>
  <mergeCells count="15">
    <mergeCell ref="C42:F42"/>
    <mergeCell ref="C43:F43"/>
    <mergeCell ref="C35:D35"/>
    <mergeCell ref="E1:F1"/>
    <mergeCell ref="E5:F5"/>
    <mergeCell ref="C21:F21"/>
    <mergeCell ref="C19:D19"/>
    <mergeCell ref="D4:F4"/>
    <mergeCell ref="C8:F8"/>
    <mergeCell ref="B1:C1"/>
    <mergeCell ref="B2:F2"/>
    <mergeCell ref="C38:F38"/>
    <mergeCell ref="C39:F39"/>
    <mergeCell ref="C40:F40"/>
    <mergeCell ref="C41:F41"/>
  </mergeCells>
  <phoneticPr fontId="14" type="noConversion"/>
  <printOptions horizontalCentered="1"/>
  <pageMargins left="0.2" right="0.2" top="0.26" bottom="0.2" header="0.17" footer="0.17"/>
  <pageSetup scale="90" orientation="portrait" horizontalDpi="300" verticalDpi="300" r:id="rId1"/>
  <ignoredErrors>
    <ignoredError sqref="B10:B35"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ummaryRight="0"/>
  </sheetPr>
  <dimension ref="B1:X733"/>
  <sheetViews>
    <sheetView showGridLines="0" zoomScale="85" zoomScaleNormal="85" workbookViewId="0">
      <pane ySplit="7" topLeftCell="A8" activePane="bottomLeft" state="frozen"/>
      <selection activeCell="C120" sqref="C120"/>
      <selection pane="bottomLeft" activeCell="U12" sqref="U12"/>
    </sheetView>
  </sheetViews>
  <sheetFormatPr defaultColWidth="9.140625" defaultRowHeight="15" outlineLevelRow="2" x14ac:dyDescent="0.2"/>
  <cols>
    <col min="1" max="1" width="2" style="723" customWidth="1"/>
    <col min="2" max="2" width="9.28515625" style="723" customWidth="1"/>
    <col min="3" max="3" width="5.85546875" style="779" customWidth="1"/>
    <col min="4" max="4" width="72" style="723" customWidth="1"/>
    <col min="5" max="5" width="9.140625" style="723"/>
    <col min="6" max="6" width="9.7109375" style="723" customWidth="1"/>
    <col min="7" max="8" width="9.140625" style="723"/>
    <col min="9" max="9" width="9.5703125" style="723" customWidth="1"/>
    <col min="10" max="10" width="9.5703125" style="724" customWidth="1"/>
    <col min="11" max="11" width="11.7109375" style="723" bestFit="1" customWidth="1"/>
    <col min="12" max="12" width="9.140625" style="723"/>
    <col min="13" max="13" width="9.28515625" style="723" customWidth="1"/>
    <col min="14" max="17" width="9.140625" style="723"/>
    <col min="18" max="18" width="11.7109375" style="723" bestFit="1" customWidth="1"/>
    <col min="19" max="16384" width="9.140625" style="723"/>
  </cols>
  <sheetData>
    <row r="1" spans="2:24" x14ac:dyDescent="0.2">
      <c r="B1" s="817" t="s">
        <v>315</v>
      </c>
      <c r="C1" s="817"/>
      <c r="D1" s="722"/>
      <c r="P1" s="816" t="s">
        <v>1216</v>
      </c>
      <c r="Q1" s="816"/>
      <c r="R1" s="816"/>
    </row>
    <row r="2" spans="2:24" x14ac:dyDescent="0.2">
      <c r="B2" s="817" t="s">
        <v>1209</v>
      </c>
      <c r="C2" s="817"/>
      <c r="D2" s="817"/>
      <c r="E2" s="817"/>
      <c r="F2" s="817"/>
      <c r="G2" s="817"/>
      <c r="H2" s="817"/>
      <c r="I2" s="817"/>
      <c r="J2" s="817"/>
      <c r="K2" s="817"/>
      <c r="L2" s="817"/>
      <c r="M2" s="817"/>
      <c r="N2" s="817"/>
      <c r="O2" s="817"/>
      <c r="P2" s="817"/>
      <c r="Q2" s="725"/>
    </row>
    <row r="3" spans="2:24" x14ac:dyDescent="0.2">
      <c r="C3" s="726"/>
    </row>
    <row r="4" spans="2:24" s="728" customFormat="1" ht="15" customHeight="1" x14ac:dyDescent="0.2">
      <c r="B4" s="727"/>
      <c r="D4" s="818" t="s">
        <v>237</v>
      </c>
      <c r="E4" s="818"/>
      <c r="F4" s="818"/>
      <c r="G4" s="818"/>
      <c r="H4" s="818"/>
      <c r="I4" s="818"/>
      <c r="J4" s="818"/>
      <c r="K4" s="818"/>
      <c r="L4" s="818"/>
      <c r="M4" s="818"/>
      <c r="N4" s="818"/>
      <c r="O4" s="818"/>
      <c r="P4" s="818"/>
      <c r="R4" s="729"/>
      <c r="S4" s="729"/>
      <c r="T4" s="729"/>
      <c r="U4" s="729"/>
      <c r="V4" s="729"/>
      <c r="W4" s="729"/>
      <c r="X4" s="729"/>
    </row>
    <row r="5" spans="2:24" ht="10.5" customHeight="1" thickBot="1" x14ac:dyDescent="0.25">
      <c r="C5" s="723"/>
      <c r="P5" s="819" t="s">
        <v>323</v>
      </c>
      <c r="Q5" s="819"/>
      <c r="R5" s="819"/>
    </row>
    <row r="6" spans="2:24" s="730" customFormat="1" ht="38.25" customHeight="1" x14ac:dyDescent="0.2">
      <c r="B6" s="824" t="s">
        <v>4627</v>
      </c>
      <c r="C6" s="826" t="s">
        <v>1211</v>
      </c>
      <c r="D6" s="826"/>
      <c r="E6" s="820" t="s">
        <v>322</v>
      </c>
      <c r="F6" s="821"/>
      <c r="G6" s="821"/>
      <c r="H6" s="821"/>
      <c r="I6" s="821"/>
      <c r="J6" s="821"/>
      <c r="K6" s="822"/>
      <c r="L6" s="820" t="s">
        <v>333</v>
      </c>
      <c r="M6" s="821"/>
      <c r="N6" s="821"/>
      <c r="O6" s="821"/>
      <c r="P6" s="821"/>
      <c r="Q6" s="821"/>
      <c r="R6" s="823"/>
    </row>
    <row r="7" spans="2:24" s="730" customFormat="1" ht="15.75" thickBot="1" x14ac:dyDescent="0.25">
      <c r="B7" s="825"/>
      <c r="C7" s="827"/>
      <c r="D7" s="827"/>
      <c r="E7" s="500" t="s">
        <v>440</v>
      </c>
      <c r="F7" s="500" t="s">
        <v>233</v>
      </c>
      <c r="G7" s="500" t="s">
        <v>234</v>
      </c>
      <c r="H7" s="500" t="s">
        <v>307</v>
      </c>
      <c r="I7" s="501" t="s">
        <v>235</v>
      </c>
      <c r="J7" s="731" t="s">
        <v>4797</v>
      </c>
      <c r="K7" s="501" t="s">
        <v>4798</v>
      </c>
      <c r="L7" s="500" t="s">
        <v>440</v>
      </c>
      <c r="M7" s="500" t="s">
        <v>233</v>
      </c>
      <c r="N7" s="500" t="s">
        <v>234</v>
      </c>
      <c r="O7" s="500" t="s">
        <v>307</v>
      </c>
      <c r="P7" s="732" t="s">
        <v>235</v>
      </c>
      <c r="Q7" s="733" t="s">
        <v>4797</v>
      </c>
      <c r="R7" s="502" t="s">
        <v>4798</v>
      </c>
    </row>
    <row r="8" spans="2:24" s="734" customFormat="1" ht="9.75" customHeight="1" thickBot="1" x14ac:dyDescent="0.25">
      <c r="C8" s="735"/>
      <c r="E8" s="130"/>
      <c r="F8" s="130"/>
      <c r="G8" s="130"/>
      <c r="H8" s="130"/>
      <c r="I8" s="130"/>
      <c r="J8" s="736"/>
      <c r="K8" s="130"/>
      <c r="L8" s="130"/>
      <c r="M8" s="130"/>
      <c r="N8" s="130"/>
      <c r="O8" s="130"/>
      <c r="P8" s="130"/>
      <c r="Q8" s="736"/>
      <c r="R8" s="130"/>
    </row>
    <row r="9" spans="2:24" s="744" customFormat="1" x14ac:dyDescent="0.2">
      <c r="B9" s="737" t="s">
        <v>3628</v>
      </c>
      <c r="C9" s="738">
        <v>1</v>
      </c>
      <c r="D9" s="503" t="s">
        <v>238</v>
      </c>
      <c r="E9" s="739">
        <f>E10+E31+E52+E73+E94+E115</f>
        <v>0</v>
      </c>
      <c r="F9" s="739">
        <f t="shared" ref="F9:Q9" si="0">F10+F31+F52+F73+F94+F115</f>
        <v>0</v>
      </c>
      <c r="G9" s="739">
        <f t="shared" si="0"/>
        <v>0</v>
      </c>
      <c r="H9" s="739">
        <f t="shared" si="0"/>
        <v>0</v>
      </c>
      <c r="I9" s="740">
        <f t="shared" si="0"/>
        <v>0</v>
      </c>
      <c r="J9" s="741">
        <f t="shared" si="0"/>
        <v>0</v>
      </c>
      <c r="K9" s="740">
        <f>K10+K31+K52+K73+K94+K115</f>
        <v>0</v>
      </c>
      <c r="L9" s="739">
        <f t="shared" si="0"/>
        <v>0</v>
      </c>
      <c r="M9" s="739">
        <f t="shared" si="0"/>
        <v>0</v>
      </c>
      <c r="N9" s="739">
        <f t="shared" si="0"/>
        <v>0</v>
      </c>
      <c r="O9" s="739">
        <f t="shared" si="0"/>
        <v>0</v>
      </c>
      <c r="P9" s="742">
        <f t="shared" si="0"/>
        <v>0</v>
      </c>
      <c r="Q9" s="741">
        <f t="shared" si="0"/>
        <v>0</v>
      </c>
      <c r="R9" s="743">
        <f>R10+R31+R52+R73+R94+R115</f>
        <v>0</v>
      </c>
    </row>
    <row r="10" spans="2:24" s="734" customFormat="1" outlineLevel="1" x14ac:dyDescent="0.2">
      <c r="B10" s="745" t="s">
        <v>3629</v>
      </c>
      <c r="C10" s="746">
        <v>1.1000000000000001</v>
      </c>
      <c r="D10" s="131" t="s">
        <v>236</v>
      </c>
      <c r="E10" s="747">
        <f>SUM(E11:E30)</f>
        <v>0</v>
      </c>
      <c r="F10" s="747">
        <f t="shared" ref="F10:O10" si="1">SUM(F11:F30)</f>
        <v>0</v>
      </c>
      <c r="G10" s="747">
        <f t="shared" si="1"/>
        <v>0</v>
      </c>
      <c r="H10" s="747">
        <f t="shared" si="1"/>
        <v>0</v>
      </c>
      <c r="I10" s="748">
        <f t="shared" ref="I10:I30" si="2">SUM(E10:H10)</f>
        <v>0</v>
      </c>
      <c r="J10" s="747">
        <f t="shared" si="1"/>
        <v>0</v>
      </c>
      <c r="K10" s="748">
        <f>I10-J10</f>
        <v>0</v>
      </c>
      <c r="L10" s="747">
        <f t="shared" si="1"/>
        <v>0</v>
      </c>
      <c r="M10" s="747">
        <f t="shared" si="1"/>
        <v>0</v>
      </c>
      <c r="N10" s="747">
        <f t="shared" si="1"/>
        <v>0</v>
      </c>
      <c r="O10" s="747">
        <f t="shared" si="1"/>
        <v>0</v>
      </c>
      <c r="P10" s="749">
        <f t="shared" ref="P10:P51" si="3">SUM(L10:O10)</f>
        <v>0</v>
      </c>
      <c r="Q10" s="747">
        <f t="shared" ref="Q10" si="4">SUM(Q11:Q30)</f>
        <v>0</v>
      </c>
      <c r="R10" s="750">
        <f>P10-Q10</f>
        <v>0</v>
      </c>
    </row>
    <row r="11" spans="2:24" s="757" customFormat="1" outlineLevel="2" x14ac:dyDescent="0.2">
      <c r="B11" s="745" t="s">
        <v>3630</v>
      </c>
      <c r="C11" s="751" t="s">
        <v>446</v>
      </c>
      <c r="D11" s="752" t="s">
        <v>239</v>
      </c>
      <c r="E11" s="753"/>
      <c r="F11" s="753"/>
      <c r="G11" s="753"/>
      <c r="H11" s="753"/>
      <c r="I11" s="754">
        <f t="shared" si="2"/>
        <v>0</v>
      </c>
      <c r="J11" s="755"/>
      <c r="K11" s="748">
        <f t="shared" ref="K11:K74" si="5">I11-J11</f>
        <v>0</v>
      </c>
      <c r="L11" s="753"/>
      <c r="M11" s="753"/>
      <c r="N11" s="753"/>
      <c r="O11" s="753"/>
      <c r="P11" s="756">
        <f t="shared" si="3"/>
        <v>0</v>
      </c>
      <c r="Q11" s="755"/>
      <c r="R11" s="750">
        <f t="shared" ref="R11:R74" si="6">P11-Q11</f>
        <v>0</v>
      </c>
    </row>
    <row r="12" spans="2:24" s="757" customFormat="1" outlineLevel="2" x14ac:dyDescent="0.2">
      <c r="B12" s="745" t="s">
        <v>3631</v>
      </c>
      <c r="C12" s="751" t="s">
        <v>447</v>
      </c>
      <c r="D12" s="752" t="s">
        <v>239</v>
      </c>
      <c r="E12" s="753"/>
      <c r="F12" s="753"/>
      <c r="G12" s="753"/>
      <c r="H12" s="753"/>
      <c r="I12" s="754">
        <f t="shared" si="2"/>
        <v>0</v>
      </c>
      <c r="J12" s="755"/>
      <c r="K12" s="748">
        <f t="shared" si="5"/>
        <v>0</v>
      </c>
      <c r="L12" s="753"/>
      <c r="M12" s="753"/>
      <c r="N12" s="753"/>
      <c r="O12" s="753"/>
      <c r="P12" s="756">
        <f t="shared" si="3"/>
        <v>0</v>
      </c>
      <c r="Q12" s="755"/>
      <c r="R12" s="750">
        <f t="shared" si="6"/>
        <v>0</v>
      </c>
    </row>
    <row r="13" spans="2:24" s="757" customFormat="1" outlineLevel="2" x14ac:dyDescent="0.2">
      <c r="B13" s="745" t="s">
        <v>3632</v>
      </c>
      <c r="C13" s="751" t="s">
        <v>456</v>
      </c>
      <c r="D13" s="752" t="s">
        <v>239</v>
      </c>
      <c r="E13" s="753"/>
      <c r="F13" s="753"/>
      <c r="G13" s="753"/>
      <c r="H13" s="753"/>
      <c r="I13" s="754">
        <f t="shared" si="2"/>
        <v>0</v>
      </c>
      <c r="J13" s="755"/>
      <c r="K13" s="748">
        <f t="shared" si="5"/>
        <v>0</v>
      </c>
      <c r="L13" s="753"/>
      <c r="M13" s="753"/>
      <c r="N13" s="753"/>
      <c r="O13" s="753"/>
      <c r="P13" s="756">
        <f t="shared" si="3"/>
        <v>0</v>
      </c>
      <c r="Q13" s="755"/>
      <c r="R13" s="750">
        <f t="shared" si="6"/>
        <v>0</v>
      </c>
    </row>
    <row r="14" spans="2:24" s="757" customFormat="1" outlineLevel="2" x14ac:dyDescent="0.2">
      <c r="B14" s="745" t="s">
        <v>3633</v>
      </c>
      <c r="C14" s="751" t="s">
        <v>528</v>
      </c>
      <c r="D14" s="752" t="s">
        <v>239</v>
      </c>
      <c r="E14" s="753"/>
      <c r="F14" s="753"/>
      <c r="G14" s="753"/>
      <c r="H14" s="753"/>
      <c r="I14" s="754">
        <f t="shared" si="2"/>
        <v>0</v>
      </c>
      <c r="J14" s="755"/>
      <c r="K14" s="748">
        <f t="shared" si="5"/>
        <v>0</v>
      </c>
      <c r="L14" s="753"/>
      <c r="M14" s="753"/>
      <c r="N14" s="753"/>
      <c r="O14" s="753"/>
      <c r="P14" s="756">
        <f t="shared" si="3"/>
        <v>0</v>
      </c>
      <c r="Q14" s="755"/>
      <c r="R14" s="750">
        <f t="shared" si="6"/>
        <v>0</v>
      </c>
    </row>
    <row r="15" spans="2:24" s="757" customFormat="1" outlineLevel="2" x14ac:dyDescent="0.2">
      <c r="B15" s="745" t="s">
        <v>3634</v>
      </c>
      <c r="C15" s="751" t="s">
        <v>529</v>
      </c>
      <c r="D15" s="752" t="s">
        <v>239</v>
      </c>
      <c r="E15" s="753"/>
      <c r="F15" s="753"/>
      <c r="G15" s="753"/>
      <c r="H15" s="753"/>
      <c r="I15" s="754">
        <f t="shared" si="2"/>
        <v>0</v>
      </c>
      <c r="J15" s="755"/>
      <c r="K15" s="748">
        <f t="shared" si="5"/>
        <v>0</v>
      </c>
      <c r="L15" s="753"/>
      <c r="M15" s="753"/>
      <c r="N15" s="753"/>
      <c r="O15" s="753"/>
      <c r="P15" s="756">
        <f t="shared" si="3"/>
        <v>0</v>
      </c>
      <c r="Q15" s="755"/>
      <c r="R15" s="750">
        <f t="shared" si="6"/>
        <v>0</v>
      </c>
    </row>
    <row r="16" spans="2:24" s="757" customFormat="1" outlineLevel="2" x14ac:dyDescent="0.2">
      <c r="B16" s="745" t="s">
        <v>3635</v>
      </c>
      <c r="C16" s="751" t="s">
        <v>530</v>
      </c>
      <c r="D16" s="752" t="s">
        <v>239</v>
      </c>
      <c r="E16" s="753"/>
      <c r="F16" s="753"/>
      <c r="G16" s="753"/>
      <c r="H16" s="753"/>
      <c r="I16" s="754">
        <f t="shared" si="2"/>
        <v>0</v>
      </c>
      <c r="J16" s="755"/>
      <c r="K16" s="748">
        <f t="shared" si="5"/>
        <v>0</v>
      </c>
      <c r="L16" s="753"/>
      <c r="M16" s="753"/>
      <c r="N16" s="753"/>
      <c r="O16" s="753"/>
      <c r="P16" s="756">
        <f t="shared" si="3"/>
        <v>0</v>
      </c>
      <c r="Q16" s="755"/>
      <c r="R16" s="750">
        <f t="shared" si="6"/>
        <v>0</v>
      </c>
    </row>
    <row r="17" spans="2:18" s="757" customFormat="1" outlineLevel="2" x14ac:dyDescent="0.2">
      <c r="B17" s="745" t="s">
        <v>3636</v>
      </c>
      <c r="C17" s="751" t="s">
        <v>531</v>
      </c>
      <c r="D17" s="752" t="s">
        <v>239</v>
      </c>
      <c r="E17" s="753"/>
      <c r="F17" s="753"/>
      <c r="G17" s="753"/>
      <c r="H17" s="753"/>
      <c r="I17" s="754">
        <f t="shared" si="2"/>
        <v>0</v>
      </c>
      <c r="J17" s="755"/>
      <c r="K17" s="748">
        <f t="shared" si="5"/>
        <v>0</v>
      </c>
      <c r="L17" s="753"/>
      <c r="M17" s="753"/>
      <c r="N17" s="753"/>
      <c r="O17" s="753"/>
      <c r="P17" s="756">
        <f t="shared" si="3"/>
        <v>0</v>
      </c>
      <c r="Q17" s="755"/>
      <c r="R17" s="750">
        <f t="shared" si="6"/>
        <v>0</v>
      </c>
    </row>
    <row r="18" spans="2:18" s="757" customFormat="1" outlineLevel="2" x14ac:dyDescent="0.2">
      <c r="B18" s="745" t="s">
        <v>3637</v>
      </c>
      <c r="C18" s="751" t="s">
        <v>532</v>
      </c>
      <c r="D18" s="752" t="s">
        <v>239</v>
      </c>
      <c r="E18" s="753"/>
      <c r="F18" s="753"/>
      <c r="G18" s="753"/>
      <c r="H18" s="753"/>
      <c r="I18" s="754">
        <f t="shared" si="2"/>
        <v>0</v>
      </c>
      <c r="J18" s="755"/>
      <c r="K18" s="748">
        <f t="shared" si="5"/>
        <v>0</v>
      </c>
      <c r="L18" s="753"/>
      <c r="M18" s="753"/>
      <c r="N18" s="753"/>
      <c r="O18" s="753"/>
      <c r="P18" s="756">
        <f t="shared" si="3"/>
        <v>0</v>
      </c>
      <c r="Q18" s="755"/>
      <c r="R18" s="750">
        <f t="shared" si="6"/>
        <v>0</v>
      </c>
    </row>
    <row r="19" spans="2:18" s="757" customFormat="1" outlineLevel="2" x14ac:dyDescent="0.2">
      <c r="B19" s="745" t="s">
        <v>3638</v>
      </c>
      <c r="C19" s="751" t="s">
        <v>533</v>
      </c>
      <c r="D19" s="752" t="s">
        <v>239</v>
      </c>
      <c r="E19" s="753"/>
      <c r="F19" s="753"/>
      <c r="G19" s="753"/>
      <c r="H19" s="753"/>
      <c r="I19" s="754">
        <f t="shared" si="2"/>
        <v>0</v>
      </c>
      <c r="J19" s="755"/>
      <c r="K19" s="748">
        <f t="shared" si="5"/>
        <v>0</v>
      </c>
      <c r="L19" s="753"/>
      <c r="M19" s="753"/>
      <c r="N19" s="753"/>
      <c r="O19" s="753"/>
      <c r="P19" s="756">
        <f t="shared" si="3"/>
        <v>0</v>
      </c>
      <c r="Q19" s="755"/>
      <c r="R19" s="750">
        <f t="shared" si="6"/>
        <v>0</v>
      </c>
    </row>
    <row r="20" spans="2:18" s="757" customFormat="1" outlineLevel="2" x14ac:dyDescent="0.2">
      <c r="B20" s="745" t="s">
        <v>3639</v>
      </c>
      <c r="C20" s="751" t="s">
        <v>534</v>
      </c>
      <c r="D20" s="752" t="s">
        <v>239</v>
      </c>
      <c r="E20" s="753"/>
      <c r="F20" s="753"/>
      <c r="G20" s="753"/>
      <c r="H20" s="753"/>
      <c r="I20" s="754">
        <f t="shared" si="2"/>
        <v>0</v>
      </c>
      <c r="J20" s="755"/>
      <c r="K20" s="748">
        <f t="shared" si="5"/>
        <v>0</v>
      </c>
      <c r="L20" s="753"/>
      <c r="M20" s="753"/>
      <c r="N20" s="753"/>
      <c r="O20" s="753"/>
      <c r="P20" s="756">
        <f t="shared" si="3"/>
        <v>0</v>
      </c>
      <c r="Q20" s="755"/>
      <c r="R20" s="750">
        <f t="shared" si="6"/>
        <v>0</v>
      </c>
    </row>
    <row r="21" spans="2:18" s="757" customFormat="1" outlineLevel="2" x14ac:dyDescent="0.2">
      <c r="B21" s="745" t="s">
        <v>3640</v>
      </c>
      <c r="C21" s="751" t="s">
        <v>535</v>
      </c>
      <c r="D21" s="752" t="s">
        <v>239</v>
      </c>
      <c r="E21" s="753"/>
      <c r="F21" s="753"/>
      <c r="G21" s="753"/>
      <c r="H21" s="753"/>
      <c r="I21" s="754">
        <f t="shared" si="2"/>
        <v>0</v>
      </c>
      <c r="J21" s="755"/>
      <c r="K21" s="748">
        <f t="shared" si="5"/>
        <v>0</v>
      </c>
      <c r="L21" s="753"/>
      <c r="M21" s="753"/>
      <c r="N21" s="753"/>
      <c r="O21" s="753"/>
      <c r="P21" s="756">
        <f t="shared" si="3"/>
        <v>0</v>
      </c>
      <c r="Q21" s="755"/>
      <c r="R21" s="750">
        <f t="shared" si="6"/>
        <v>0</v>
      </c>
    </row>
    <row r="22" spans="2:18" s="757" customFormat="1" outlineLevel="2" x14ac:dyDescent="0.2">
      <c r="B22" s="745" t="s">
        <v>3641</v>
      </c>
      <c r="C22" s="751" t="s">
        <v>536</v>
      </c>
      <c r="D22" s="752" t="s">
        <v>239</v>
      </c>
      <c r="E22" s="753"/>
      <c r="F22" s="753"/>
      <c r="G22" s="753"/>
      <c r="H22" s="753"/>
      <c r="I22" s="754">
        <f t="shared" si="2"/>
        <v>0</v>
      </c>
      <c r="J22" s="755"/>
      <c r="K22" s="748">
        <f t="shared" si="5"/>
        <v>0</v>
      </c>
      <c r="L22" s="753"/>
      <c r="M22" s="753"/>
      <c r="N22" s="753"/>
      <c r="O22" s="753"/>
      <c r="P22" s="756">
        <f t="shared" si="3"/>
        <v>0</v>
      </c>
      <c r="Q22" s="755"/>
      <c r="R22" s="750">
        <f t="shared" si="6"/>
        <v>0</v>
      </c>
    </row>
    <row r="23" spans="2:18" s="757" customFormat="1" outlineLevel="2" x14ac:dyDescent="0.2">
      <c r="B23" s="745" t="s">
        <v>3642</v>
      </c>
      <c r="C23" s="751" t="s">
        <v>537</v>
      </c>
      <c r="D23" s="752" t="s">
        <v>239</v>
      </c>
      <c r="E23" s="753"/>
      <c r="F23" s="753"/>
      <c r="G23" s="753"/>
      <c r="H23" s="753"/>
      <c r="I23" s="754">
        <f t="shared" si="2"/>
        <v>0</v>
      </c>
      <c r="J23" s="755"/>
      <c r="K23" s="748">
        <f t="shared" si="5"/>
        <v>0</v>
      </c>
      <c r="L23" s="753"/>
      <c r="M23" s="753"/>
      <c r="N23" s="753"/>
      <c r="O23" s="753"/>
      <c r="P23" s="756">
        <f t="shared" si="3"/>
        <v>0</v>
      </c>
      <c r="Q23" s="755"/>
      <c r="R23" s="750">
        <f t="shared" si="6"/>
        <v>0</v>
      </c>
    </row>
    <row r="24" spans="2:18" s="757" customFormat="1" outlineLevel="2" x14ac:dyDescent="0.2">
      <c r="B24" s="745" t="s">
        <v>3643</v>
      </c>
      <c r="C24" s="751" t="s">
        <v>538</v>
      </c>
      <c r="D24" s="752" t="s">
        <v>239</v>
      </c>
      <c r="E24" s="753"/>
      <c r="F24" s="753"/>
      <c r="G24" s="753"/>
      <c r="H24" s="753"/>
      <c r="I24" s="754">
        <f t="shared" si="2"/>
        <v>0</v>
      </c>
      <c r="J24" s="755"/>
      <c r="K24" s="748">
        <f t="shared" si="5"/>
        <v>0</v>
      </c>
      <c r="L24" s="753"/>
      <c r="M24" s="753"/>
      <c r="N24" s="753"/>
      <c r="O24" s="753"/>
      <c r="P24" s="756">
        <f t="shared" si="3"/>
        <v>0</v>
      </c>
      <c r="Q24" s="755"/>
      <c r="R24" s="750">
        <f t="shared" si="6"/>
        <v>0</v>
      </c>
    </row>
    <row r="25" spans="2:18" s="757" customFormat="1" outlineLevel="2" x14ac:dyDescent="0.2">
      <c r="B25" s="745" t="s">
        <v>3644</v>
      </c>
      <c r="C25" s="751" t="s">
        <v>539</v>
      </c>
      <c r="D25" s="752" t="s">
        <v>239</v>
      </c>
      <c r="E25" s="753"/>
      <c r="F25" s="753"/>
      <c r="G25" s="753"/>
      <c r="H25" s="753"/>
      <c r="I25" s="754">
        <f t="shared" si="2"/>
        <v>0</v>
      </c>
      <c r="J25" s="755"/>
      <c r="K25" s="748">
        <f t="shared" si="5"/>
        <v>0</v>
      </c>
      <c r="L25" s="753"/>
      <c r="M25" s="753"/>
      <c r="N25" s="753"/>
      <c r="O25" s="753"/>
      <c r="P25" s="756">
        <f t="shared" si="3"/>
        <v>0</v>
      </c>
      <c r="Q25" s="755"/>
      <c r="R25" s="750">
        <f t="shared" si="6"/>
        <v>0</v>
      </c>
    </row>
    <row r="26" spans="2:18" s="757" customFormat="1" outlineLevel="2" x14ac:dyDescent="0.2">
      <c r="B26" s="745" t="s">
        <v>3645</v>
      </c>
      <c r="C26" s="751" t="s">
        <v>540</v>
      </c>
      <c r="D26" s="752" t="s">
        <v>239</v>
      </c>
      <c r="E26" s="753"/>
      <c r="F26" s="753"/>
      <c r="G26" s="753"/>
      <c r="H26" s="753"/>
      <c r="I26" s="754">
        <f t="shared" si="2"/>
        <v>0</v>
      </c>
      <c r="J26" s="755"/>
      <c r="K26" s="748">
        <f t="shared" si="5"/>
        <v>0</v>
      </c>
      <c r="L26" s="753"/>
      <c r="M26" s="753"/>
      <c r="N26" s="753"/>
      <c r="O26" s="753"/>
      <c r="P26" s="756">
        <f t="shared" si="3"/>
        <v>0</v>
      </c>
      <c r="Q26" s="755"/>
      <c r="R26" s="750">
        <f t="shared" si="6"/>
        <v>0</v>
      </c>
    </row>
    <row r="27" spans="2:18" s="757" customFormat="1" outlineLevel="2" x14ac:dyDescent="0.2">
      <c r="B27" s="745" t="s">
        <v>3646</v>
      </c>
      <c r="C27" s="751" t="s">
        <v>541</v>
      </c>
      <c r="D27" s="752" t="s">
        <v>239</v>
      </c>
      <c r="E27" s="753"/>
      <c r="F27" s="753"/>
      <c r="G27" s="753"/>
      <c r="H27" s="753"/>
      <c r="I27" s="754">
        <f t="shared" si="2"/>
        <v>0</v>
      </c>
      <c r="J27" s="755"/>
      <c r="K27" s="748">
        <f t="shared" si="5"/>
        <v>0</v>
      </c>
      <c r="L27" s="753"/>
      <c r="M27" s="753"/>
      <c r="N27" s="753"/>
      <c r="O27" s="753"/>
      <c r="P27" s="756">
        <f t="shared" si="3"/>
        <v>0</v>
      </c>
      <c r="Q27" s="755"/>
      <c r="R27" s="750">
        <f t="shared" si="6"/>
        <v>0</v>
      </c>
    </row>
    <row r="28" spans="2:18" s="757" customFormat="1" outlineLevel="2" x14ac:dyDescent="0.2">
      <c r="B28" s="745" t="s">
        <v>3647</v>
      </c>
      <c r="C28" s="751" t="s">
        <v>542</v>
      </c>
      <c r="D28" s="752" t="s">
        <v>239</v>
      </c>
      <c r="E28" s="753"/>
      <c r="F28" s="753"/>
      <c r="G28" s="753"/>
      <c r="H28" s="753"/>
      <c r="I28" s="754">
        <f t="shared" si="2"/>
        <v>0</v>
      </c>
      <c r="J28" s="755"/>
      <c r="K28" s="748">
        <f t="shared" si="5"/>
        <v>0</v>
      </c>
      <c r="L28" s="753"/>
      <c r="M28" s="753"/>
      <c r="N28" s="753"/>
      <c r="O28" s="753"/>
      <c r="P28" s="756">
        <f t="shared" si="3"/>
        <v>0</v>
      </c>
      <c r="Q28" s="755"/>
      <c r="R28" s="750">
        <f t="shared" si="6"/>
        <v>0</v>
      </c>
    </row>
    <row r="29" spans="2:18" s="757" customFormat="1" outlineLevel="2" x14ac:dyDescent="0.2">
      <c r="B29" s="745" t="s">
        <v>3648</v>
      </c>
      <c r="C29" s="751" t="s">
        <v>543</v>
      </c>
      <c r="D29" s="752" t="s">
        <v>239</v>
      </c>
      <c r="E29" s="753"/>
      <c r="F29" s="753"/>
      <c r="G29" s="753"/>
      <c r="H29" s="753"/>
      <c r="I29" s="754">
        <f t="shared" si="2"/>
        <v>0</v>
      </c>
      <c r="J29" s="755"/>
      <c r="K29" s="748">
        <f t="shared" si="5"/>
        <v>0</v>
      </c>
      <c r="L29" s="753"/>
      <c r="M29" s="753"/>
      <c r="N29" s="753"/>
      <c r="O29" s="753"/>
      <c r="P29" s="756">
        <f t="shared" si="3"/>
        <v>0</v>
      </c>
      <c r="Q29" s="755"/>
      <c r="R29" s="750">
        <f t="shared" si="6"/>
        <v>0</v>
      </c>
    </row>
    <row r="30" spans="2:18" s="757" customFormat="1" outlineLevel="2" x14ac:dyDescent="0.2">
      <c r="B30" s="745" t="s">
        <v>3649</v>
      </c>
      <c r="C30" s="751" t="s">
        <v>544</v>
      </c>
      <c r="D30" s="752" t="s">
        <v>239</v>
      </c>
      <c r="E30" s="753"/>
      <c r="F30" s="753"/>
      <c r="G30" s="753"/>
      <c r="H30" s="753"/>
      <c r="I30" s="754">
        <f t="shared" si="2"/>
        <v>0</v>
      </c>
      <c r="J30" s="755"/>
      <c r="K30" s="748">
        <f t="shared" si="5"/>
        <v>0</v>
      </c>
      <c r="L30" s="753"/>
      <c r="M30" s="753"/>
      <c r="N30" s="753"/>
      <c r="O30" s="753"/>
      <c r="P30" s="756">
        <f t="shared" si="3"/>
        <v>0</v>
      </c>
      <c r="Q30" s="755"/>
      <c r="R30" s="750">
        <f t="shared" si="6"/>
        <v>0</v>
      </c>
    </row>
    <row r="31" spans="2:18" s="734" customFormat="1" outlineLevel="1" x14ac:dyDescent="0.2">
      <c r="B31" s="745" t="s">
        <v>3650</v>
      </c>
      <c r="C31" s="746">
        <v>1.2</v>
      </c>
      <c r="D31" s="131" t="s">
        <v>2780</v>
      </c>
      <c r="E31" s="747">
        <f>SUM(E32:E51)</f>
        <v>0</v>
      </c>
      <c r="F31" s="747">
        <f>SUM(F32:F51)</f>
        <v>0</v>
      </c>
      <c r="G31" s="747">
        <f>SUM(G32:G51)</f>
        <v>0</v>
      </c>
      <c r="H31" s="747">
        <f>SUM(H32:H51)</f>
        <v>0</v>
      </c>
      <c r="I31" s="748">
        <f>SUM(E31:H31)</f>
        <v>0</v>
      </c>
      <c r="J31" s="747">
        <f>SUM(J32:J51)</f>
        <v>0</v>
      </c>
      <c r="K31" s="748">
        <f t="shared" si="5"/>
        <v>0</v>
      </c>
      <c r="L31" s="747">
        <f>SUM(L32:L51)</f>
        <v>0</v>
      </c>
      <c r="M31" s="747">
        <f>SUM(M32:M51)</f>
        <v>0</v>
      </c>
      <c r="N31" s="747">
        <f>SUM(N32:N51)</f>
        <v>0</v>
      </c>
      <c r="O31" s="747">
        <f>SUM(O32:O51)</f>
        <v>0</v>
      </c>
      <c r="P31" s="749">
        <f>SUM(L31:O31)</f>
        <v>0</v>
      </c>
      <c r="Q31" s="747">
        <f>SUM(Q32:Q51)</f>
        <v>0</v>
      </c>
      <c r="R31" s="750">
        <f t="shared" si="6"/>
        <v>0</v>
      </c>
    </row>
    <row r="32" spans="2:18" s="757" customFormat="1" outlineLevel="2" x14ac:dyDescent="0.2">
      <c r="B32" s="745" t="s">
        <v>3651</v>
      </c>
      <c r="C32" s="751" t="s">
        <v>452</v>
      </c>
      <c r="D32" s="752" t="s">
        <v>239</v>
      </c>
      <c r="E32" s="753"/>
      <c r="F32" s="753"/>
      <c r="G32" s="753"/>
      <c r="H32" s="753"/>
      <c r="I32" s="754">
        <f t="shared" ref="I32:I95" si="7">SUM(E32:H32)</f>
        <v>0</v>
      </c>
      <c r="J32" s="755"/>
      <c r="K32" s="748">
        <f t="shared" si="5"/>
        <v>0</v>
      </c>
      <c r="L32" s="753"/>
      <c r="M32" s="753"/>
      <c r="N32" s="753"/>
      <c r="O32" s="753"/>
      <c r="P32" s="756">
        <f t="shared" si="3"/>
        <v>0</v>
      </c>
      <c r="Q32" s="755"/>
      <c r="R32" s="750">
        <f t="shared" si="6"/>
        <v>0</v>
      </c>
    </row>
    <row r="33" spans="2:18" s="757" customFormat="1" outlineLevel="2" x14ac:dyDescent="0.2">
      <c r="B33" s="745" t="s">
        <v>3652</v>
      </c>
      <c r="C33" s="751" t="s">
        <v>453</v>
      </c>
      <c r="D33" s="752" t="s">
        <v>239</v>
      </c>
      <c r="E33" s="753"/>
      <c r="F33" s="753"/>
      <c r="G33" s="753"/>
      <c r="H33" s="753"/>
      <c r="I33" s="754">
        <f t="shared" si="7"/>
        <v>0</v>
      </c>
      <c r="J33" s="755"/>
      <c r="K33" s="748">
        <f t="shared" si="5"/>
        <v>0</v>
      </c>
      <c r="L33" s="753"/>
      <c r="M33" s="753"/>
      <c r="N33" s="753"/>
      <c r="O33" s="753"/>
      <c r="P33" s="756">
        <f t="shared" si="3"/>
        <v>0</v>
      </c>
      <c r="Q33" s="755"/>
      <c r="R33" s="750">
        <f t="shared" si="6"/>
        <v>0</v>
      </c>
    </row>
    <row r="34" spans="2:18" s="757" customFormat="1" outlineLevel="2" x14ac:dyDescent="0.2">
      <c r="B34" s="745" t="s">
        <v>3653</v>
      </c>
      <c r="C34" s="751" t="s">
        <v>457</v>
      </c>
      <c r="D34" s="752" t="s">
        <v>239</v>
      </c>
      <c r="E34" s="753"/>
      <c r="F34" s="753"/>
      <c r="G34" s="753"/>
      <c r="H34" s="753"/>
      <c r="I34" s="754">
        <f t="shared" si="7"/>
        <v>0</v>
      </c>
      <c r="J34" s="755"/>
      <c r="K34" s="748">
        <f t="shared" si="5"/>
        <v>0</v>
      </c>
      <c r="L34" s="753"/>
      <c r="M34" s="753"/>
      <c r="N34" s="753"/>
      <c r="O34" s="753"/>
      <c r="P34" s="756">
        <f t="shared" si="3"/>
        <v>0</v>
      </c>
      <c r="Q34" s="755"/>
      <c r="R34" s="750">
        <f t="shared" si="6"/>
        <v>0</v>
      </c>
    </row>
    <row r="35" spans="2:18" s="757" customFormat="1" outlineLevel="2" x14ac:dyDescent="0.2">
      <c r="B35" s="745" t="s">
        <v>3654</v>
      </c>
      <c r="C35" s="751" t="s">
        <v>545</v>
      </c>
      <c r="D35" s="752" t="s">
        <v>239</v>
      </c>
      <c r="E35" s="753"/>
      <c r="F35" s="753"/>
      <c r="G35" s="753"/>
      <c r="H35" s="753"/>
      <c r="I35" s="754">
        <f t="shared" si="7"/>
        <v>0</v>
      </c>
      <c r="J35" s="755"/>
      <c r="K35" s="748">
        <f t="shared" si="5"/>
        <v>0</v>
      </c>
      <c r="L35" s="753"/>
      <c r="M35" s="753"/>
      <c r="N35" s="753"/>
      <c r="O35" s="753"/>
      <c r="P35" s="756">
        <f t="shared" si="3"/>
        <v>0</v>
      </c>
      <c r="Q35" s="755"/>
      <c r="R35" s="750">
        <f t="shared" si="6"/>
        <v>0</v>
      </c>
    </row>
    <row r="36" spans="2:18" s="757" customFormat="1" outlineLevel="2" x14ac:dyDescent="0.2">
      <c r="B36" s="745" t="s">
        <v>3655</v>
      </c>
      <c r="C36" s="751" t="s">
        <v>546</v>
      </c>
      <c r="D36" s="752" t="s">
        <v>239</v>
      </c>
      <c r="E36" s="753"/>
      <c r="F36" s="753"/>
      <c r="G36" s="753"/>
      <c r="H36" s="753"/>
      <c r="I36" s="754">
        <f t="shared" si="7"/>
        <v>0</v>
      </c>
      <c r="J36" s="755"/>
      <c r="K36" s="748">
        <f t="shared" si="5"/>
        <v>0</v>
      </c>
      <c r="L36" s="753"/>
      <c r="M36" s="753"/>
      <c r="N36" s="753"/>
      <c r="O36" s="753"/>
      <c r="P36" s="756">
        <f t="shared" si="3"/>
        <v>0</v>
      </c>
      <c r="Q36" s="755"/>
      <c r="R36" s="750">
        <f t="shared" si="6"/>
        <v>0</v>
      </c>
    </row>
    <row r="37" spans="2:18" s="757" customFormat="1" outlineLevel="2" x14ac:dyDescent="0.2">
      <c r="B37" s="745" t="s">
        <v>3656</v>
      </c>
      <c r="C37" s="751" t="s">
        <v>547</v>
      </c>
      <c r="D37" s="752" t="s">
        <v>239</v>
      </c>
      <c r="E37" s="753"/>
      <c r="F37" s="753"/>
      <c r="G37" s="753"/>
      <c r="H37" s="753"/>
      <c r="I37" s="754">
        <f t="shared" si="7"/>
        <v>0</v>
      </c>
      <c r="J37" s="755"/>
      <c r="K37" s="748">
        <f t="shared" si="5"/>
        <v>0</v>
      </c>
      <c r="L37" s="753"/>
      <c r="M37" s="753"/>
      <c r="N37" s="753"/>
      <c r="O37" s="753"/>
      <c r="P37" s="756">
        <f t="shared" si="3"/>
        <v>0</v>
      </c>
      <c r="Q37" s="755"/>
      <c r="R37" s="750">
        <f t="shared" si="6"/>
        <v>0</v>
      </c>
    </row>
    <row r="38" spans="2:18" s="757" customFormat="1" outlineLevel="2" x14ac:dyDescent="0.2">
      <c r="B38" s="745" t="s">
        <v>3657</v>
      </c>
      <c r="C38" s="751" t="s">
        <v>548</v>
      </c>
      <c r="D38" s="752" t="s">
        <v>239</v>
      </c>
      <c r="E38" s="753"/>
      <c r="F38" s="753"/>
      <c r="G38" s="753"/>
      <c r="H38" s="753"/>
      <c r="I38" s="754">
        <f t="shared" si="7"/>
        <v>0</v>
      </c>
      <c r="J38" s="755"/>
      <c r="K38" s="748">
        <f t="shared" si="5"/>
        <v>0</v>
      </c>
      <c r="L38" s="753"/>
      <c r="M38" s="753"/>
      <c r="N38" s="753"/>
      <c r="O38" s="753"/>
      <c r="P38" s="756">
        <f t="shared" si="3"/>
        <v>0</v>
      </c>
      <c r="Q38" s="755"/>
      <c r="R38" s="750">
        <f t="shared" si="6"/>
        <v>0</v>
      </c>
    </row>
    <row r="39" spans="2:18" s="757" customFormat="1" outlineLevel="2" x14ac:dyDescent="0.2">
      <c r="B39" s="745" t="s">
        <v>3658</v>
      </c>
      <c r="C39" s="751" t="s">
        <v>549</v>
      </c>
      <c r="D39" s="752" t="s">
        <v>239</v>
      </c>
      <c r="E39" s="753"/>
      <c r="F39" s="753"/>
      <c r="G39" s="753"/>
      <c r="H39" s="753"/>
      <c r="I39" s="754">
        <f t="shared" si="7"/>
        <v>0</v>
      </c>
      <c r="J39" s="755"/>
      <c r="K39" s="748">
        <f t="shared" si="5"/>
        <v>0</v>
      </c>
      <c r="L39" s="753"/>
      <c r="M39" s="753"/>
      <c r="N39" s="753"/>
      <c r="O39" s="753"/>
      <c r="P39" s="756">
        <f t="shared" si="3"/>
        <v>0</v>
      </c>
      <c r="Q39" s="755"/>
      <c r="R39" s="750">
        <f t="shared" si="6"/>
        <v>0</v>
      </c>
    </row>
    <row r="40" spans="2:18" s="757" customFormat="1" outlineLevel="2" x14ac:dyDescent="0.2">
      <c r="B40" s="745" t="s">
        <v>3659</v>
      </c>
      <c r="C40" s="751" t="s">
        <v>550</v>
      </c>
      <c r="D40" s="752" t="s">
        <v>239</v>
      </c>
      <c r="E40" s="753"/>
      <c r="F40" s="753"/>
      <c r="G40" s="753"/>
      <c r="H40" s="753"/>
      <c r="I40" s="754">
        <f t="shared" si="7"/>
        <v>0</v>
      </c>
      <c r="J40" s="755"/>
      <c r="K40" s="748">
        <f t="shared" si="5"/>
        <v>0</v>
      </c>
      <c r="L40" s="753"/>
      <c r="M40" s="753"/>
      <c r="N40" s="753"/>
      <c r="O40" s="753"/>
      <c r="P40" s="756">
        <f t="shared" si="3"/>
        <v>0</v>
      </c>
      <c r="Q40" s="755"/>
      <c r="R40" s="750">
        <f t="shared" si="6"/>
        <v>0</v>
      </c>
    </row>
    <row r="41" spans="2:18" s="757" customFormat="1" outlineLevel="2" x14ac:dyDescent="0.2">
      <c r="B41" s="745" t="s">
        <v>3660</v>
      </c>
      <c r="C41" s="751" t="s">
        <v>551</v>
      </c>
      <c r="D41" s="752" t="s">
        <v>239</v>
      </c>
      <c r="E41" s="753"/>
      <c r="F41" s="753"/>
      <c r="G41" s="753"/>
      <c r="H41" s="753"/>
      <c r="I41" s="754">
        <f t="shared" si="7"/>
        <v>0</v>
      </c>
      <c r="J41" s="755"/>
      <c r="K41" s="748">
        <f t="shared" si="5"/>
        <v>0</v>
      </c>
      <c r="L41" s="753"/>
      <c r="M41" s="753"/>
      <c r="N41" s="753"/>
      <c r="O41" s="753"/>
      <c r="P41" s="756">
        <f t="shared" si="3"/>
        <v>0</v>
      </c>
      <c r="Q41" s="755"/>
      <c r="R41" s="750">
        <f t="shared" si="6"/>
        <v>0</v>
      </c>
    </row>
    <row r="42" spans="2:18" s="757" customFormat="1" outlineLevel="2" x14ac:dyDescent="0.2">
      <c r="B42" s="745" t="s">
        <v>3661</v>
      </c>
      <c r="C42" s="751" t="s">
        <v>552</v>
      </c>
      <c r="D42" s="752" t="s">
        <v>239</v>
      </c>
      <c r="E42" s="753"/>
      <c r="F42" s="753"/>
      <c r="G42" s="753"/>
      <c r="H42" s="753"/>
      <c r="I42" s="754">
        <f t="shared" si="7"/>
        <v>0</v>
      </c>
      <c r="J42" s="755"/>
      <c r="K42" s="748">
        <f t="shared" si="5"/>
        <v>0</v>
      </c>
      <c r="L42" s="753"/>
      <c r="M42" s="753"/>
      <c r="N42" s="753"/>
      <c r="O42" s="753"/>
      <c r="P42" s="756">
        <f t="shared" si="3"/>
        <v>0</v>
      </c>
      <c r="Q42" s="755"/>
      <c r="R42" s="750">
        <f t="shared" si="6"/>
        <v>0</v>
      </c>
    </row>
    <row r="43" spans="2:18" s="757" customFormat="1" outlineLevel="2" x14ac:dyDescent="0.2">
      <c r="B43" s="745" t="s">
        <v>3662</v>
      </c>
      <c r="C43" s="751" t="s">
        <v>553</v>
      </c>
      <c r="D43" s="752" t="s">
        <v>239</v>
      </c>
      <c r="E43" s="753"/>
      <c r="F43" s="753"/>
      <c r="G43" s="753"/>
      <c r="H43" s="753"/>
      <c r="I43" s="754">
        <f t="shared" si="7"/>
        <v>0</v>
      </c>
      <c r="J43" s="755"/>
      <c r="K43" s="748">
        <f t="shared" si="5"/>
        <v>0</v>
      </c>
      <c r="L43" s="753"/>
      <c r="M43" s="753"/>
      <c r="N43" s="753"/>
      <c r="O43" s="753"/>
      <c r="P43" s="756">
        <f t="shared" si="3"/>
        <v>0</v>
      </c>
      <c r="Q43" s="755"/>
      <c r="R43" s="750">
        <f t="shared" si="6"/>
        <v>0</v>
      </c>
    </row>
    <row r="44" spans="2:18" s="757" customFormat="1" outlineLevel="2" x14ac:dyDescent="0.2">
      <c r="B44" s="745" t="s">
        <v>3663</v>
      </c>
      <c r="C44" s="751" t="s">
        <v>554</v>
      </c>
      <c r="D44" s="752" t="s">
        <v>239</v>
      </c>
      <c r="E44" s="753"/>
      <c r="F44" s="753"/>
      <c r="G44" s="753"/>
      <c r="H44" s="753"/>
      <c r="I44" s="754">
        <f t="shared" si="7"/>
        <v>0</v>
      </c>
      <c r="J44" s="755"/>
      <c r="K44" s="748">
        <f t="shared" si="5"/>
        <v>0</v>
      </c>
      <c r="L44" s="753"/>
      <c r="M44" s="753"/>
      <c r="N44" s="753"/>
      <c r="O44" s="753"/>
      <c r="P44" s="756">
        <f t="shared" si="3"/>
        <v>0</v>
      </c>
      <c r="Q44" s="755"/>
      <c r="R44" s="750">
        <f t="shared" si="6"/>
        <v>0</v>
      </c>
    </row>
    <row r="45" spans="2:18" s="757" customFormat="1" outlineLevel="2" x14ac:dyDescent="0.2">
      <c r="B45" s="745" t="s">
        <v>3664</v>
      </c>
      <c r="C45" s="751" t="s">
        <v>555</v>
      </c>
      <c r="D45" s="752" t="s">
        <v>239</v>
      </c>
      <c r="E45" s="753"/>
      <c r="F45" s="753"/>
      <c r="G45" s="753"/>
      <c r="H45" s="753"/>
      <c r="I45" s="754">
        <f t="shared" si="7"/>
        <v>0</v>
      </c>
      <c r="J45" s="755"/>
      <c r="K45" s="748">
        <f t="shared" si="5"/>
        <v>0</v>
      </c>
      <c r="L45" s="753"/>
      <c r="M45" s="753"/>
      <c r="N45" s="753"/>
      <c r="O45" s="753"/>
      <c r="P45" s="756">
        <f t="shared" si="3"/>
        <v>0</v>
      </c>
      <c r="Q45" s="755"/>
      <c r="R45" s="750">
        <f t="shared" si="6"/>
        <v>0</v>
      </c>
    </row>
    <row r="46" spans="2:18" s="757" customFormat="1" outlineLevel="2" x14ac:dyDescent="0.2">
      <c r="B46" s="745" t="s">
        <v>3665</v>
      </c>
      <c r="C46" s="751" t="s">
        <v>556</v>
      </c>
      <c r="D46" s="752" t="s">
        <v>239</v>
      </c>
      <c r="E46" s="753"/>
      <c r="F46" s="753"/>
      <c r="G46" s="753"/>
      <c r="H46" s="753"/>
      <c r="I46" s="754">
        <f t="shared" si="7"/>
        <v>0</v>
      </c>
      <c r="J46" s="755"/>
      <c r="K46" s="748">
        <f t="shared" si="5"/>
        <v>0</v>
      </c>
      <c r="L46" s="753"/>
      <c r="M46" s="753"/>
      <c r="N46" s="753"/>
      <c r="O46" s="753"/>
      <c r="P46" s="756">
        <f t="shared" si="3"/>
        <v>0</v>
      </c>
      <c r="Q46" s="755"/>
      <c r="R46" s="750">
        <f t="shared" si="6"/>
        <v>0</v>
      </c>
    </row>
    <row r="47" spans="2:18" s="757" customFormat="1" outlineLevel="2" x14ac:dyDescent="0.2">
      <c r="B47" s="745" t="s">
        <v>3666</v>
      </c>
      <c r="C47" s="751" t="s">
        <v>557</v>
      </c>
      <c r="D47" s="752" t="s">
        <v>239</v>
      </c>
      <c r="E47" s="753"/>
      <c r="F47" s="753"/>
      <c r="G47" s="753"/>
      <c r="H47" s="753"/>
      <c r="I47" s="754">
        <f t="shared" si="7"/>
        <v>0</v>
      </c>
      <c r="J47" s="755"/>
      <c r="K47" s="748">
        <f t="shared" si="5"/>
        <v>0</v>
      </c>
      <c r="L47" s="753"/>
      <c r="M47" s="753"/>
      <c r="N47" s="753"/>
      <c r="O47" s="753"/>
      <c r="P47" s="756">
        <f t="shared" si="3"/>
        <v>0</v>
      </c>
      <c r="Q47" s="755"/>
      <c r="R47" s="750">
        <f t="shared" si="6"/>
        <v>0</v>
      </c>
    </row>
    <row r="48" spans="2:18" s="757" customFormat="1" outlineLevel="2" x14ac:dyDescent="0.2">
      <c r="B48" s="745" t="s">
        <v>3667</v>
      </c>
      <c r="C48" s="751" t="s">
        <v>558</v>
      </c>
      <c r="D48" s="752" t="s">
        <v>239</v>
      </c>
      <c r="E48" s="753"/>
      <c r="F48" s="753"/>
      <c r="G48" s="753"/>
      <c r="H48" s="753"/>
      <c r="I48" s="754">
        <f t="shared" si="7"/>
        <v>0</v>
      </c>
      <c r="J48" s="755"/>
      <c r="K48" s="748">
        <f t="shared" si="5"/>
        <v>0</v>
      </c>
      <c r="L48" s="753"/>
      <c r="M48" s="753"/>
      <c r="N48" s="753"/>
      <c r="O48" s="753"/>
      <c r="P48" s="756">
        <f t="shared" si="3"/>
        <v>0</v>
      </c>
      <c r="Q48" s="755"/>
      <c r="R48" s="750">
        <f t="shared" si="6"/>
        <v>0</v>
      </c>
    </row>
    <row r="49" spans="2:18" s="757" customFormat="1" outlineLevel="2" x14ac:dyDescent="0.2">
      <c r="B49" s="745" t="s">
        <v>3668</v>
      </c>
      <c r="C49" s="751" t="s">
        <v>559</v>
      </c>
      <c r="D49" s="752" t="s">
        <v>239</v>
      </c>
      <c r="E49" s="753"/>
      <c r="F49" s="753"/>
      <c r="G49" s="753"/>
      <c r="H49" s="753"/>
      <c r="I49" s="754">
        <f t="shared" si="7"/>
        <v>0</v>
      </c>
      <c r="J49" s="755"/>
      <c r="K49" s="748">
        <f t="shared" si="5"/>
        <v>0</v>
      </c>
      <c r="L49" s="753"/>
      <c r="M49" s="753"/>
      <c r="N49" s="753"/>
      <c r="O49" s="753"/>
      <c r="P49" s="756">
        <f t="shared" si="3"/>
        <v>0</v>
      </c>
      <c r="Q49" s="755"/>
      <c r="R49" s="750">
        <f t="shared" si="6"/>
        <v>0</v>
      </c>
    </row>
    <row r="50" spans="2:18" s="757" customFormat="1" outlineLevel="2" x14ac:dyDescent="0.2">
      <c r="B50" s="745" t="s">
        <v>3669</v>
      </c>
      <c r="C50" s="751" t="s">
        <v>560</v>
      </c>
      <c r="D50" s="752" t="s">
        <v>239</v>
      </c>
      <c r="E50" s="753"/>
      <c r="F50" s="753"/>
      <c r="G50" s="753"/>
      <c r="H50" s="753"/>
      <c r="I50" s="754">
        <f t="shared" si="7"/>
        <v>0</v>
      </c>
      <c r="J50" s="755"/>
      <c r="K50" s="748">
        <f t="shared" si="5"/>
        <v>0</v>
      </c>
      <c r="L50" s="753"/>
      <c r="M50" s="753"/>
      <c r="N50" s="753"/>
      <c r="O50" s="753"/>
      <c r="P50" s="756">
        <f t="shared" si="3"/>
        <v>0</v>
      </c>
      <c r="Q50" s="755"/>
      <c r="R50" s="750">
        <f t="shared" si="6"/>
        <v>0</v>
      </c>
    </row>
    <row r="51" spans="2:18" s="757" customFormat="1" outlineLevel="2" x14ac:dyDescent="0.2">
      <c r="B51" s="745" t="s">
        <v>3670</v>
      </c>
      <c r="C51" s="751" t="s">
        <v>561</v>
      </c>
      <c r="D51" s="752" t="s">
        <v>239</v>
      </c>
      <c r="E51" s="753"/>
      <c r="F51" s="753"/>
      <c r="G51" s="753"/>
      <c r="H51" s="753"/>
      <c r="I51" s="754">
        <f t="shared" si="7"/>
        <v>0</v>
      </c>
      <c r="J51" s="755"/>
      <c r="K51" s="748">
        <f t="shared" si="5"/>
        <v>0</v>
      </c>
      <c r="L51" s="753"/>
      <c r="M51" s="753"/>
      <c r="N51" s="753"/>
      <c r="O51" s="753"/>
      <c r="P51" s="756">
        <f t="shared" si="3"/>
        <v>0</v>
      </c>
      <c r="Q51" s="755"/>
      <c r="R51" s="750">
        <f t="shared" si="6"/>
        <v>0</v>
      </c>
    </row>
    <row r="52" spans="2:18" s="734" customFormat="1" outlineLevel="1" x14ac:dyDescent="0.2">
      <c r="B52" s="745" t="s">
        <v>3671</v>
      </c>
      <c r="C52" s="746">
        <v>1.3</v>
      </c>
      <c r="D52" s="131" t="s">
        <v>4803</v>
      </c>
      <c r="E52" s="747">
        <f>SUM(E53:E72)</f>
        <v>0</v>
      </c>
      <c r="F52" s="747">
        <f>SUM(F53:F72)</f>
        <v>0</v>
      </c>
      <c r="G52" s="747">
        <f>SUM(G53:G72)</f>
        <v>0</v>
      </c>
      <c r="H52" s="747">
        <f>SUM(H53:H72)</f>
        <v>0</v>
      </c>
      <c r="I52" s="748">
        <f t="shared" si="7"/>
        <v>0</v>
      </c>
      <c r="J52" s="747">
        <f>SUM(J53:J72)</f>
        <v>0</v>
      </c>
      <c r="K52" s="748">
        <f t="shared" si="5"/>
        <v>0</v>
      </c>
      <c r="L52" s="747">
        <f>SUM(L53:L72)</f>
        <v>0</v>
      </c>
      <c r="M52" s="747">
        <f>SUM(M53:M72)</f>
        <v>0</v>
      </c>
      <c r="N52" s="747">
        <f>SUM(N53:N72)</f>
        <v>0</v>
      </c>
      <c r="O52" s="747">
        <f>SUM(O53:O72)</f>
        <v>0</v>
      </c>
      <c r="P52" s="749">
        <f>SUM(L52:O52)</f>
        <v>0</v>
      </c>
      <c r="Q52" s="747">
        <f>SUM(Q53:Q72)</f>
        <v>0</v>
      </c>
      <c r="R52" s="750">
        <f t="shared" si="6"/>
        <v>0</v>
      </c>
    </row>
    <row r="53" spans="2:18" s="757" customFormat="1" outlineLevel="2" x14ac:dyDescent="0.2">
      <c r="B53" s="745" t="s">
        <v>3672</v>
      </c>
      <c r="C53" s="751" t="s">
        <v>2480</v>
      </c>
      <c r="D53" s="752" t="s">
        <v>241</v>
      </c>
      <c r="E53" s="753"/>
      <c r="F53" s="753"/>
      <c r="G53" s="753"/>
      <c r="H53" s="753"/>
      <c r="I53" s="754">
        <f t="shared" si="7"/>
        <v>0</v>
      </c>
      <c r="J53" s="755"/>
      <c r="K53" s="748">
        <f t="shared" si="5"/>
        <v>0</v>
      </c>
      <c r="L53" s="753"/>
      <c r="M53" s="753"/>
      <c r="N53" s="753"/>
      <c r="O53" s="753"/>
      <c r="P53" s="756">
        <f t="shared" ref="P53:P72" si="8">SUM(L53:O53)</f>
        <v>0</v>
      </c>
      <c r="Q53" s="755"/>
      <c r="R53" s="750">
        <f t="shared" si="6"/>
        <v>0</v>
      </c>
    </row>
    <row r="54" spans="2:18" s="757" customFormat="1" outlineLevel="2" x14ac:dyDescent="0.2">
      <c r="B54" s="745" t="s">
        <v>3673</v>
      </c>
      <c r="C54" s="751" t="s">
        <v>2481</v>
      </c>
      <c r="D54" s="752" t="s">
        <v>241</v>
      </c>
      <c r="E54" s="753"/>
      <c r="F54" s="753"/>
      <c r="G54" s="753"/>
      <c r="H54" s="753"/>
      <c r="I54" s="754">
        <f t="shared" si="7"/>
        <v>0</v>
      </c>
      <c r="J54" s="755"/>
      <c r="K54" s="748">
        <f t="shared" si="5"/>
        <v>0</v>
      </c>
      <c r="L54" s="753"/>
      <c r="M54" s="753"/>
      <c r="N54" s="753"/>
      <c r="O54" s="753"/>
      <c r="P54" s="756">
        <f t="shared" si="8"/>
        <v>0</v>
      </c>
      <c r="Q54" s="755"/>
      <c r="R54" s="750">
        <f t="shared" si="6"/>
        <v>0</v>
      </c>
    </row>
    <row r="55" spans="2:18" s="757" customFormat="1" outlineLevel="2" x14ac:dyDescent="0.2">
      <c r="B55" s="745" t="s">
        <v>3674</v>
      </c>
      <c r="C55" s="751" t="s">
        <v>2482</v>
      </c>
      <c r="D55" s="752" t="s">
        <v>241</v>
      </c>
      <c r="E55" s="753"/>
      <c r="F55" s="753"/>
      <c r="G55" s="753"/>
      <c r="H55" s="753"/>
      <c r="I55" s="754">
        <f t="shared" si="7"/>
        <v>0</v>
      </c>
      <c r="J55" s="755"/>
      <c r="K55" s="748">
        <f t="shared" si="5"/>
        <v>0</v>
      </c>
      <c r="L55" s="753"/>
      <c r="M55" s="753"/>
      <c r="N55" s="753"/>
      <c r="O55" s="753"/>
      <c r="P55" s="756">
        <f t="shared" si="8"/>
        <v>0</v>
      </c>
      <c r="Q55" s="755"/>
      <c r="R55" s="750">
        <f t="shared" si="6"/>
        <v>0</v>
      </c>
    </row>
    <row r="56" spans="2:18" s="757" customFormat="1" outlineLevel="2" x14ac:dyDescent="0.2">
      <c r="B56" s="745" t="s">
        <v>3675</v>
      </c>
      <c r="C56" s="751" t="s">
        <v>2483</v>
      </c>
      <c r="D56" s="752" t="s">
        <v>241</v>
      </c>
      <c r="E56" s="753"/>
      <c r="F56" s="753"/>
      <c r="G56" s="753"/>
      <c r="H56" s="753"/>
      <c r="I56" s="754">
        <f t="shared" si="7"/>
        <v>0</v>
      </c>
      <c r="J56" s="755"/>
      <c r="K56" s="748">
        <f t="shared" si="5"/>
        <v>0</v>
      </c>
      <c r="L56" s="753"/>
      <c r="M56" s="753"/>
      <c r="N56" s="753"/>
      <c r="O56" s="753"/>
      <c r="P56" s="756">
        <f t="shared" si="8"/>
        <v>0</v>
      </c>
      <c r="Q56" s="755"/>
      <c r="R56" s="750">
        <f t="shared" si="6"/>
        <v>0</v>
      </c>
    </row>
    <row r="57" spans="2:18" s="757" customFormat="1" outlineLevel="2" x14ac:dyDescent="0.2">
      <c r="B57" s="745" t="s">
        <v>3676</v>
      </c>
      <c r="C57" s="751" t="s">
        <v>2484</v>
      </c>
      <c r="D57" s="752" t="s">
        <v>241</v>
      </c>
      <c r="E57" s="753"/>
      <c r="F57" s="753"/>
      <c r="G57" s="753"/>
      <c r="H57" s="753"/>
      <c r="I57" s="754">
        <f t="shared" si="7"/>
        <v>0</v>
      </c>
      <c r="J57" s="755"/>
      <c r="K57" s="748">
        <f t="shared" si="5"/>
        <v>0</v>
      </c>
      <c r="L57" s="753"/>
      <c r="M57" s="753"/>
      <c r="N57" s="753"/>
      <c r="O57" s="753"/>
      <c r="P57" s="756">
        <f t="shared" si="8"/>
        <v>0</v>
      </c>
      <c r="Q57" s="755"/>
      <c r="R57" s="750">
        <f t="shared" si="6"/>
        <v>0</v>
      </c>
    </row>
    <row r="58" spans="2:18" s="757" customFormat="1" outlineLevel="2" x14ac:dyDescent="0.2">
      <c r="B58" s="745" t="s">
        <v>3677</v>
      </c>
      <c r="C58" s="751" t="s">
        <v>2485</v>
      </c>
      <c r="D58" s="752" t="s">
        <v>241</v>
      </c>
      <c r="E58" s="753"/>
      <c r="F58" s="753"/>
      <c r="G58" s="753"/>
      <c r="H58" s="753"/>
      <c r="I58" s="754">
        <f t="shared" si="7"/>
        <v>0</v>
      </c>
      <c r="J58" s="755"/>
      <c r="K58" s="748">
        <f t="shared" si="5"/>
        <v>0</v>
      </c>
      <c r="L58" s="753"/>
      <c r="M58" s="753"/>
      <c r="N58" s="753"/>
      <c r="O58" s="753"/>
      <c r="P58" s="756">
        <f t="shared" si="8"/>
        <v>0</v>
      </c>
      <c r="Q58" s="755"/>
      <c r="R58" s="750">
        <f t="shared" si="6"/>
        <v>0</v>
      </c>
    </row>
    <row r="59" spans="2:18" s="757" customFormat="1" outlineLevel="2" x14ac:dyDescent="0.2">
      <c r="B59" s="745" t="s">
        <v>3678</v>
      </c>
      <c r="C59" s="751" t="s">
        <v>2486</v>
      </c>
      <c r="D59" s="752" t="s">
        <v>241</v>
      </c>
      <c r="E59" s="753"/>
      <c r="F59" s="753"/>
      <c r="G59" s="753"/>
      <c r="H59" s="753"/>
      <c r="I59" s="754">
        <f t="shared" si="7"/>
        <v>0</v>
      </c>
      <c r="J59" s="755"/>
      <c r="K59" s="748">
        <f t="shared" si="5"/>
        <v>0</v>
      </c>
      <c r="L59" s="753"/>
      <c r="M59" s="753"/>
      <c r="N59" s="753"/>
      <c r="O59" s="753"/>
      <c r="P59" s="756">
        <f t="shared" si="8"/>
        <v>0</v>
      </c>
      <c r="Q59" s="755"/>
      <c r="R59" s="750">
        <f t="shared" si="6"/>
        <v>0</v>
      </c>
    </row>
    <row r="60" spans="2:18" s="757" customFormat="1" outlineLevel="2" x14ac:dyDescent="0.2">
      <c r="B60" s="745" t="s">
        <v>3679</v>
      </c>
      <c r="C60" s="751" t="s">
        <v>2487</v>
      </c>
      <c r="D60" s="752" t="s">
        <v>241</v>
      </c>
      <c r="E60" s="753"/>
      <c r="F60" s="753"/>
      <c r="G60" s="753"/>
      <c r="H60" s="753"/>
      <c r="I60" s="754">
        <f t="shared" si="7"/>
        <v>0</v>
      </c>
      <c r="J60" s="755"/>
      <c r="K60" s="748">
        <f t="shared" si="5"/>
        <v>0</v>
      </c>
      <c r="L60" s="753"/>
      <c r="M60" s="753"/>
      <c r="N60" s="753"/>
      <c r="O60" s="753"/>
      <c r="P60" s="756">
        <f t="shared" si="8"/>
        <v>0</v>
      </c>
      <c r="Q60" s="755"/>
      <c r="R60" s="750">
        <f t="shared" si="6"/>
        <v>0</v>
      </c>
    </row>
    <row r="61" spans="2:18" s="757" customFormat="1" outlineLevel="2" x14ac:dyDescent="0.2">
      <c r="B61" s="745" t="s">
        <v>3680</v>
      </c>
      <c r="C61" s="751" t="s">
        <v>2488</v>
      </c>
      <c r="D61" s="752" t="s">
        <v>241</v>
      </c>
      <c r="E61" s="753"/>
      <c r="F61" s="753"/>
      <c r="G61" s="753"/>
      <c r="H61" s="753"/>
      <c r="I61" s="754">
        <f t="shared" si="7"/>
        <v>0</v>
      </c>
      <c r="J61" s="755"/>
      <c r="K61" s="748">
        <f t="shared" si="5"/>
        <v>0</v>
      </c>
      <c r="L61" s="753"/>
      <c r="M61" s="753"/>
      <c r="N61" s="753"/>
      <c r="O61" s="753"/>
      <c r="P61" s="756">
        <f t="shared" si="8"/>
        <v>0</v>
      </c>
      <c r="Q61" s="755"/>
      <c r="R61" s="750">
        <f t="shared" si="6"/>
        <v>0</v>
      </c>
    </row>
    <row r="62" spans="2:18" s="757" customFormat="1" outlineLevel="2" x14ac:dyDescent="0.2">
      <c r="B62" s="745" t="s">
        <v>3681</v>
      </c>
      <c r="C62" s="751" t="s">
        <v>2489</v>
      </c>
      <c r="D62" s="752" t="s">
        <v>241</v>
      </c>
      <c r="E62" s="753"/>
      <c r="F62" s="753"/>
      <c r="G62" s="753"/>
      <c r="H62" s="753"/>
      <c r="I62" s="754">
        <f t="shared" si="7"/>
        <v>0</v>
      </c>
      <c r="J62" s="755"/>
      <c r="K62" s="748">
        <f t="shared" si="5"/>
        <v>0</v>
      </c>
      <c r="L62" s="753"/>
      <c r="M62" s="753"/>
      <c r="N62" s="753"/>
      <c r="O62" s="753"/>
      <c r="P62" s="756">
        <f t="shared" si="8"/>
        <v>0</v>
      </c>
      <c r="Q62" s="755"/>
      <c r="R62" s="750">
        <f t="shared" si="6"/>
        <v>0</v>
      </c>
    </row>
    <row r="63" spans="2:18" s="757" customFormat="1" outlineLevel="2" x14ac:dyDescent="0.2">
      <c r="B63" s="745" t="s">
        <v>3682</v>
      </c>
      <c r="C63" s="751" t="s">
        <v>2490</v>
      </c>
      <c r="D63" s="752" t="s">
        <v>241</v>
      </c>
      <c r="E63" s="753"/>
      <c r="F63" s="753"/>
      <c r="G63" s="753"/>
      <c r="H63" s="753"/>
      <c r="I63" s="754">
        <f t="shared" si="7"/>
        <v>0</v>
      </c>
      <c r="J63" s="755"/>
      <c r="K63" s="748">
        <f t="shared" si="5"/>
        <v>0</v>
      </c>
      <c r="L63" s="753"/>
      <c r="M63" s="753"/>
      <c r="N63" s="753"/>
      <c r="O63" s="753"/>
      <c r="P63" s="756">
        <f t="shared" si="8"/>
        <v>0</v>
      </c>
      <c r="Q63" s="755"/>
      <c r="R63" s="750">
        <f t="shared" si="6"/>
        <v>0</v>
      </c>
    </row>
    <row r="64" spans="2:18" s="757" customFormat="1" outlineLevel="2" x14ac:dyDescent="0.2">
      <c r="B64" s="745" t="s">
        <v>3683</v>
      </c>
      <c r="C64" s="751" t="s">
        <v>2491</v>
      </c>
      <c r="D64" s="752" t="s">
        <v>241</v>
      </c>
      <c r="E64" s="753"/>
      <c r="F64" s="753"/>
      <c r="G64" s="753"/>
      <c r="H64" s="753"/>
      <c r="I64" s="754">
        <f t="shared" si="7"/>
        <v>0</v>
      </c>
      <c r="J64" s="755"/>
      <c r="K64" s="748">
        <f t="shared" si="5"/>
        <v>0</v>
      </c>
      <c r="L64" s="753"/>
      <c r="M64" s="753"/>
      <c r="N64" s="753"/>
      <c r="O64" s="753"/>
      <c r="P64" s="756">
        <f t="shared" si="8"/>
        <v>0</v>
      </c>
      <c r="Q64" s="755"/>
      <c r="R64" s="750">
        <f t="shared" si="6"/>
        <v>0</v>
      </c>
    </row>
    <row r="65" spans="2:18" s="757" customFormat="1" outlineLevel="2" x14ac:dyDescent="0.2">
      <c r="B65" s="745" t="s">
        <v>3684</v>
      </c>
      <c r="C65" s="751" t="s">
        <v>2492</v>
      </c>
      <c r="D65" s="752" t="s">
        <v>241</v>
      </c>
      <c r="E65" s="753"/>
      <c r="F65" s="753"/>
      <c r="G65" s="753"/>
      <c r="H65" s="753"/>
      <c r="I65" s="754">
        <f t="shared" si="7"/>
        <v>0</v>
      </c>
      <c r="J65" s="755"/>
      <c r="K65" s="748">
        <f t="shared" si="5"/>
        <v>0</v>
      </c>
      <c r="L65" s="753"/>
      <c r="M65" s="753"/>
      <c r="N65" s="753"/>
      <c r="O65" s="753"/>
      <c r="P65" s="756">
        <f t="shared" si="8"/>
        <v>0</v>
      </c>
      <c r="Q65" s="755"/>
      <c r="R65" s="750">
        <f t="shared" si="6"/>
        <v>0</v>
      </c>
    </row>
    <row r="66" spans="2:18" s="757" customFormat="1" outlineLevel="2" x14ac:dyDescent="0.2">
      <c r="B66" s="745" t="s">
        <v>3685</v>
      </c>
      <c r="C66" s="751" t="s">
        <v>2493</v>
      </c>
      <c r="D66" s="752" t="s">
        <v>241</v>
      </c>
      <c r="E66" s="753"/>
      <c r="F66" s="753"/>
      <c r="G66" s="753"/>
      <c r="H66" s="753"/>
      <c r="I66" s="754">
        <f t="shared" si="7"/>
        <v>0</v>
      </c>
      <c r="J66" s="755"/>
      <c r="K66" s="748">
        <f t="shared" si="5"/>
        <v>0</v>
      </c>
      <c r="L66" s="753"/>
      <c r="M66" s="753"/>
      <c r="N66" s="753"/>
      <c r="O66" s="753"/>
      <c r="P66" s="756">
        <f t="shared" si="8"/>
        <v>0</v>
      </c>
      <c r="Q66" s="755"/>
      <c r="R66" s="750">
        <f t="shared" si="6"/>
        <v>0</v>
      </c>
    </row>
    <row r="67" spans="2:18" s="757" customFormat="1" outlineLevel="2" x14ac:dyDescent="0.2">
      <c r="B67" s="745" t="s">
        <v>3686</v>
      </c>
      <c r="C67" s="751" t="s">
        <v>2494</v>
      </c>
      <c r="D67" s="752" t="s">
        <v>241</v>
      </c>
      <c r="E67" s="753"/>
      <c r="F67" s="753"/>
      <c r="G67" s="753"/>
      <c r="H67" s="753"/>
      <c r="I67" s="754">
        <f t="shared" si="7"/>
        <v>0</v>
      </c>
      <c r="J67" s="755"/>
      <c r="K67" s="748">
        <f t="shared" si="5"/>
        <v>0</v>
      </c>
      <c r="L67" s="753"/>
      <c r="M67" s="753"/>
      <c r="N67" s="753"/>
      <c r="O67" s="753"/>
      <c r="P67" s="756">
        <f t="shared" si="8"/>
        <v>0</v>
      </c>
      <c r="Q67" s="755"/>
      <c r="R67" s="750">
        <f t="shared" si="6"/>
        <v>0</v>
      </c>
    </row>
    <row r="68" spans="2:18" s="757" customFormat="1" outlineLevel="2" x14ac:dyDescent="0.2">
      <c r="B68" s="745" t="s">
        <v>3687</v>
      </c>
      <c r="C68" s="751" t="s">
        <v>2495</v>
      </c>
      <c r="D68" s="752" t="s">
        <v>241</v>
      </c>
      <c r="E68" s="753"/>
      <c r="F68" s="753"/>
      <c r="G68" s="753"/>
      <c r="H68" s="753"/>
      <c r="I68" s="754">
        <f t="shared" si="7"/>
        <v>0</v>
      </c>
      <c r="J68" s="755"/>
      <c r="K68" s="748">
        <f t="shared" si="5"/>
        <v>0</v>
      </c>
      <c r="L68" s="753"/>
      <c r="M68" s="753"/>
      <c r="N68" s="753"/>
      <c r="O68" s="753"/>
      <c r="P68" s="756">
        <f t="shared" si="8"/>
        <v>0</v>
      </c>
      <c r="Q68" s="755"/>
      <c r="R68" s="750">
        <f t="shared" si="6"/>
        <v>0</v>
      </c>
    </row>
    <row r="69" spans="2:18" s="757" customFormat="1" outlineLevel="2" x14ac:dyDescent="0.2">
      <c r="B69" s="745" t="s">
        <v>3688</v>
      </c>
      <c r="C69" s="751" t="s">
        <v>2496</v>
      </c>
      <c r="D69" s="752" t="s">
        <v>241</v>
      </c>
      <c r="E69" s="753"/>
      <c r="F69" s="753"/>
      <c r="G69" s="753"/>
      <c r="H69" s="753"/>
      <c r="I69" s="754">
        <f t="shared" si="7"/>
        <v>0</v>
      </c>
      <c r="J69" s="755"/>
      <c r="K69" s="748">
        <f t="shared" si="5"/>
        <v>0</v>
      </c>
      <c r="L69" s="753"/>
      <c r="M69" s="753"/>
      <c r="N69" s="753"/>
      <c r="O69" s="753"/>
      <c r="P69" s="756">
        <f t="shared" si="8"/>
        <v>0</v>
      </c>
      <c r="Q69" s="755"/>
      <c r="R69" s="750">
        <f t="shared" si="6"/>
        <v>0</v>
      </c>
    </row>
    <row r="70" spans="2:18" s="757" customFormat="1" outlineLevel="2" x14ac:dyDescent="0.2">
      <c r="B70" s="745" t="s">
        <v>3689</v>
      </c>
      <c r="C70" s="751" t="s">
        <v>2497</v>
      </c>
      <c r="D70" s="752" t="s">
        <v>241</v>
      </c>
      <c r="E70" s="753"/>
      <c r="F70" s="753"/>
      <c r="G70" s="753"/>
      <c r="H70" s="753"/>
      <c r="I70" s="754">
        <f t="shared" si="7"/>
        <v>0</v>
      </c>
      <c r="J70" s="755"/>
      <c r="K70" s="748">
        <f t="shared" si="5"/>
        <v>0</v>
      </c>
      <c r="L70" s="753"/>
      <c r="M70" s="753"/>
      <c r="N70" s="753"/>
      <c r="O70" s="753"/>
      <c r="P70" s="756">
        <f t="shared" si="8"/>
        <v>0</v>
      </c>
      <c r="Q70" s="755"/>
      <c r="R70" s="750">
        <f t="shared" si="6"/>
        <v>0</v>
      </c>
    </row>
    <row r="71" spans="2:18" s="757" customFormat="1" outlineLevel="2" x14ac:dyDescent="0.2">
      <c r="B71" s="745" t="s">
        <v>3690</v>
      </c>
      <c r="C71" s="751" t="s">
        <v>2498</v>
      </c>
      <c r="D71" s="752" t="s">
        <v>241</v>
      </c>
      <c r="E71" s="753"/>
      <c r="F71" s="753"/>
      <c r="G71" s="753"/>
      <c r="H71" s="753"/>
      <c r="I71" s="754">
        <f t="shared" si="7"/>
        <v>0</v>
      </c>
      <c r="J71" s="755"/>
      <c r="K71" s="748">
        <f t="shared" si="5"/>
        <v>0</v>
      </c>
      <c r="L71" s="753"/>
      <c r="M71" s="753"/>
      <c r="N71" s="753"/>
      <c r="O71" s="753"/>
      <c r="P71" s="756">
        <f t="shared" si="8"/>
        <v>0</v>
      </c>
      <c r="Q71" s="755"/>
      <c r="R71" s="750">
        <f t="shared" si="6"/>
        <v>0</v>
      </c>
    </row>
    <row r="72" spans="2:18" s="757" customFormat="1" outlineLevel="2" x14ac:dyDescent="0.2">
      <c r="B72" s="745" t="s">
        <v>3691</v>
      </c>
      <c r="C72" s="751" t="s">
        <v>2499</v>
      </c>
      <c r="D72" s="752" t="s">
        <v>241</v>
      </c>
      <c r="E72" s="753"/>
      <c r="F72" s="753"/>
      <c r="G72" s="753"/>
      <c r="H72" s="753"/>
      <c r="I72" s="754">
        <f t="shared" si="7"/>
        <v>0</v>
      </c>
      <c r="J72" s="755"/>
      <c r="K72" s="748">
        <f t="shared" si="5"/>
        <v>0</v>
      </c>
      <c r="L72" s="753"/>
      <c r="M72" s="753"/>
      <c r="N72" s="753"/>
      <c r="O72" s="753"/>
      <c r="P72" s="756">
        <f t="shared" si="8"/>
        <v>0</v>
      </c>
      <c r="Q72" s="755"/>
      <c r="R72" s="750">
        <f t="shared" si="6"/>
        <v>0</v>
      </c>
    </row>
    <row r="73" spans="2:18" s="734" customFormat="1" outlineLevel="1" x14ac:dyDescent="0.2">
      <c r="B73" s="745" t="s">
        <v>3692</v>
      </c>
      <c r="C73" s="746">
        <v>1.4</v>
      </c>
      <c r="D73" s="131" t="s">
        <v>4804</v>
      </c>
      <c r="E73" s="747">
        <f>SUM(E74:E93)</f>
        <v>0</v>
      </c>
      <c r="F73" s="747">
        <f>SUM(F74:F93)</f>
        <v>0</v>
      </c>
      <c r="G73" s="747">
        <f>SUM(G74:G93)</f>
        <v>0</v>
      </c>
      <c r="H73" s="747">
        <f>SUM(H74:H93)</f>
        <v>0</v>
      </c>
      <c r="I73" s="748">
        <f t="shared" si="7"/>
        <v>0</v>
      </c>
      <c r="J73" s="747">
        <f>SUM(J74:J93)</f>
        <v>0</v>
      </c>
      <c r="K73" s="748">
        <f t="shared" si="5"/>
        <v>0</v>
      </c>
      <c r="L73" s="747">
        <f>SUM(L74:L93)</f>
        <v>0</v>
      </c>
      <c r="M73" s="747">
        <f>SUM(M74:M93)</f>
        <v>0</v>
      </c>
      <c r="N73" s="747">
        <f>SUM(N74:N93)</f>
        <v>0</v>
      </c>
      <c r="O73" s="747">
        <f>SUM(O74:O93)</f>
        <v>0</v>
      </c>
      <c r="P73" s="749">
        <f>SUM(L73:O73)</f>
        <v>0</v>
      </c>
      <c r="Q73" s="747">
        <f>SUM(Q74:Q93)</f>
        <v>0</v>
      </c>
      <c r="R73" s="750">
        <f t="shared" si="6"/>
        <v>0</v>
      </c>
    </row>
    <row r="74" spans="2:18" s="757" customFormat="1" outlineLevel="2" x14ac:dyDescent="0.2">
      <c r="B74" s="745" t="s">
        <v>3693</v>
      </c>
      <c r="C74" s="751" t="s">
        <v>2500</v>
      </c>
      <c r="D74" s="752" t="s">
        <v>241</v>
      </c>
      <c r="E74" s="753"/>
      <c r="F74" s="753"/>
      <c r="G74" s="753"/>
      <c r="H74" s="753"/>
      <c r="I74" s="754">
        <f t="shared" si="7"/>
        <v>0</v>
      </c>
      <c r="J74" s="755"/>
      <c r="K74" s="748">
        <f t="shared" si="5"/>
        <v>0</v>
      </c>
      <c r="L74" s="753"/>
      <c r="M74" s="753"/>
      <c r="N74" s="753"/>
      <c r="O74" s="753"/>
      <c r="P74" s="756">
        <f t="shared" ref="P74:P93" si="9">SUM(L74:O74)</f>
        <v>0</v>
      </c>
      <c r="Q74" s="755"/>
      <c r="R74" s="750">
        <f t="shared" si="6"/>
        <v>0</v>
      </c>
    </row>
    <row r="75" spans="2:18" s="757" customFormat="1" outlineLevel="2" x14ac:dyDescent="0.2">
      <c r="B75" s="745" t="s">
        <v>3694</v>
      </c>
      <c r="C75" s="751" t="s">
        <v>2501</v>
      </c>
      <c r="D75" s="752" t="s">
        <v>241</v>
      </c>
      <c r="E75" s="753"/>
      <c r="F75" s="753"/>
      <c r="G75" s="753"/>
      <c r="H75" s="753"/>
      <c r="I75" s="754">
        <f t="shared" si="7"/>
        <v>0</v>
      </c>
      <c r="J75" s="755"/>
      <c r="K75" s="748">
        <f t="shared" ref="K75:K138" si="10">I75-J75</f>
        <v>0</v>
      </c>
      <c r="L75" s="753"/>
      <c r="M75" s="753"/>
      <c r="N75" s="753"/>
      <c r="O75" s="753"/>
      <c r="P75" s="756">
        <f t="shared" si="9"/>
        <v>0</v>
      </c>
      <c r="Q75" s="755"/>
      <c r="R75" s="750">
        <f t="shared" ref="R75:R135" si="11">P75-Q75</f>
        <v>0</v>
      </c>
    </row>
    <row r="76" spans="2:18" s="757" customFormat="1" outlineLevel="2" x14ac:dyDescent="0.2">
      <c r="B76" s="745" t="s">
        <v>3695</v>
      </c>
      <c r="C76" s="751" t="s">
        <v>2502</v>
      </c>
      <c r="D76" s="752" t="s">
        <v>241</v>
      </c>
      <c r="E76" s="753"/>
      <c r="F76" s="753"/>
      <c r="G76" s="753"/>
      <c r="H76" s="753"/>
      <c r="I76" s="754">
        <f t="shared" si="7"/>
        <v>0</v>
      </c>
      <c r="J76" s="755"/>
      <c r="K76" s="748">
        <f t="shared" si="10"/>
        <v>0</v>
      </c>
      <c r="L76" s="753"/>
      <c r="M76" s="753"/>
      <c r="N76" s="753"/>
      <c r="O76" s="753"/>
      <c r="P76" s="756">
        <f t="shared" si="9"/>
        <v>0</v>
      </c>
      <c r="Q76" s="755"/>
      <c r="R76" s="750">
        <f t="shared" si="11"/>
        <v>0</v>
      </c>
    </row>
    <row r="77" spans="2:18" s="757" customFormat="1" outlineLevel="2" x14ac:dyDescent="0.2">
      <c r="B77" s="745" t="s">
        <v>3696</v>
      </c>
      <c r="C77" s="751" t="s">
        <v>2503</v>
      </c>
      <c r="D77" s="752" t="s">
        <v>241</v>
      </c>
      <c r="E77" s="753"/>
      <c r="F77" s="753"/>
      <c r="G77" s="753"/>
      <c r="H77" s="753"/>
      <c r="I77" s="754">
        <f t="shared" si="7"/>
        <v>0</v>
      </c>
      <c r="J77" s="755"/>
      <c r="K77" s="748">
        <f t="shared" si="10"/>
        <v>0</v>
      </c>
      <c r="L77" s="753"/>
      <c r="M77" s="753"/>
      <c r="N77" s="753"/>
      <c r="O77" s="753"/>
      <c r="P77" s="756">
        <f t="shared" si="9"/>
        <v>0</v>
      </c>
      <c r="Q77" s="755"/>
      <c r="R77" s="750">
        <f t="shared" si="11"/>
        <v>0</v>
      </c>
    </row>
    <row r="78" spans="2:18" s="757" customFormat="1" outlineLevel="2" x14ac:dyDescent="0.2">
      <c r="B78" s="745" t="s">
        <v>3697</v>
      </c>
      <c r="C78" s="751" t="s">
        <v>2504</v>
      </c>
      <c r="D78" s="752" t="s">
        <v>241</v>
      </c>
      <c r="E78" s="753"/>
      <c r="F78" s="753"/>
      <c r="G78" s="753"/>
      <c r="H78" s="753"/>
      <c r="I78" s="754">
        <f t="shared" si="7"/>
        <v>0</v>
      </c>
      <c r="J78" s="755"/>
      <c r="K78" s="748">
        <f t="shared" si="10"/>
        <v>0</v>
      </c>
      <c r="L78" s="753"/>
      <c r="M78" s="753"/>
      <c r="N78" s="753"/>
      <c r="O78" s="753"/>
      <c r="P78" s="756">
        <f t="shared" si="9"/>
        <v>0</v>
      </c>
      <c r="Q78" s="755"/>
      <c r="R78" s="750">
        <f t="shared" si="11"/>
        <v>0</v>
      </c>
    </row>
    <row r="79" spans="2:18" s="757" customFormat="1" outlineLevel="2" x14ac:dyDescent="0.2">
      <c r="B79" s="745" t="s">
        <v>3698</v>
      </c>
      <c r="C79" s="751" t="s">
        <v>2505</v>
      </c>
      <c r="D79" s="752" t="s">
        <v>241</v>
      </c>
      <c r="E79" s="753"/>
      <c r="F79" s="753"/>
      <c r="G79" s="753"/>
      <c r="H79" s="753"/>
      <c r="I79" s="754">
        <f t="shared" si="7"/>
        <v>0</v>
      </c>
      <c r="J79" s="755"/>
      <c r="K79" s="748">
        <f t="shared" si="10"/>
        <v>0</v>
      </c>
      <c r="L79" s="753"/>
      <c r="M79" s="753"/>
      <c r="N79" s="753"/>
      <c r="O79" s="753"/>
      <c r="P79" s="756">
        <f t="shared" si="9"/>
        <v>0</v>
      </c>
      <c r="Q79" s="755"/>
      <c r="R79" s="750">
        <f t="shared" si="11"/>
        <v>0</v>
      </c>
    </row>
    <row r="80" spans="2:18" s="757" customFormat="1" outlineLevel="2" x14ac:dyDescent="0.2">
      <c r="B80" s="745" t="s">
        <v>3699</v>
      </c>
      <c r="C80" s="751" t="s">
        <v>2506</v>
      </c>
      <c r="D80" s="752" t="s">
        <v>241</v>
      </c>
      <c r="E80" s="753"/>
      <c r="F80" s="753"/>
      <c r="G80" s="753"/>
      <c r="H80" s="753"/>
      <c r="I80" s="754">
        <f t="shared" si="7"/>
        <v>0</v>
      </c>
      <c r="J80" s="755"/>
      <c r="K80" s="748">
        <f t="shared" si="10"/>
        <v>0</v>
      </c>
      <c r="L80" s="753"/>
      <c r="M80" s="753"/>
      <c r="N80" s="753"/>
      <c r="O80" s="753"/>
      <c r="P80" s="756">
        <f t="shared" si="9"/>
        <v>0</v>
      </c>
      <c r="Q80" s="755"/>
      <c r="R80" s="750">
        <f t="shared" si="11"/>
        <v>0</v>
      </c>
    </row>
    <row r="81" spans="2:18" s="757" customFormat="1" outlineLevel="2" x14ac:dyDescent="0.2">
      <c r="B81" s="745" t="s">
        <v>3700</v>
      </c>
      <c r="C81" s="751" t="s">
        <v>2507</v>
      </c>
      <c r="D81" s="752" t="s">
        <v>241</v>
      </c>
      <c r="E81" s="753"/>
      <c r="F81" s="753"/>
      <c r="G81" s="753"/>
      <c r="H81" s="753"/>
      <c r="I81" s="754">
        <f t="shared" si="7"/>
        <v>0</v>
      </c>
      <c r="J81" s="755"/>
      <c r="K81" s="748">
        <f t="shared" si="10"/>
        <v>0</v>
      </c>
      <c r="L81" s="753"/>
      <c r="M81" s="753"/>
      <c r="N81" s="753"/>
      <c r="O81" s="753"/>
      <c r="P81" s="756">
        <f t="shared" si="9"/>
        <v>0</v>
      </c>
      <c r="Q81" s="755"/>
      <c r="R81" s="750">
        <f t="shared" si="11"/>
        <v>0</v>
      </c>
    </row>
    <row r="82" spans="2:18" s="757" customFormat="1" outlineLevel="2" x14ac:dyDescent="0.2">
      <c r="B82" s="745" t="s">
        <v>3701</v>
      </c>
      <c r="C82" s="751" t="s">
        <v>2508</v>
      </c>
      <c r="D82" s="752" t="s">
        <v>241</v>
      </c>
      <c r="E82" s="753"/>
      <c r="F82" s="753"/>
      <c r="G82" s="753"/>
      <c r="H82" s="753"/>
      <c r="I82" s="754">
        <f t="shared" si="7"/>
        <v>0</v>
      </c>
      <c r="J82" s="755"/>
      <c r="K82" s="748">
        <f t="shared" si="10"/>
        <v>0</v>
      </c>
      <c r="L82" s="753"/>
      <c r="M82" s="753"/>
      <c r="N82" s="753"/>
      <c r="O82" s="753"/>
      <c r="P82" s="756">
        <f t="shared" si="9"/>
        <v>0</v>
      </c>
      <c r="Q82" s="755"/>
      <c r="R82" s="750">
        <f t="shared" si="11"/>
        <v>0</v>
      </c>
    </row>
    <row r="83" spans="2:18" s="757" customFormat="1" outlineLevel="2" x14ac:dyDescent="0.2">
      <c r="B83" s="745" t="s">
        <v>3702</v>
      </c>
      <c r="C83" s="751" t="s">
        <v>2509</v>
      </c>
      <c r="D83" s="752" t="s">
        <v>241</v>
      </c>
      <c r="E83" s="753"/>
      <c r="F83" s="753"/>
      <c r="G83" s="753"/>
      <c r="H83" s="753"/>
      <c r="I83" s="754">
        <f t="shared" si="7"/>
        <v>0</v>
      </c>
      <c r="J83" s="755"/>
      <c r="K83" s="748">
        <f t="shared" si="10"/>
        <v>0</v>
      </c>
      <c r="L83" s="753"/>
      <c r="M83" s="753"/>
      <c r="N83" s="753"/>
      <c r="O83" s="753"/>
      <c r="P83" s="756">
        <f t="shared" si="9"/>
        <v>0</v>
      </c>
      <c r="Q83" s="755"/>
      <c r="R83" s="750">
        <f t="shared" si="11"/>
        <v>0</v>
      </c>
    </row>
    <row r="84" spans="2:18" s="757" customFormat="1" outlineLevel="2" x14ac:dyDescent="0.2">
      <c r="B84" s="745" t="s">
        <v>3703</v>
      </c>
      <c r="C84" s="751" t="s">
        <v>2510</v>
      </c>
      <c r="D84" s="752" t="s">
        <v>241</v>
      </c>
      <c r="E84" s="753"/>
      <c r="F84" s="753"/>
      <c r="G84" s="753"/>
      <c r="H84" s="753"/>
      <c r="I84" s="754">
        <f t="shared" si="7"/>
        <v>0</v>
      </c>
      <c r="J84" s="755"/>
      <c r="K84" s="748">
        <f t="shared" si="10"/>
        <v>0</v>
      </c>
      <c r="L84" s="753"/>
      <c r="M84" s="753"/>
      <c r="N84" s="753"/>
      <c r="O84" s="753"/>
      <c r="P84" s="756">
        <f t="shared" si="9"/>
        <v>0</v>
      </c>
      <c r="Q84" s="755"/>
      <c r="R84" s="750">
        <f t="shared" si="11"/>
        <v>0</v>
      </c>
    </row>
    <row r="85" spans="2:18" s="757" customFormat="1" outlineLevel="2" x14ac:dyDescent="0.2">
      <c r="B85" s="745" t="s">
        <v>3704</v>
      </c>
      <c r="C85" s="751" t="s">
        <v>2511</v>
      </c>
      <c r="D85" s="752" t="s">
        <v>241</v>
      </c>
      <c r="E85" s="753"/>
      <c r="F85" s="753"/>
      <c r="G85" s="753"/>
      <c r="H85" s="753"/>
      <c r="I85" s="754">
        <f t="shared" si="7"/>
        <v>0</v>
      </c>
      <c r="J85" s="755"/>
      <c r="K85" s="748">
        <f t="shared" si="10"/>
        <v>0</v>
      </c>
      <c r="L85" s="753"/>
      <c r="M85" s="753"/>
      <c r="N85" s="753"/>
      <c r="O85" s="753"/>
      <c r="P85" s="756">
        <f t="shared" si="9"/>
        <v>0</v>
      </c>
      <c r="Q85" s="755"/>
      <c r="R85" s="750">
        <f t="shared" si="11"/>
        <v>0</v>
      </c>
    </row>
    <row r="86" spans="2:18" s="757" customFormat="1" outlineLevel="2" x14ac:dyDescent="0.2">
      <c r="B86" s="745" t="s">
        <v>3705</v>
      </c>
      <c r="C86" s="751" t="s">
        <v>2512</v>
      </c>
      <c r="D86" s="752" t="s">
        <v>241</v>
      </c>
      <c r="E86" s="753"/>
      <c r="F86" s="753"/>
      <c r="G86" s="753"/>
      <c r="H86" s="753"/>
      <c r="I86" s="754">
        <f t="shared" si="7"/>
        <v>0</v>
      </c>
      <c r="J86" s="755"/>
      <c r="K86" s="748">
        <f t="shared" si="10"/>
        <v>0</v>
      </c>
      <c r="L86" s="753"/>
      <c r="M86" s="753"/>
      <c r="N86" s="753"/>
      <c r="O86" s="753"/>
      <c r="P86" s="756">
        <f t="shared" si="9"/>
        <v>0</v>
      </c>
      <c r="Q86" s="755"/>
      <c r="R86" s="750">
        <f t="shared" si="11"/>
        <v>0</v>
      </c>
    </row>
    <row r="87" spans="2:18" s="757" customFormat="1" outlineLevel="2" x14ac:dyDescent="0.2">
      <c r="B87" s="745" t="s">
        <v>3706</v>
      </c>
      <c r="C87" s="751" t="s">
        <v>2513</v>
      </c>
      <c r="D87" s="752" t="s">
        <v>241</v>
      </c>
      <c r="E87" s="753"/>
      <c r="F87" s="753"/>
      <c r="G87" s="753"/>
      <c r="H87" s="753"/>
      <c r="I87" s="754">
        <f t="shared" si="7"/>
        <v>0</v>
      </c>
      <c r="J87" s="755"/>
      <c r="K87" s="748">
        <f t="shared" si="10"/>
        <v>0</v>
      </c>
      <c r="L87" s="753"/>
      <c r="M87" s="753"/>
      <c r="N87" s="753"/>
      <c r="O87" s="753"/>
      <c r="P87" s="756">
        <f t="shared" si="9"/>
        <v>0</v>
      </c>
      <c r="Q87" s="755"/>
      <c r="R87" s="750">
        <f t="shared" si="11"/>
        <v>0</v>
      </c>
    </row>
    <row r="88" spans="2:18" s="757" customFormat="1" outlineLevel="2" x14ac:dyDescent="0.2">
      <c r="B88" s="745" t="s">
        <v>3707</v>
      </c>
      <c r="C88" s="751" t="s">
        <v>2514</v>
      </c>
      <c r="D88" s="752" t="s">
        <v>241</v>
      </c>
      <c r="E88" s="753"/>
      <c r="F88" s="753"/>
      <c r="G88" s="753"/>
      <c r="H88" s="753"/>
      <c r="I88" s="754">
        <f t="shared" si="7"/>
        <v>0</v>
      </c>
      <c r="J88" s="755"/>
      <c r="K88" s="748">
        <f t="shared" si="10"/>
        <v>0</v>
      </c>
      <c r="L88" s="753"/>
      <c r="M88" s="753"/>
      <c r="N88" s="753"/>
      <c r="O88" s="753"/>
      <c r="P88" s="756">
        <f t="shared" si="9"/>
        <v>0</v>
      </c>
      <c r="Q88" s="755"/>
      <c r="R88" s="750">
        <f t="shared" si="11"/>
        <v>0</v>
      </c>
    </row>
    <row r="89" spans="2:18" s="757" customFormat="1" outlineLevel="2" x14ac:dyDescent="0.2">
      <c r="B89" s="745" t="s">
        <v>3708</v>
      </c>
      <c r="C89" s="751" t="s">
        <v>2515</v>
      </c>
      <c r="D89" s="752" t="s">
        <v>241</v>
      </c>
      <c r="E89" s="753"/>
      <c r="F89" s="753"/>
      <c r="G89" s="753"/>
      <c r="H89" s="753"/>
      <c r="I89" s="754">
        <f t="shared" si="7"/>
        <v>0</v>
      </c>
      <c r="J89" s="755"/>
      <c r="K89" s="748">
        <f t="shared" si="10"/>
        <v>0</v>
      </c>
      <c r="L89" s="753"/>
      <c r="M89" s="753"/>
      <c r="N89" s="753"/>
      <c r="O89" s="753"/>
      <c r="P89" s="756">
        <f t="shared" si="9"/>
        <v>0</v>
      </c>
      <c r="Q89" s="755"/>
      <c r="R89" s="750">
        <f t="shared" si="11"/>
        <v>0</v>
      </c>
    </row>
    <row r="90" spans="2:18" s="757" customFormat="1" outlineLevel="2" x14ac:dyDescent="0.2">
      <c r="B90" s="745" t="s">
        <v>3709</v>
      </c>
      <c r="C90" s="751" t="s">
        <v>2516</v>
      </c>
      <c r="D90" s="752" t="s">
        <v>241</v>
      </c>
      <c r="E90" s="753"/>
      <c r="F90" s="753"/>
      <c r="G90" s="753"/>
      <c r="H90" s="753"/>
      <c r="I90" s="754">
        <f t="shared" si="7"/>
        <v>0</v>
      </c>
      <c r="J90" s="755"/>
      <c r="K90" s="748">
        <f t="shared" si="10"/>
        <v>0</v>
      </c>
      <c r="L90" s="753"/>
      <c r="M90" s="753"/>
      <c r="N90" s="753"/>
      <c r="O90" s="753"/>
      <c r="P90" s="756">
        <f t="shared" si="9"/>
        <v>0</v>
      </c>
      <c r="Q90" s="755"/>
      <c r="R90" s="750">
        <f t="shared" si="11"/>
        <v>0</v>
      </c>
    </row>
    <row r="91" spans="2:18" s="757" customFormat="1" outlineLevel="2" x14ac:dyDescent="0.2">
      <c r="B91" s="745" t="s">
        <v>3710</v>
      </c>
      <c r="C91" s="751" t="s">
        <v>2517</v>
      </c>
      <c r="D91" s="752" t="s">
        <v>241</v>
      </c>
      <c r="E91" s="753"/>
      <c r="F91" s="753"/>
      <c r="G91" s="753"/>
      <c r="H91" s="753"/>
      <c r="I91" s="754">
        <f t="shared" si="7"/>
        <v>0</v>
      </c>
      <c r="J91" s="755"/>
      <c r="K91" s="748">
        <f t="shared" si="10"/>
        <v>0</v>
      </c>
      <c r="L91" s="753"/>
      <c r="M91" s="753"/>
      <c r="N91" s="753"/>
      <c r="O91" s="753"/>
      <c r="P91" s="756">
        <f t="shared" si="9"/>
        <v>0</v>
      </c>
      <c r="Q91" s="755"/>
      <c r="R91" s="750">
        <f t="shared" si="11"/>
        <v>0</v>
      </c>
    </row>
    <row r="92" spans="2:18" s="757" customFormat="1" outlineLevel="2" x14ac:dyDescent="0.2">
      <c r="B92" s="745" t="s">
        <v>3711</v>
      </c>
      <c r="C92" s="751" t="s">
        <v>2518</v>
      </c>
      <c r="D92" s="752" t="s">
        <v>241</v>
      </c>
      <c r="E92" s="753"/>
      <c r="F92" s="753"/>
      <c r="G92" s="753"/>
      <c r="H92" s="753"/>
      <c r="I92" s="754">
        <f t="shared" si="7"/>
        <v>0</v>
      </c>
      <c r="J92" s="755"/>
      <c r="K92" s="748">
        <f t="shared" si="10"/>
        <v>0</v>
      </c>
      <c r="L92" s="753"/>
      <c r="M92" s="753"/>
      <c r="N92" s="753"/>
      <c r="O92" s="753"/>
      <c r="P92" s="756">
        <f t="shared" si="9"/>
        <v>0</v>
      </c>
      <c r="Q92" s="755"/>
      <c r="R92" s="750">
        <f t="shared" si="11"/>
        <v>0</v>
      </c>
    </row>
    <row r="93" spans="2:18" s="757" customFormat="1" outlineLevel="2" x14ac:dyDescent="0.2">
      <c r="B93" s="745" t="s">
        <v>3712</v>
      </c>
      <c r="C93" s="751" t="s">
        <v>2519</v>
      </c>
      <c r="D93" s="752" t="s">
        <v>241</v>
      </c>
      <c r="E93" s="753"/>
      <c r="F93" s="753"/>
      <c r="G93" s="753"/>
      <c r="H93" s="753"/>
      <c r="I93" s="754">
        <f t="shared" si="7"/>
        <v>0</v>
      </c>
      <c r="J93" s="755"/>
      <c r="K93" s="748">
        <f t="shared" si="10"/>
        <v>0</v>
      </c>
      <c r="L93" s="753"/>
      <c r="M93" s="753"/>
      <c r="N93" s="753"/>
      <c r="O93" s="753"/>
      <c r="P93" s="756">
        <f t="shared" si="9"/>
        <v>0</v>
      </c>
      <c r="Q93" s="755"/>
      <c r="R93" s="750">
        <f t="shared" si="11"/>
        <v>0</v>
      </c>
    </row>
    <row r="94" spans="2:18" s="734" customFormat="1" outlineLevel="1" x14ac:dyDescent="0.2">
      <c r="B94" s="745" t="s">
        <v>3713</v>
      </c>
      <c r="C94" s="746">
        <v>1.5</v>
      </c>
      <c r="D94" s="131" t="s">
        <v>4799</v>
      </c>
      <c r="E94" s="747">
        <f>SUM(E95:E114)</f>
        <v>0</v>
      </c>
      <c r="F94" s="747">
        <f>SUM(F95:F114)</f>
        <v>0</v>
      </c>
      <c r="G94" s="747">
        <f>SUM(G95:G114)</f>
        <v>0</v>
      </c>
      <c r="H94" s="747">
        <f>SUM(H95:H114)</f>
        <v>0</v>
      </c>
      <c r="I94" s="748">
        <f t="shared" si="7"/>
        <v>0</v>
      </c>
      <c r="J94" s="747">
        <f>SUM(J95:J114)</f>
        <v>0</v>
      </c>
      <c r="K94" s="748">
        <f t="shared" si="10"/>
        <v>0</v>
      </c>
      <c r="L94" s="747">
        <f>SUM(L95:L114)</f>
        <v>0</v>
      </c>
      <c r="M94" s="747">
        <f>SUM(M95:M114)</f>
        <v>0</v>
      </c>
      <c r="N94" s="747">
        <f>SUM(N95:N114)</f>
        <v>0</v>
      </c>
      <c r="O94" s="747">
        <f>SUM(O95:O114)</f>
        <v>0</v>
      </c>
      <c r="P94" s="749">
        <f>SUM(L94:O94)</f>
        <v>0</v>
      </c>
      <c r="Q94" s="747">
        <f>SUM(Q95:Q114)</f>
        <v>0</v>
      </c>
      <c r="R94" s="750">
        <f t="shared" si="11"/>
        <v>0</v>
      </c>
    </row>
    <row r="95" spans="2:18" s="757" customFormat="1" outlineLevel="2" x14ac:dyDescent="0.2">
      <c r="B95" s="745" t="s">
        <v>3714</v>
      </c>
      <c r="C95" s="751" t="s">
        <v>2520</v>
      </c>
      <c r="D95" s="752" t="s">
        <v>242</v>
      </c>
      <c r="E95" s="753"/>
      <c r="F95" s="753"/>
      <c r="G95" s="753"/>
      <c r="H95" s="753"/>
      <c r="I95" s="754">
        <f t="shared" si="7"/>
        <v>0</v>
      </c>
      <c r="J95" s="755"/>
      <c r="K95" s="748">
        <f t="shared" si="10"/>
        <v>0</v>
      </c>
      <c r="L95" s="753"/>
      <c r="M95" s="753"/>
      <c r="N95" s="753"/>
      <c r="O95" s="753"/>
      <c r="P95" s="756">
        <f t="shared" ref="P95:P135" si="12">SUM(L95:O95)</f>
        <v>0</v>
      </c>
      <c r="Q95" s="755"/>
      <c r="R95" s="750">
        <f t="shared" si="11"/>
        <v>0</v>
      </c>
    </row>
    <row r="96" spans="2:18" s="757" customFormat="1" outlineLevel="2" x14ac:dyDescent="0.2">
      <c r="B96" s="745" t="s">
        <v>3715</v>
      </c>
      <c r="C96" s="751" t="s">
        <v>2521</v>
      </c>
      <c r="D96" s="752" t="s">
        <v>242</v>
      </c>
      <c r="E96" s="753"/>
      <c r="F96" s="753"/>
      <c r="G96" s="753"/>
      <c r="H96" s="753"/>
      <c r="I96" s="754">
        <f t="shared" ref="I96:I135" si="13">SUM(E96:H96)</f>
        <v>0</v>
      </c>
      <c r="J96" s="755"/>
      <c r="K96" s="748">
        <f t="shared" si="10"/>
        <v>0</v>
      </c>
      <c r="L96" s="753"/>
      <c r="M96" s="753"/>
      <c r="N96" s="753"/>
      <c r="O96" s="753"/>
      <c r="P96" s="756">
        <f t="shared" si="12"/>
        <v>0</v>
      </c>
      <c r="Q96" s="755"/>
      <c r="R96" s="750">
        <f t="shared" si="11"/>
        <v>0</v>
      </c>
    </row>
    <row r="97" spans="2:18" s="757" customFormat="1" outlineLevel="2" x14ac:dyDescent="0.2">
      <c r="B97" s="745" t="s">
        <v>3716</v>
      </c>
      <c r="C97" s="751" t="s">
        <v>2522</v>
      </c>
      <c r="D97" s="752" t="s">
        <v>242</v>
      </c>
      <c r="E97" s="753"/>
      <c r="F97" s="753"/>
      <c r="G97" s="753"/>
      <c r="H97" s="753"/>
      <c r="I97" s="754">
        <f t="shared" si="13"/>
        <v>0</v>
      </c>
      <c r="J97" s="755"/>
      <c r="K97" s="748">
        <f t="shared" si="10"/>
        <v>0</v>
      </c>
      <c r="L97" s="753"/>
      <c r="M97" s="753"/>
      <c r="N97" s="753"/>
      <c r="O97" s="753"/>
      <c r="P97" s="756">
        <f t="shared" si="12"/>
        <v>0</v>
      </c>
      <c r="Q97" s="755"/>
      <c r="R97" s="750">
        <f t="shared" si="11"/>
        <v>0</v>
      </c>
    </row>
    <row r="98" spans="2:18" s="757" customFormat="1" outlineLevel="2" x14ac:dyDescent="0.2">
      <c r="B98" s="745" t="s">
        <v>3717</v>
      </c>
      <c r="C98" s="751" t="s">
        <v>2523</v>
      </c>
      <c r="D98" s="752" t="s">
        <v>242</v>
      </c>
      <c r="E98" s="753"/>
      <c r="F98" s="753"/>
      <c r="G98" s="753"/>
      <c r="H98" s="753"/>
      <c r="I98" s="754">
        <f t="shared" si="13"/>
        <v>0</v>
      </c>
      <c r="J98" s="755"/>
      <c r="K98" s="748">
        <f t="shared" si="10"/>
        <v>0</v>
      </c>
      <c r="L98" s="753"/>
      <c r="M98" s="753"/>
      <c r="N98" s="753"/>
      <c r="O98" s="753"/>
      <c r="P98" s="756">
        <f t="shared" si="12"/>
        <v>0</v>
      </c>
      <c r="Q98" s="755"/>
      <c r="R98" s="750">
        <f t="shared" si="11"/>
        <v>0</v>
      </c>
    </row>
    <row r="99" spans="2:18" s="757" customFormat="1" outlineLevel="2" x14ac:dyDescent="0.2">
      <c r="B99" s="745" t="s">
        <v>3718</v>
      </c>
      <c r="C99" s="751" t="s">
        <v>2524</v>
      </c>
      <c r="D99" s="752" t="s">
        <v>242</v>
      </c>
      <c r="E99" s="753"/>
      <c r="F99" s="753"/>
      <c r="G99" s="753"/>
      <c r="H99" s="753"/>
      <c r="I99" s="754">
        <f t="shared" si="13"/>
        <v>0</v>
      </c>
      <c r="J99" s="755"/>
      <c r="K99" s="748">
        <f t="shared" si="10"/>
        <v>0</v>
      </c>
      <c r="L99" s="753"/>
      <c r="M99" s="753"/>
      <c r="N99" s="753"/>
      <c r="O99" s="753"/>
      <c r="P99" s="756">
        <f t="shared" si="12"/>
        <v>0</v>
      </c>
      <c r="Q99" s="755"/>
      <c r="R99" s="750">
        <f t="shared" si="11"/>
        <v>0</v>
      </c>
    </row>
    <row r="100" spans="2:18" s="757" customFormat="1" outlineLevel="2" x14ac:dyDescent="0.2">
      <c r="B100" s="745" t="s">
        <v>3719</v>
      </c>
      <c r="C100" s="751" t="s">
        <v>2525</v>
      </c>
      <c r="D100" s="752" t="s">
        <v>242</v>
      </c>
      <c r="E100" s="753"/>
      <c r="F100" s="753"/>
      <c r="G100" s="753"/>
      <c r="H100" s="753"/>
      <c r="I100" s="754">
        <f t="shared" si="13"/>
        <v>0</v>
      </c>
      <c r="J100" s="755"/>
      <c r="K100" s="748">
        <f t="shared" si="10"/>
        <v>0</v>
      </c>
      <c r="L100" s="753"/>
      <c r="M100" s="753"/>
      <c r="N100" s="753"/>
      <c r="O100" s="753"/>
      <c r="P100" s="756">
        <f t="shared" si="12"/>
        <v>0</v>
      </c>
      <c r="Q100" s="755"/>
      <c r="R100" s="750">
        <f t="shared" si="11"/>
        <v>0</v>
      </c>
    </row>
    <row r="101" spans="2:18" s="757" customFormat="1" outlineLevel="2" x14ac:dyDescent="0.2">
      <c r="B101" s="745" t="s">
        <v>3720</v>
      </c>
      <c r="C101" s="751" t="s">
        <v>2526</v>
      </c>
      <c r="D101" s="752" t="s">
        <v>242</v>
      </c>
      <c r="E101" s="753"/>
      <c r="F101" s="753"/>
      <c r="G101" s="753"/>
      <c r="H101" s="753"/>
      <c r="I101" s="754">
        <f t="shared" si="13"/>
        <v>0</v>
      </c>
      <c r="J101" s="755"/>
      <c r="K101" s="748">
        <f t="shared" si="10"/>
        <v>0</v>
      </c>
      <c r="L101" s="753"/>
      <c r="M101" s="753"/>
      <c r="N101" s="753"/>
      <c r="O101" s="753"/>
      <c r="P101" s="756">
        <f t="shared" si="12"/>
        <v>0</v>
      </c>
      <c r="Q101" s="755"/>
      <c r="R101" s="750">
        <f t="shared" si="11"/>
        <v>0</v>
      </c>
    </row>
    <row r="102" spans="2:18" s="757" customFormat="1" outlineLevel="2" x14ac:dyDescent="0.2">
      <c r="B102" s="745" t="s">
        <v>3721</v>
      </c>
      <c r="C102" s="751" t="s">
        <v>2527</v>
      </c>
      <c r="D102" s="752" t="s">
        <v>242</v>
      </c>
      <c r="E102" s="753"/>
      <c r="F102" s="753"/>
      <c r="G102" s="753"/>
      <c r="H102" s="753"/>
      <c r="I102" s="754">
        <f t="shared" si="13"/>
        <v>0</v>
      </c>
      <c r="J102" s="755"/>
      <c r="K102" s="748">
        <f t="shared" si="10"/>
        <v>0</v>
      </c>
      <c r="L102" s="753"/>
      <c r="M102" s="753"/>
      <c r="N102" s="753"/>
      <c r="O102" s="753"/>
      <c r="P102" s="756">
        <f t="shared" si="12"/>
        <v>0</v>
      </c>
      <c r="Q102" s="755"/>
      <c r="R102" s="750">
        <f t="shared" si="11"/>
        <v>0</v>
      </c>
    </row>
    <row r="103" spans="2:18" s="757" customFormat="1" outlineLevel="2" x14ac:dyDescent="0.2">
      <c r="B103" s="745" t="s">
        <v>3722</v>
      </c>
      <c r="C103" s="751" t="s">
        <v>2528</v>
      </c>
      <c r="D103" s="752" t="s">
        <v>242</v>
      </c>
      <c r="E103" s="753"/>
      <c r="F103" s="753"/>
      <c r="G103" s="753"/>
      <c r="H103" s="753"/>
      <c r="I103" s="754">
        <f t="shared" si="13"/>
        <v>0</v>
      </c>
      <c r="J103" s="755"/>
      <c r="K103" s="748">
        <f t="shared" si="10"/>
        <v>0</v>
      </c>
      <c r="L103" s="753"/>
      <c r="M103" s="753"/>
      <c r="N103" s="753"/>
      <c r="O103" s="753"/>
      <c r="P103" s="756">
        <f t="shared" si="12"/>
        <v>0</v>
      </c>
      <c r="Q103" s="755"/>
      <c r="R103" s="750">
        <f t="shared" si="11"/>
        <v>0</v>
      </c>
    </row>
    <row r="104" spans="2:18" s="757" customFormat="1" outlineLevel="2" x14ac:dyDescent="0.2">
      <c r="B104" s="745" t="s">
        <v>3723</v>
      </c>
      <c r="C104" s="751" t="s">
        <v>2529</v>
      </c>
      <c r="D104" s="752" t="s">
        <v>242</v>
      </c>
      <c r="E104" s="753"/>
      <c r="F104" s="753"/>
      <c r="G104" s="753"/>
      <c r="H104" s="753"/>
      <c r="I104" s="754">
        <f t="shared" si="13"/>
        <v>0</v>
      </c>
      <c r="J104" s="755"/>
      <c r="K104" s="748">
        <f t="shared" si="10"/>
        <v>0</v>
      </c>
      <c r="L104" s="753"/>
      <c r="M104" s="753"/>
      <c r="N104" s="753"/>
      <c r="O104" s="753"/>
      <c r="P104" s="756">
        <f t="shared" si="12"/>
        <v>0</v>
      </c>
      <c r="Q104" s="755"/>
      <c r="R104" s="750">
        <f t="shared" si="11"/>
        <v>0</v>
      </c>
    </row>
    <row r="105" spans="2:18" s="757" customFormat="1" outlineLevel="2" x14ac:dyDescent="0.2">
      <c r="B105" s="745" t="s">
        <v>3724</v>
      </c>
      <c r="C105" s="751" t="s">
        <v>2530</v>
      </c>
      <c r="D105" s="752" t="s">
        <v>242</v>
      </c>
      <c r="E105" s="753"/>
      <c r="F105" s="753"/>
      <c r="G105" s="753"/>
      <c r="H105" s="753"/>
      <c r="I105" s="754">
        <f t="shared" si="13"/>
        <v>0</v>
      </c>
      <c r="J105" s="755"/>
      <c r="K105" s="748">
        <f t="shared" si="10"/>
        <v>0</v>
      </c>
      <c r="L105" s="753"/>
      <c r="M105" s="753"/>
      <c r="N105" s="753"/>
      <c r="O105" s="753"/>
      <c r="P105" s="756">
        <f t="shared" si="12"/>
        <v>0</v>
      </c>
      <c r="Q105" s="755"/>
      <c r="R105" s="750">
        <f t="shared" si="11"/>
        <v>0</v>
      </c>
    </row>
    <row r="106" spans="2:18" s="757" customFormat="1" outlineLevel="2" x14ac:dyDescent="0.2">
      <c r="B106" s="745" t="s">
        <v>3725</v>
      </c>
      <c r="C106" s="751" t="s">
        <v>2531</v>
      </c>
      <c r="D106" s="752" t="s">
        <v>242</v>
      </c>
      <c r="E106" s="753"/>
      <c r="F106" s="753"/>
      <c r="G106" s="753"/>
      <c r="H106" s="753"/>
      <c r="I106" s="754">
        <f t="shared" si="13"/>
        <v>0</v>
      </c>
      <c r="J106" s="755"/>
      <c r="K106" s="748">
        <f t="shared" si="10"/>
        <v>0</v>
      </c>
      <c r="L106" s="753"/>
      <c r="M106" s="753"/>
      <c r="N106" s="753"/>
      <c r="O106" s="753"/>
      <c r="P106" s="756">
        <f t="shared" si="12"/>
        <v>0</v>
      </c>
      <c r="Q106" s="755"/>
      <c r="R106" s="750">
        <f t="shared" si="11"/>
        <v>0</v>
      </c>
    </row>
    <row r="107" spans="2:18" s="757" customFormat="1" outlineLevel="2" x14ac:dyDescent="0.2">
      <c r="B107" s="745" t="s">
        <v>3726</v>
      </c>
      <c r="C107" s="751" t="s">
        <v>2532</v>
      </c>
      <c r="D107" s="752" t="s">
        <v>242</v>
      </c>
      <c r="E107" s="753"/>
      <c r="F107" s="753"/>
      <c r="G107" s="753"/>
      <c r="H107" s="753"/>
      <c r="I107" s="754">
        <f t="shared" si="13"/>
        <v>0</v>
      </c>
      <c r="J107" s="755"/>
      <c r="K107" s="748">
        <f t="shared" si="10"/>
        <v>0</v>
      </c>
      <c r="L107" s="753"/>
      <c r="M107" s="753"/>
      <c r="N107" s="753"/>
      <c r="O107" s="753"/>
      <c r="P107" s="756">
        <f t="shared" si="12"/>
        <v>0</v>
      </c>
      <c r="Q107" s="755"/>
      <c r="R107" s="750">
        <f t="shared" si="11"/>
        <v>0</v>
      </c>
    </row>
    <row r="108" spans="2:18" s="757" customFormat="1" outlineLevel="2" x14ac:dyDescent="0.2">
      <c r="B108" s="745" t="s">
        <v>3727</v>
      </c>
      <c r="C108" s="751" t="s">
        <v>2533</v>
      </c>
      <c r="D108" s="752" t="s">
        <v>242</v>
      </c>
      <c r="E108" s="753"/>
      <c r="F108" s="753"/>
      <c r="G108" s="753"/>
      <c r="H108" s="753"/>
      <c r="I108" s="754">
        <f t="shared" si="13"/>
        <v>0</v>
      </c>
      <c r="J108" s="755"/>
      <c r="K108" s="748">
        <f t="shared" si="10"/>
        <v>0</v>
      </c>
      <c r="L108" s="753"/>
      <c r="M108" s="753"/>
      <c r="N108" s="753"/>
      <c r="O108" s="753"/>
      <c r="P108" s="756">
        <f t="shared" si="12"/>
        <v>0</v>
      </c>
      <c r="Q108" s="755"/>
      <c r="R108" s="750">
        <f t="shared" si="11"/>
        <v>0</v>
      </c>
    </row>
    <row r="109" spans="2:18" s="757" customFormat="1" outlineLevel="2" x14ac:dyDescent="0.2">
      <c r="B109" s="745" t="s">
        <v>3728</v>
      </c>
      <c r="C109" s="751" t="s">
        <v>2534</v>
      </c>
      <c r="D109" s="752" t="s">
        <v>242</v>
      </c>
      <c r="E109" s="753"/>
      <c r="F109" s="753"/>
      <c r="G109" s="753"/>
      <c r="H109" s="753"/>
      <c r="I109" s="754">
        <f t="shared" si="13"/>
        <v>0</v>
      </c>
      <c r="J109" s="755"/>
      <c r="K109" s="748">
        <f t="shared" si="10"/>
        <v>0</v>
      </c>
      <c r="L109" s="753"/>
      <c r="M109" s="753"/>
      <c r="N109" s="753"/>
      <c r="O109" s="753"/>
      <c r="P109" s="756">
        <f t="shared" si="12"/>
        <v>0</v>
      </c>
      <c r="Q109" s="755"/>
      <c r="R109" s="750">
        <f t="shared" si="11"/>
        <v>0</v>
      </c>
    </row>
    <row r="110" spans="2:18" s="757" customFormat="1" outlineLevel="2" x14ac:dyDescent="0.2">
      <c r="B110" s="745" t="s">
        <v>3729</v>
      </c>
      <c r="C110" s="751" t="s">
        <v>2535</v>
      </c>
      <c r="D110" s="752" t="s">
        <v>242</v>
      </c>
      <c r="E110" s="753"/>
      <c r="F110" s="753"/>
      <c r="G110" s="753"/>
      <c r="H110" s="753"/>
      <c r="I110" s="754">
        <f t="shared" si="13"/>
        <v>0</v>
      </c>
      <c r="J110" s="755"/>
      <c r="K110" s="748">
        <f t="shared" si="10"/>
        <v>0</v>
      </c>
      <c r="L110" s="753"/>
      <c r="M110" s="753"/>
      <c r="N110" s="753"/>
      <c r="O110" s="753"/>
      <c r="P110" s="756">
        <f t="shared" si="12"/>
        <v>0</v>
      </c>
      <c r="Q110" s="755"/>
      <c r="R110" s="750">
        <f t="shared" si="11"/>
        <v>0</v>
      </c>
    </row>
    <row r="111" spans="2:18" s="757" customFormat="1" outlineLevel="2" x14ac:dyDescent="0.2">
      <c r="B111" s="745" t="s">
        <v>3730</v>
      </c>
      <c r="C111" s="751" t="s">
        <v>2536</v>
      </c>
      <c r="D111" s="752" t="s">
        <v>242</v>
      </c>
      <c r="E111" s="753"/>
      <c r="F111" s="753"/>
      <c r="G111" s="753"/>
      <c r="H111" s="753"/>
      <c r="I111" s="754">
        <f t="shared" si="13"/>
        <v>0</v>
      </c>
      <c r="J111" s="755"/>
      <c r="K111" s="748">
        <f t="shared" si="10"/>
        <v>0</v>
      </c>
      <c r="L111" s="753"/>
      <c r="M111" s="753"/>
      <c r="N111" s="753"/>
      <c r="O111" s="753"/>
      <c r="P111" s="756">
        <f t="shared" si="12"/>
        <v>0</v>
      </c>
      <c r="Q111" s="755"/>
      <c r="R111" s="750">
        <f t="shared" si="11"/>
        <v>0</v>
      </c>
    </row>
    <row r="112" spans="2:18" s="757" customFormat="1" outlineLevel="2" x14ac:dyDescent="0.2">
      <c r="B112" s="745" t="s">
        <v>3731</v>
      </c>
      <c r="C112" s="751" t="s">
        <v>2537</v>
      </c>
      <c r="D112" s="752" t="s">
        <v>242</v>
      </c>
      <c r="E112" s="753"/>
      <c r="F112" s="753"/>
      <c r="G112" s="753"/>
      <c r="H112" s="753"/>
      <c r="I112" s="754">
        <f t="shared" si="13"/>
        <v>0</v>
      </c>
      <c r="J112" s="755"/>
      <c r="K112" s="748">
        <f t="shared" si="10"/>
        <v>0</v>
      </c>
      <c r="L112" s="753"/>
      <c r="M112" s="753"/>
      <c r="N112" s="753"/>
      <c r="O112" s="753"/>
      <c r="P112" s="756">
        <f t="shared" si="12"/>
        <v>0</v>
      </c>
      <c r="Q112" s="755"/>
      <c r="R112" s="750">
        <f t="shared" si="11"/>
        <v>0</v>
      </c>
    </row>
    <row r="113" spans="2:18" s="757" customFormat="1" outlineLevel="2" x14ac:dyDescent="0.2">
      <c r="B113" s="745" t="s">
        <v>3732</v>
      </c>
      <c r="C113" s="751" t="s">
        <v>2538</v>
      </c>
      <c r="D113" s="752" t="s">
        <v>242</v>
      </c>
      <c r="E113" s="753"/>
      <c r="F113" s="753"/>
      <c r="G113" s="753"/>
      <c r="H113" s="753"/>
      <c r="I113" s="754">
        <f t="shared" si="13"/>
        <v>0</v>
      </c>
      <c r="J113" s="755"/>
      <c r="K113" s="748">
        <f t="shared" si="10"/>
        <v>0</v>
      </c>
      <c r="L113" s="753"/>
      <c r="M113" s="753"/>
      <c r="N113" s="753"/>
      <c r="O113" s="753"/>
      <c r="P113" s="756">
        <f t="shared" si="12"/>
        <v>0</v>
      </c>
      <c r="Q113" s="755"/>
      <c r="R113" s="750">
        <f t="shared" si="11"/>
        <v>0</v>
      </c>
    </row>
    <row r="114" spans="2:18" s="757" customFormat="1" outlineLevel="2" x14ac:dyDescent="0.2">
      <c r="B114" s="745" t="s">
        <v>3733</v>
      </c>
      <c r="C114" s="751" t="s">
        <v>2539</v>
      </c>
      <c r="D114" s="752" t="s">
        <v>242</v>
      </c>
      <c r="E114" s="753"/>
      <c r="F114" s="753"/>
      <c r="G114" s="753"/>
      <c r="H114" s="753"/>
      <c r="I114" s="754">
        <f t="shared" si="13"/>
        <v>0</v>
      </c>
      <c r="J114" s="755"/>
      <c r="K114" s="748">
        <f t="shared" si="10"/>
        <v>0</v>
      </c>
      <c r="L114" s="753"/>
      <c r="M114" s="753"/>
      <c r="N114" s="753"/>
      <c r="O114" s="753"/>
      <c r="P114" s="756">
        <f t="shared" si="12"/>
        <v>0</v>
      </c>
      <c r="Q114" s="755"/>
      <c r="R114" s="750">
        <f t="shared" si="11"/>
        <v>0</v>
      </c>
    </row>
    <row r="115" spans="2:18" s="734" customFormat="1" outlineLevel="1" x14ac:dyDescent="0.2">
      <c r="B115" s="745" t="s">
        <v>3734</v>
      </c>
      <c r="C115" s="746">
        <v>1.6</v>
      </c>
      <c r="D115" s="131" t="s">
        <v>4800</v>
      </c>
      <c r="E115" s="747">
        <f>SUM(E116:E135)</f>
        <v>0</v>
      </c>
      <c r="F115" s="747">
        <f>SUM(F116:F135)</f>
        <v>0</v>
      </c>
      <c r="G115" s="747">
        <f>SUM(G116:G135)</f>
        <v>0</v>
      </c>
      <c r="H115" s="747">
        <f>SUM(H116:H135)</f>
        <v>0</v>
      </c>
      <c r="I115" s="748">
        <f t="shared" si="13"/>
        <v>0</v>
      </c>
      <c r="J115" s="747">
        <f>SUM(J116:J135)</f>
        <v>0</v>
      </c>
      <c r="K115" s="748">
        <f t="shared" si="10"/>
        <v>0</v>
      </c>
      <c r="L115" s="747">
        <f>SUM(L116:L135)</f>
        <v>0</v>
      </c>
      <c r="M115" s="747">
        <f>SUM(M116:M135)</f>
        <v>0</v>
      </c>
      <c r="N115" s="747">
        <f>SUM(N116:N135)</f>
        <v>0</v>
      </c>
      <c r="O115" s="747">
        <f>SUM(O116:O135)</f>
        <v>0</v>
      </c>
      <c r="P115" s="749">
        <f t="shared" si="12"/>
        <v>0</v>
      </c>
      <c r="Q115" s="747">
        <f>SUM(Q116:Q135)</f>
        <v>0</v>
      </c>
      <c r="R115" s="750">
        <f t="shared" si="11"/>
        <v>0</v>
      </c>
    </row>
    <row r="116" spans="2:18" s="757" customFormat="1" outlineLevel="2" x14ac:dyDescent="0.2">
      <c r="B116" s="745" t="s">
        <v>3735</v>
      </c>
      <c r="C116" s="751" t="s">
        <v>2540</v>
      </c>
      <c r="D116" s="752" t="s">
        <v>242</v>
      </c>
      <c r="E116" s="753"/>
      <c r="F116" s="753"/>
      <c r="G116" s="753"/>
      <c r="H116" s="753"/>
      <c r="I116" s="754">
        <f t="shared" si="13"/>
        <v>0</v>
      </c>
      <c r="J116" s="755"/>
      <c r="K116" s="748">
        <f t="shared" si="10"/>
        <v>0</v>
      </c>
      <c r="L116" s="753"/>
      <c r="M116" s="753"/>
      <c r="N116" s="753"/>
      <c r="O116" s="753"/>
      <c r="P116" s="756">
        <f t="shared" si="12"/>
        <v>0</v>
      </c>
      <c r="Q116" s="755"/>
      <c r="R116" s="750">
        <f t="shared" si="11"/>
        <v>0</v>
      </c>
    </row>
    <row r="117" spans="2:18" s="757" customFormat="1" outlineLevel="2" x14ac:dyDescent="0.2">
      <c r="B117" s="745" t="s">
        <v>3736</v>
      </c>
      <c r="C117" s="751" t="s">
        <v>2541</v>
      </c>
      <c r="D117" s="752" t="s">
        <v>242</v>
      </c>
      <c r="E117" s="753"/>
      <c r="F117" s="753"/>
      <c r="G117" s="753"/>
      <c r="H117" s="753"/>
      <c r="I117" s="754">
        <f t="shared" si="13"/>
        <v>0</v>
      </c>
      <c r="J117" s="755"/>
      <c r="K117" s="748">
        <f t="shared" si="10"/>
        <v>0</v>
      </c>
      <c r="L117" s="753"/>
      <c r="M117" s="753"/>
      <c r="N117" s="753"/>
      <c r="O117" s="753"/>
      <c r="P117" s="756">
        <f t="shared" si="12"/>
        <v>0</v>
      </c>
      <c r="Q117" s="755"/>
      <c r="R117" s="750">
        <f t="shared" si="11"/>
        <v>0</v>
      </c>
    </row>
    <row r="118" spans="2:18" s="757" customFormat="1" outlineLevel="2" x14ac:dyDescent="0.2">
      <c r="B118" s="745" t="s">
        <v>3737</v>
      </c>
      <c r="C118" s="751" t="s">
        <v>2542</v>
      </c>
      <c r="D118" s="752" t="s">
        <v>242</v>
      </c>
      <c r="E118" s="753"/>
      <c r="F118" s="753"/>
      <c r="G118" s="753"/>
      <c r="H118" s="753"/>
      <c r="I118" s="754">
        <f t="shared" si="13"/>
        <v>0</v>
      </c>
      <c r="J118" s="755"/>
      <c r="K118" s="748">
        <f t="shared" si="10"/>
        <v>0</v>
      </c>
      <c r="L118" s="753"/>
      <c r="M118" s="753"/>
      <c r="N118" s="753"/>
      <c r="O118" s="753"/>
      <c r="P118" s="756">
        <f t="shared" si="12"/>
        <v>0</v>
      </c>
      <c r="Q118" s="755"/>
      <c r="R118" s="750">
        <f t="shared" si="11"/>
        <v>0</v>
      </c>
    </row>
    <row r="119" spans="2:18" s="757" customFormat="1" outlineLevel="2" x14ac:dyDescent="0.2">
      <c r="B119" s="745" t="s">
        <v>3738</v>
      </c>
      <c r="C119" s="751" t="s">
        <v>2543</v>
      </c>
      <c r="D119" s="752" t="s">
        <v>242</v>
      </c>
      <c r="E119" s="753"/>
      <c r="F119" s="753"/>
      <c r="G119" s="753"/>
      <c r="H119" s="753"/>
      <c r="I119" s="754">
        <f t="shared" si="13"/>
        <v>0</v>
      </c>
      <c r="J119" s="755"/>
      <c r="K119" s="748">
        <f t="shared" si="10"/>
        <v>0</v>
      </c>
      <c r="L119" s="753"/>
      <c r="M119" s="753"/>
      <c r="N119" s="753"/>
      <c r="O119" s="753"/>
      <c r="P119" s="756">
        <f t="shared" si="12"/>
        <v>0</v>
      </c>
      <c r="Q119" s="755"/>
      <c r="R119" s="750">
        <f t="shared" si="11"/>
        <v>0</v>
      </c>
    </row>
    <row r="120" spans="2:18" s="757" customFormat="1" outlineLevel="2" x14ac:dyDescent="0.2">
      <c r="B120" s="745" t="s">
        <v>3739</v>
      </c>
      <c r="C120" s="751" t="s">
        <v>2544</v>
      </c>
      <c r="D120" s="752" t="s">
        <v>242</v>
      </c>
      <c r="E120" s="753"/>
      <c r="F120" s="753"/>
      <c r="G120" s="753"/>
      <c r="H120" s="753"/>
      <c r="I120" s="754">
        <f t="shared" si="13"/>
        <v>0</v>
      </c>
      <c r="J120" s="755"/>
      <c r="K120" s="748">
        <f t="shared" si="10"/>
        <v>0</v>
      </c>
      <c r="L120" s="753"/>
      <c r="M120" s="753"/>
      <c r="N120" s="753"/>
      <c r="O120" s="753"/>
      <c r="P120" s="756">
        <f t="shared" si="12"/>
        <v>0</v>
      </c>
      <c r="Q120" s="755"/>
      <c r="R120" s="750">
        <f t="shared" si="11"/>
        <v>0</v>
      </c>
    </row>
    <row r="121" spans="2:18" s="757" customFormat="1" outlineLevel="2" x14ac:dyDescent="0.2">
      <c r="B121" s="745" t="s">
        <v>3740</v>
      </c>
      <c r="C121" s="751" t="s">
        <v>2545</v>
      </c>
      <c r="D121" s="752" t="s">
        <v>242</v>
      </c>
      <c r="E121" s="753"/>
      <c r="F121" s="753"/>
      <c r="G121" s="753"/>
      <c r="H121" s="753"/>
      <c r="I121" s="754">
        <f t="shared" si="13"/>
        <v>0</v>
      </c>
      <c r="J121" s="755"/>
      <c r="K121" s="748">
        <f t="shared" si="10"/>
        <v>0</v>
      </c>
      <c r="L121" s="753"/>
      <c r="M121" s="753"/>
      <c r="N121" s="753"/>
      <c r="O121" s="753"/>
      <c r="P121" s="756">
        <f t="shared" si="12"/>
        <v>0</v>
      </c>
      <c r="Q121" s="755"/>
      <c r="R121" s="750">
        <f t="shared" si="11"/>
        <v>0</v>
      </c>
    </row>
    <row r="122" spans="2:18" s="757" customFormat="1" outlineLevel="2" x14ac:dyDescent="0.2">
      <c r="B122" s="745" t="s">
        <v>3741</v>
      </c>
      <c r="C122" s="751" t="s">
        <v>2546</v>
      </c>
      <c r="D122" s="752" t="s">
        <v>242</v>
      </c>
      <c r="E122" s="753"/>
      <c r="F122" s="753"/>
      <c r="G122" s="753"/>
      <c r="H122" s="753"/>
      <c r="I122" s="754">
        <f t="shared" si="13"/>
        <v>0</v>
      </c>
      <c r="J122" s="755"/>
      <c r="K122" s="748">
        <f t="shared" si="10"/>
        <v>0</v>
      </c>
      <c r="L122" s="753"/>
      <c r="M122" s="753"/>
      <c r="N122" s="753"/>
      <c r="O122" s="753"/>
      <c r="P122" s="756">
        <f t="shared" si="12"/>
        <v>0</v>
      </c>
      <c r="Q122" s="755"/>
      <c r="R122" s="750">
        <f t="shared" si="11"/>
        <v>0</v>
      </c>
    </row>
    <row r="123" spans="2:18" s="757" customFormat="1" outlineLevel="2" x14ac:dyDescent="0.2">
      <c r="B123" s="745" t="s">
        <v>3742</v>
      </c>
      <c r="C123" s="751" t="s">
        <v>2547</v>
      </c>
      <c r="D123" s="752" t="s">
        <v>242</v>
      </c>
      <c r="E123" s="753"/>
      <c r="F123" s="753"/>
      <c r="G123" s="753"/>
      <c r="H123" s="753"/>
      <c r="I123" s="754">
        <f t="shared" si="13"/>
        <v>0</v>
      </c>
      <c r="J123" s="755"/>
      <c r="K123" s="748">
        <f t="shared" si="10"/>
        <v>0</v>
      </c>
      <c r="L123" s="753"/>
      <c r="M123" s="753"/>
      <c r="N123" s="753"/>
      <c r="O123" s="753"/>
      <c r="P123" s="756">
        <f t="shared" si="12"/>
        <v>0</v>
      </c>
      <c r="Q123" s="755"/>
      <c r="R123" s="750">
        <f t="shared" si="11"/>
        <v>0</v>
      </c>
    </row>
    <row r="124" spans="2:18" s="757" customFormat="1" outlineLevel="2" x14ac:dyDescent="0.2">
      <c r="B124" s="745" t="s">
        <v>3743</v>
      </c>
      <c r="C124" s="751" t="s">
        <v>2548</v>
      </c>
      <c r="D124" s="752" t="s">
        <v>242</v>
      </c>
      <c r="E124" s="753"/>
      <c r="F124" s="753"/>
      <c r="G124" s="753"/>
      <c r="H124" s="753"/>
      <c r="I124" s="754">
        <f t="shared" si="13"/>
        <v>0</v>
      </c>
      <c r="J124" s="755"/>
      <c r="K124" s="748">
        <f t="shared" si="10"/>
        <v>0</v>
      </c>
      <c r="L124" s="753"/>
      <c r="M124" s="753"/>
      <c r="N124" s="753"/>
      <c r="O124" s="753"/>
      <c r="P124" s="756">
        <f t="shared" si="12"/>
        <v>0</v>
      </c>
      <c r="Q124" s="755"/>
      <c r="R124" s="750">
        <f t="shared" si="11"/>
        <v>0</v>
      </c>
    </row>
    <row r="125" spans="2:18" s="757" customFormat="1" outlineLevel="2" x14ac:dyDescent="0.2">
      <c r="B125" s="745" t="s">
        <v>3744</v>
      </c>
      <c r="C125" s="751" t="s">
        <v>2549</v>
      </c>
      <c r="D125" s="752" t="s">
        <v>242</v>
      </c>
      <c r="E125" s="753"/>
      <c r="F125" s="753"/>
      <c r="G125" s="753"/>
      <c r="H125" s="753"/>
      <c r="I125" s="754">
        <f t="shared" si="13"/>
        <v>0</v>
      </c>
      <c r="J125" s="755"/>
      <c r="K125" s="748">
        <f t="shared" si="10"/>
        <v>0</v>
      </c>
      <c r="L125" s="753"/>
      <c r="M125" s="753"/>
      <c r="N125" s="753"/>
      <c r="O125" s="753"/>
      <c r="P125" s="756">
        <f t="shared" si="12"/>
        <v>0</v>
      </c>
      <c r="Q125" s="755"/>
      <c r="R125" s="750">
        <f t="shared" si="11"/>
        <v>0</v>
      </c>
    </row>
    <row r="126" spans="2:18" s="757" customFormat="1" outlineLevel="2" x14ac:dyDescent="0.2">
      <c r="B126" s="745" t="s">
        <v>3745</v>
      </c>
      <c r="C126" s="751" t="s">
        <v>2550</v>
      </c>
      <c r="D126" s="752" t="s">
        <v>242</v>
      </c>
      <c r="E126" s="753"/>
      <c r="F126" s="753"/>
      <c r="G126" s="753"/>
      <c r="H126" s="753"/>
      <c r="I126" s="754">
        <f t="shared" si="13"/>
        <v>0</v>
      </c>
      <c r="J126" s="755"/>
      <c r="K126" s="748">
        <f t="shared" si="10"/>
        <v>0</v>
      </c>
      <c r="L126" s="753"/>
      <c r="M126" s="753"/>
      <c r="N126" s="753"/>
      <c r="O126" s="753"/>
      <c r="P126" s="756">
        <f t="shared" si="12"/>
        <v>0</v>
      </c>
      <c r="Q126" s="755"/>
      <c r="R126" s="750">
        <f t="shared" si="11"/>
        <v>0</v>
      </c>
    </row>
    <row r="127" spans="2:18" s="757" customFormat="1" outlineLevel="2" x14ac:dyDescent="0.2">
      <c r="B127" s="745" t="s">
        <v>3746</v>
      </c>
      <c r="C127" s="751" t="s">
        <v>2551</v>
      </c>
      <c r="D127" s="752" t="s">
        <v>242</v>
      </c>
      <c r="E127" s="753"/>
      <c r="F127" s="753"/>
      <c r="G127" s="753"/>
      <c r="H127" s="753"/>
      <c r="I127" s="754">
        <f t="shared" si="13"/>
        <v>0</v>
      </c>
      <c r="J127" s="755"/>
      <c r="K127" s="748">
        <f t="shared" si="10"/>
        <v>0</v>
      </c>
      <c r="L127" s="753"/>
      <c r="M127" s="753"/>
      <c r="N127" s="753"/>
      <c r="O127" s="753"/>
      <c r="P127" s="756">
        <f t="shared" si="12"/>
        <v>0</v>
      </c>
      <c r="Q127" s="755"/>
      <c r="R127" s="750">
        <f t="shared" si="11"/>
        <v>0</v>
      </c>
    </row>
    <row r="128" spans="2:18" s="757" customFormat="1" outlineLevel="2" x14ac:dyDescent="0.2">
      <c r="B128" s="745" t="s">
        <v>3747</v>
      </c>
      <c r="C128" s="751" t="s">
        <v>2552</v>
      </c>
      <c r="D128" s="752" t="s">
        <v>242</v>
      </c>
      <c r="E128" s="753"/>
      <c r="F128" s="753"/>
      <c r="G128" s="753"/>
      <c r="H128" s="753"/>
      <c r="I128" s="754">
        <f t="shared" si="13"/>
        <v>0</v>
      </c>
      <c r="J128" s="755"/>
      <c r="K128" s="748">
        <f t="shared" si="10"/>
        <v>0</v>
      </c>
      <c r="L128" s="753"/>
      <c r="M128" s="753"/>
      <c r="N128" s="753"/>
      <c r="O128" s="753"/>
      <c r="P128" s="756">
        <f t="shared" si="12"/>
        <v>0</v>
      </c>
      <c r="Q128" s="755"/>
      <c r="R128" s="750">
        <f t="shared" si="11"/>
        <v>0</v>
      </c>
    </row>
    <row r="129" spans="2:18" s="757" customFormat="1" outlineLevel="2" x14ac:dyDescent="0.2">
      <c r="B129" s="745" t="s">
        <v>3748</v>
      </c>
      <c r="C129" s="751" t="s">
        <v>2553</v>
      </c>
      <c r="D129" s="752" t="s">
        <v>242</v>
      </c>
      <c r="E129" s="753"/>
      <c r="F129" s="753"/>
      <c r="G129" s="753"/>
      <c r="H129" s="753"/>
      <c r="I129" s="754">
        <f t="shared" si="13"/>
        <v>0</v>
      </c>
      <c r="J129" s="755"/>
      <c r="K129" s="748">
        <f t="shared" si="10"/>
        <v>0</v>
      </c>
      <c r="L129" s="753"/>
      <c r="M129" s="753"/>
      <c r="N129" s="753"/>
      <c r="O129" s="753"/>
      <c r="P129" s="756">
        <f t="shared" si="12"/>
        <v>0</v>
      </c>
      <c r="Q129" s="755"/>
      <c r="R129" s="750">
        <f t="shared" si="11"/>
        <v>0</v>
      </c>
    </row>
    <row r="130" spans="2:18" s="757" customFormat="1" outlineLevel="2" x14ac:dyDescent="0.2">
      <c r="B130" s="745" t="s">
        <v>3749</v>
      </c>
      <c r="C130" s="751" t="s">
        <v>2554</v>
      </c>
      <c r="D130" s="752" t="s">
        <v>242</v>
      </c>
      <c r="E130" s="753"/>
      <c r="F130" s="753"/>
      <c r="G130" s="753"/>
      <c r="H130" s="753"/>
      <c r="I130" s="754">
        <f t="shared" si="13"/>
        <v>0</v>
      </c>
      <c r="J130" s="755"/>
      <c r="K130" s="748">
        <f t="shared" si="10"/>
        <v>0</v>
      </c>
      <c r="L130" s="753"/>
      <c r="M130" s="753"/>
      <c r="N130" s="753"/>
      <c r="O130" s="753"/>
      <c r="P130" s="756">
        <f t="shared" si="12"/>
        <v>0</v>
      </c>
      <c r="Q130" s="755"/>
      <c r="R130" s="750">
        <f t="shared" si="11"/>
        <v>0</v>
      </c>
    </row>
    <row r="131" spans="2:18" s="757" customFormat="1" outlineLevel="2" x14ac:dyDescent="0.2">
      <c r="B131" s="745" t="s">
        <v>3750</v>
      </c>
      <c r="C131" s="751" t="s">
        <v>2555</v>
      </c>
      <c r="D131" s="752" t="s">
        <v>242</v>
      </c>
      <c r="E131" s="753"/>
      <c r="F131" s="753"/>
      <c r="G131" s="753"/>
      <c r="H131" s="753"/>
      <c r="I131" s="754">
        <f t="shared" si="13"/>
        <v>0</v>
      </c>
      <c r="J131" s="755"/>
      <c r="K131" s="748">
        <f t="shared" si="10"/>
        <v>0</v>
      </c>
      <c r="L131" s="753"/>
      <c r="M131" s="753"/>
      <c r="N131" s="753"/>
      <c r="O131" s="753"/>
      <c r="P131" s="756">
        <f t="shared" si="12"/>
        <v>0</v>
      </c>
      <c r="Q131" s="755"/>
      <c r="R131" s="750">
        <f t="shared" si="11"/>
        <v>0</v>
      </c>
    </row>
    <row r="132" spans="2:18" s="757" customFormat="1" outlineLevel="2" x14ac:dyDescent="0.2">
      <c r="B132" s="745" t="s">
        <v>3751</v>
      </c>
      <c r="C132" s="751" t="s">
        <v>2556</v>
      </c>
      <c r="D132" s="752" t="s">
        <v>242</v>
      </c>
      <c r="E132" s="753"/>
      <c r="F132" s="753"/>
      <c r="G132" s="753"/>
      <c r="H132" s="753"/>
      <c r="I132" s="754">
        <f t="shared" si="13"/>
        <v>0</v>
      </c>
      <c r="J132" s="755"/>
      <c r="K132" s="748">
        <f t="shared" si="10"/>
        <v>0</v>
      </c>
      <c r="L132" s="753"/>
      <c r="M132" s="753"/>
      <c r="N132" s="753"/>
      <c r="O132" s="753"/>
      <c r="P132" s="756">
        <f t="shared" si="12"/>
        <v>0</v>
      </c>
      <c r="Q132" s="755"/>
      <c r="R132" s="750">
        <f t="shared" si="11"/>
        <v>0</v>
      </c>
    </row>
    <row r="133" spans="2:18" s="757" customFormat="1" outlineLevel="2" x14ac:dyDescent="0.2">
      <c r="B133" s="745" t="s">
        <v>3752</v>
      </c>
      <c r="C133" s="751" t="s">
        <v>2557</v>
      </c>
      <c r="D133" s="752" t="s">
        <v>242</v>
      </c>
      <c r="E133" s="753"/>
      <c r="F133" s="753"/>
      <c r="G133" s="753"/>
      <c r="H133" s="753"/>
      <c r="I133" s="754">
        <f t="shared" si="13"/>
        <v>0</v>
      </c>
      <c r="J133" s="755"/>
      <c r="K133" s="748">
        <f t="shared" si="10"/>
        <v>0</v>
      </c>
      <c r="L133" s="753"/>
      <c r="M133" s="753"/>
      <c r="N133" s="753"/>
      <c r="O133" s="753"/>
      <c r="P133" s="756">
        <f t="shared" si="12"/>
        <v>0</v>
      </c>
      <c r="Q133" s="755"/>
      <c r="R133" s="750">
        <f t="shared" si="11"/>
        <v>0</v>
      </c>
    </row>
    <row r="134" spans="2:18" s="757" customFormat="1" outlineLevel="2" x14ac:dyDescent="0.2">
      <c r="B134" s="745" t="s">
        <v>3753</v>
      </c>
      <c r="C134" s="751" t="s">
        <v>2558</v>
      </c>
      <c r="D134" s="752" t="s">
        <v>242</v>
      </c>
      <c r="E134" s="753"/>
      <c r="F134" s="753"/>
      <c r="G134" s="753"/>
      <c r="H134" s="753"/>
      <c r="I134" s="754">
        <f t="shared" si="13"/>
        <v>0</v>
      </c>
      <c r="J134" s="755"/>
      <c r="K134" s="748">
        <f t="shared" si="10"/>
        <v>0</v>
      </c>
      <c r="L134" s="753"/>
      <c r="M134" s="753"/>
      <c r="N134" s="753"/>
      <c r="O134" s="753"/>
      <c r="P134" s="756">
        <f t="shared" si="12"/>
        <v>0</v>
      </c>
      <c r="Q134" s="755"/>
      <c r="R134" s="750">
        <f t="shared" si="11"/>
        <v>0</v>
      </c>
    </row>
    <row r="135" spans="2:18" s="757" customFormat="1" outlineLevel="2" x14ac:dyDescent="0.2">
      <c r="B135" s="745" t="s">
        <v>3754</v>
      </c>
      <c r="C135" s="751" t="s">
        <v>2559</v>
      </c>
      <c r="D135" s="752" t="s">
        <v>242</v>
      </c>
      <c r="E135" s="753"/>
      <c r="F135" s="753"/>
      <c r="G135" s="753"/>
      <c r="H135" s="753"/>
      <c r="I135" s="754">
        <f t="shared" si="13"/>
        <v>0</v>
      </c>
      <c r="J135" s="755"/>
      <c r="K135" s="748">
        <f t="shared" si="10"/>
        <v>0</v>
      </c>
      <c r="L135" s="753"/>
      <c r="M135" s="753"/>
      <c r="N135" s="753"/>
      <c r="O135" s="753"/>
      <c r="P135" s="756">
        <f t="shared" si="12"/>
        <v>0</v>
      </c>
      <c r="Q135" s="755"/>
      <c r="R135" s="750">
        <f t="shared" si="11"/>
        <v>0</v>
      </c>
    </row>
    <row r="136" spans="2:18" s="744" customFormat="1" x14ac:dyDescent="0.2">
      <c r="B136" s="745" t="s">
        <v>3755</v>
      </c>
      <c r="C136" s="758">
        <v>2</v>
      </c>
      <c r="D136" s="150" t="s">
        <v>243</v>
      </c>
      <c r="E136" s="759">
        <f t="shared" ref="E136:R136" si="14">E137+E158+E179+E200+E221+E242</f>
        <v>0</v>
      </c>
      <c r="F136" s="759">
        <f t="shared" si="14"/>
        <v>0</v>
      </c>
      <c r="G136" s="759">
        <f t="shared" si="14"/>
        <v>0</v>
      </c>
      <c r="H136" s="759">
        <f t="shared" si="14"/>
        <v>0</v>
      </c>
      <c r="I136" s="760">
        <f t="shared" si="14"/>
        <v>0</v>
      </c>
      <c r="J136" s="761">
        <f t="shared" si="14"/>
        <v>0</v>
      </c>
      <c r="K136" s="760">
        <f t="shared" si="14"/>
        <v>0</v>
      </c>
      <c r="L136" s="759">
        <f t="shared" si="14"/>
        <v>0</v>
      </c>
      <c r="M136" s="759">
        <f t="shared" si="14"/>
        <v>0</v>
      </c>
      <c r="N136" s="759">
        <f t="shared" si="14"/>
        <v>0</v>
      </c>
      <c r="O136" s="759">
        <f t="shared" si="14"/>
        <v>0</v>
      </c>
      <c r="P136" s="762">
        <f t="shared" si="14"/>
        <v>0</v>
      </c>
      <c r="Q136" s="761">
        <f t="shared" si="14"/>
        <v>0</v>
      </c>
      <c r="R136" s="763">
        <f t="shared" si="14"/>
        <v>0</v>
      </c>
    </row>
    <row r="137" spans="2:18" s="734" customFormat="1" outlineLevel="1" x14ac:dyDescent="0.2">
      <c r="B137" s="745" t="s">
        <v>3756</v>
      </c>
      <c r="C137" s="746">
        <v>2.1</v>
      </c>
      <c r="D137" s="131" t="s">
        <v>236</v>
      </c>
      <c r="E137" s="747">
        <f>SUM(E138:E157)</f>
        <v>0</v>
      </c>
      <c r="F137" s="747">
        <f>SUM(F138:F157)</f>
        <v>0</v>
      </c>
      <c r="G137" s="747">
        <f>SUM(G138:G157)</f>
        <v>0</v>
      </c>
      <c r="H137" s="747">
        <f>SUM(H138:H157)</f>
        <v>0</v>
      </c>
      <c r="I137" s="748">
        <f t="shared" ref="I137:I200" si="15">SUM(E137:H137)</f>
        <v>0</v>
      </c>
      <c r="J137" s="747">
        <f>SUM(J138:J157)</f>
        <v>0</v>
      </c>
      <c r="K137" s="748">
        <f t="shared" si="10"/>
        <v>0</v>
      </c>
      <c r="L137" s="747">
        <f>SUM(L138:L157)</f>
        <v>0</v>
      </c>
      <c r="M137" s="747">
        <f>SUM(M138:M157)</f>
        <v>0</v>
      </c>
      <c r="N137" s="747">
        <f>SUM(N138:N157)</f>
        <v>0</v>
      </c>
      <c r="O137" s="747">
        <f>SUM(O138:O157)</f>
        <v>0</v>
      </c>
      <c r="P137" s="749">
        <f t="shared" ref="P137:P200" si="16">SUM(L137:O137)</f>
        <v>0</v>
      </c>
      <c r="Q137" s="747">
        <f>SUM(Q138:Q157)</f>
        <v>0</v>
      </c>
      <c r="R137" s="750">
        <f t="shared" ref="R137:R200" si="17">P137-Q137</f>
        <v>0</v>
      </c>
    </row>
    <row r="138" spans="2:18" s="757" customFormat="1" outlineLevel="2" x14ac:dyDescent="0.2">
      <c r="B138" s="745" t="s">
        <v>3757</v>
      </c>
      <c r="C138" s="751" t="s">
        <v>448</v>
      </c>
      <c r="D138" s="752" t="s">
        <v>239</v>
      </c>
      <c r="E138" s="753"/>
      <c r="F138" s="753"/>
      <c r="G138" s="753"/>
      <c r="H138" s="753"/>
      <c r="I138" s="754">
        <f t="shared" si="15"/>
        <v>0</v>
      </c>
      <c r="J138" s="755"/>
      <c r="K138" s="748">
        <f t="shared" si="10"/>
        <v>0</v>
      </c>
      <c r="L138" s="753"/>
      <c r="M138" s="753"/>
      <c r="N138" s="753"/>
      <c r="O138" s="753"/>
      <c r="P138" s="756">
        <f t="shared" si="16"/>
        <v>0</v>
      </c>
      <c r="Q138" s="755"/>
      <c r="R138" s="750">
        <f t="shared" si="17"/>
        <v>0</v>
      </c>
    </row>
    <row r="139" spans="2:18" s="757" customFormat="1" outlineLevel="2" x14ac:dyDescent="0.2">
      <c r="B139" s="745" t="s">
        <v>3758</v>
      </c>
      <c r="C139" s="751" t="s">
        <v>449</v>
      </c>
      <c r="D139" s="752" t="s">
        <v>239</v>
      </c>
      <c r="E139" s="753"/>
      <c r="F139" s="753"/>
      <c r="G139" s="753"/>
      <c r="H139" s="753"/>
      <c r="I139" s="754">
        <f t="shared" si="15"/>
        <v>0</v>
      </c>
      <c r="J139" s="755"/>
      <c r="K139" s="748">
        <f t="shared" ref="K139:K202" si="18">I139-J139</f>
        <v>0</v>
      </c>
      <c r="L139" s="753"/>
      <c r="M139" s="753"/>
      <c r="N139" s="753"/>
      <c r="O139" s="753"/>
      <c r="P139" s="756">
        <f t="shared" si="16"/>
        <v>0</v>
      </c>
      <c r="Q139" s="755"/>
      <c r="R139" s="750">
        <f t="shared" si="17"/>
        <v>0</v>
      </c>
    </row>
    <row r="140" spans="2:18" s="757" customFormat="1" outlineLevel="2" x14ac:dyDescent="0.2">
      <c r="B140" s="745" t="s">
        <v>3759</v>
      </c>
      <c r="C140" s="751" t="s">
        <v>562</v>
      </c>
      <c r="D140" s="752" t="s">
        <v>239</v>
      </c>
      <c r="E140" s="753"/>
      <c r="F140" s="753"/>
      <c r="G140" s="753"/>
      <c r="H140" s="753"/>
      <c r="I140" s="754">
        <f t="shared" si="15"/>
        <v>0</v>
      </c>
      <c r="J140" s="755"/>
      <c r="K140" s="748">
        <f t="shared" si="18"/>
        <v>0</v>
      </c>
      <c r="L140" s="753"/>
      <c r="M140" s="753"/>
      <c r="N140" s="753"/>
      <c r="O140" s="753"/>
      <c r="P140" s="756">
        <f t="shared" si="16"/>
        <v>0</v>
      </c>
      <c r="Q140" s="755"/>
      <c r="R140" s="750">
        <f t="shared" si="17"/>
        <v>0</v>
      </c>
    </row>
    <row r="141" spans="2:18" s="757" customFormat="1" outlineLevel="2" x14ac:dyDescent="0.2">
      <c r="B141" s="745" t="s">
        <v>3760</v>
      </c>
      <c r="C141" s="751" t="s">
        <v>563</v>
      </c>
      <c r="D141" s="752" t="s">
        <v>239</v>
      </c>
      <c r="E141" s="753"/>
      <c r="F141" s="753"/>
      <c r="G141" s="753"/>
      <c r="H141" s="753"/>
      <c r="I141" s="754">
        <f t="shared" si="15"/>
        <v>0</v>
      </c>
      <c r="J141" s="755"/>
      <c r="K141" s="748">
        <f t="shared" si="18"/>
        <v>0</v>
      </c>
      <c r="L141" s="753"/>
      <c r="M141" s="753"/>
      <c r="N141" s="753"/>
      <c r="O141" s="753"/>
      <c r="P141" s="756">
        <f t="shared" si="16"/>
        <v>0</v>
      </c>
      <c r="Q141" s="755"/>
      <c r="R141" s="750">
        <f t="shared" si="17"/>
        <v>0</v>
      </c>
    </row>
    <row r="142" spans="2:18" s="757" customFormat="1" outlineLevel="2" x14ac:dyDescent="0.2">
      <c r="B142" s="745" t="s">
        <v>3761</v>
      </c>
      <c r="C142" s="751" t="s">
        <v>564</v>
      </c>
      <c r="D142" s="752" t="s">
        <v>239</v>
      </c>
      <c r="E142" s="753"/>
      <c r="F142" s="753"/>
      <c r="G142" s="753"/>
      <c r="H142" s="753"/>
      <c r="I142" s="754">
        <f t="shared" si="15"/>
        <v>0</v>
      </c>
      <c r="J142" s="755"/>
      <c r="K142" s="748">
        <f t="shared" si="18"/>
        <v>0</v>
      </c>
      <c r="L142" s="753"/>
      <c r="M142" s="753"/>
      <c r="N142" s="753"/>
      <c r="O142" s="753"/>
      <c r="P142" s="756">
        <f t="shared" si="16"/>
        <v>0</v>
      </c>
      <c r="Q142" s="755"/>
      <c r="R142" s="750">
        <f t="shared" si="17"/>
        <v>0</v>
      </c>
    </row>
    <row r="143" spans="2:18" s="757" customFormat="1" outlineLevel="2" x14ac:dyDescent="0.2">
      <c r="B143" s="745" t="s">
        <v>3762</v>
      </c>
      <c r="C143" s="751" t="s">
        <v>565</v>
      </c>
      <c r="D143" s="752" t="s">
        <v>239</v>
      </c>
      <c r="E143" s="753"/>
      <c r="F143" s="753"/>
      <c r="G143" s="753"/>
      <c r="H143" s="753"/>
      <c r="I143" s="754">
        <f t="shared" si="15"/>
        <v>0</v>
      </c>
      <c r="J143" s="755"/>
      <c r="K143" s="748">
        <f t="shared" si="18"/>
        <v>0</v>
      </c>
      <c r="L143" s="753"/>
      <c r="M143" s="753"/>
      <c r="N143" s="753"/>
      <c r="O143" s="753"/>
      <c r="P143" s="756">
        <f t="shared" si="16"/>
        <v>0</v>
      </c>
      <c r="Q143" s="755"/>
      <c r="R143" s="750">
        <f t="shared" si="17"/>
        <v>0</v>
      </c>
    </row>
    <row r="144" spans="2:18" s="757" customFormat="1" outlineLevel="2" x14ac:dyDescent="0.2">
      <c r="B144" s="745" t="s">
        <v>3763</v>
      </c>
      <c r="C144" s="751" t="s">
        <v>566</v>
      </c>
      <c r="D144" s="752" t="s">
        <v>239</v>
      </c>
      <c r="E144" s="753"/>
      <c r="F144" s="753"/>
      <c r="G144" s="753"/>
      <c r="H144" s="753"/>
      <c r="I144" s="754">
        <f t="shared" si="15"/>
        <v>0</v>
      </c>
      <c r="J144" s="755"/>
      <c r="K144" s="748">
        <f t="shared" si="18"/>
        <v>0</v>
      </c>
      <c r="L144" s="753"/>
      <c r="M144" s="753"/>
      <c r="N144" s="753"/>
      <c r="O144" s="753"/>
      <c r="P144" s="756">
        <f t="shared" si="16"/>
        <v>0</v>
      </c>
      <c r="Q144" s="755"/>
      <c r="R144" s="750">
        <f t="shared" si="17"/>
        <v>0</v>
      </c>
    </row>
    <row r="145" spans="2:18" s="757" customFormat="1" outlineLevel="2" x14ac:dyDescent="0.2">
      <c r="B145" s="745" t="s">
        <v>3764</v>
      </c>
      <c r="C145" s="751" t="s">
        <v>567</v>
      </c>
      <c r="D145" s="752" t="s">
        <v>239</v>
      </c>
      <c r="E145" s="753"/>
      <c r="F145" s="753"/>
      <c r="G145" s="753"/>
      <c r="H145" s="753"/>
      <c r="I145" s="754">
        <f t="shared" si="15"/>
        <v>0</v>
      </c>
      <c r="J145" s="755"/>
      <c r="K145" s="748">
        <f t="shared" si="18"/>
        <v>0</v>
      </c>
      <c r="L145" s="753"/>
      <c r="M145" s="753"/>
      <c r="N145" s="753"/>
      <c r="O145" s="753"/>
      <c r="P145" s="756">
        <f t="shared" si="16"/>
        <v>0</v>
      </c>
      <c r="Q145" s="755"/>
      <c r="R145" s="750">
        <f t="shared" si="17"/>
        <v>0</v>
      </c>
    </row>
    <row r="146" spans="2:18" s="757" customFormat="1" outlineLevel="2" x14ac:dyDescent="0.2">
      <c r="B146" s="745" t="s">
        <v>3765</v>
      </c>
      <c r="C146" s="751" t="s">
        <v>568</v>
      </c>
      <c r="D146" s="752" t="s">
        <v>239</v>
      </c>
      <c r="E146" s="753"/>
      <c r="F146" s="753"/>
      <c r="G146" s="753"/>
      <c r="H146" s="753"/>
      <c r="I146" s="754">
        <f t="shared" si="15"/>
        <v>0</v>
      </c>
      <c r="J146" s="755"/>
      <c r="K146" s="748">
        <f t="shared" si="18"/>
        <v>0</v>
      </c>
      <c r="L146" s="753"/>
      <c r="M146" s="753"/>
      <c r="N146" s="753"/>
      <c r="O146" s="753"/>
      <c r="P146" s="756">
        <f t="shared" si="16"/>
        <v>0</v>
      </c>
      <c r="Q146" s="755"/>
      <c r="R146" s="750">
        <f t="shared" si="17"/>
        <v>0</v>
      </c>
    </row>
    <row r="147" spans="2:18" s="757" customFormat="1" outlineLevel="2" x14ac:dyDescent="0.2">
      <c r="B147" s="745" t="s">
        <v>3766</v>
      </c>
      <c r="C147" s="751" t="s">
        <v>569</v>
      </c>
      <c r="D147" s="752" t="s">
        <v>239</v>
      </c>
      <c r="E147" s="753"/>
      <c r="F147" s="753"/>
      <c r="G147" s="753"/>
      <c r="H147" s="753"/>
      <c r="I147" s="754">
        <f t="shared" si="15"/>
        <v>0</v>
      </c>
      <c r="J147" s="755"/>
      <c r="K147" s="748">
        <f t="shared" si="18"/>
        <v>0</v>
      </c>
      <c r="L147" s="753"/>
      <c r="M147" s="753"/>
      <c r="N147" s="753"/>
      <c r="O147" s="753"/>
      <c r="P147" s="756">
        <f t="shared" si="16"/>
        <v>0</v>
      </c>
      <c r="Q147" s="755"/>
      <c r="R147" s="750">
        <f t="shared" si="17"/>
        <v>0</v>
      </c>
    </row>
    <row r="148" spans="2:18" s="757" customFormat="1" outlineLevel="2" x14ac:dyDescent="0.2">
      <c r="B148" s="745" t="s">
        <v>3767</v>
      </c>
      <c r="C148" s="751" t="s">
        <v>570</v>
      </c>
      <c r="D148" s="752" t="s">
        <v>239</v>
      </c>
      <c r="E148" s="753"/>
      <c r="F148" s="753"/>
      <c r="G148" s="753"/>
      <c r="H148" s="753"/>
      <c r="I148" s="754">
        <f t="shared" si="15"/>
        <v>0</v>
      </c>
      <c r="J148" s="755"/>
      <c r="K148" s="748">
        <f t="shared" si="18"/>
        <v>0</v>
      </c>
      <c r="L148" s="753"/>
      <c r="M148" s="753"/>
      <c r="N148" s="753"/>
      <c r="O148" s="753"/>
      <c r="P148" s="756">
        <f t="shared" si="16"/>
        <v>0</v>
      </c>
      <c r="Q148" s="755"/>
      <c r="R148" s="750">
        <f t="shared" si="17"/>
        <v>0</v>
      </c>
    </row>
    <row r="149" spans="2:18" s="757" customFormat="1" outlineLevel="2" x14ac:dyDescent="0.2">
      <c r="B149" s="745" t="s">
        <v>3768</v>
      </c>
      <c r="C149" s="751" t="s">
        <v>571</v>
      </c>
      <c r="D149" s="752" t="s">
        <v>239</v>
      </c>
      <c r="E149" s="753"/>
      <c r="F149" s="753"/>
      <c r="G149" s="753"/>
      <c r="H149" s="753"/>
      <c r="I149" s="754">
        <f t="shared" si="15"/>
        <v>0</v>
      </c>
      <c r="J149" s="755"/>
      <c r="K149" s="748">
        <f t="shared" si="18"/>
        <v>0</v>
      </c>
      <c r="L149" s="753"/>
      <c r="M149" s="753"/>
      <c r="N149" s="753"/>
      <c r="O149" s="753"/>
      <c r="P149" s="756">
        <f t="shared" si="16"/>
        <v>0</v>
      </c>
      <c r="Q149" s="755"/>
      <c r="R149" s="750">
        <f t="shared" si="17"/>
        <v>0</v>
      </c>
    </row>
    <row r="150" spans="2:18" s="757" customFormat="1" outlineLevel="2" x14ac:dyDescent="0.2">
      <c r="B150" s="745" t="s">
        <v>3769</v>
      </c>
      <c r="C150" s="751" t="s">
        <v>572</v>
      </c>
      <c r="D150" s="752" t="s">
        <v>239</v>
      </c>
      <c r="E150" s="753"/>
      <c r="F150" s="753"/>
      <c r="G150" s="753"/>
      <c r="H150" s="753"/>
      <c r="I150" s="754">
        <f t="shared" si="15"/>
        <v>0</v>
      </c>
      <c r="J150" s="755"/>
      <c r="K150" s="748">
        <f t="shared" si="18"/>
        <v>0</v>
      </c>
      <c r="L150" s="753"/>
      <c r="M150" s="753"/>
      <c r="N150" s="753"/>
      <c r="O150" s="753"/>
      <c r="P150" s="756">
        <f t="shared" si="16"/>
        <v>0</v>
      </c>
      <c r="Q150" s="755"/>
      <c r="R150" s="750">
        <f t="shared" si="17"/>
        <v>0</v>
      </c>
    </row>
    <row r="151" spans="2:18" s="757" customFormat="1" outlineLevel="2" x14ac:dyDescent="0.2">
      <c r="B151" s="745" t="s">
        <v>3770</v>
      </c>
      <c r="C151" s="751" t="s">
        <v>573</v>
      </c>
      <c r="D151" s="752" t="s">
        <v>239</v>
      </c>
      <c r="E151" s="753"/>
      <c r="F151" s="753"/>
      <c r="G151" s="753"/>
      <c r="H151" s="753"/>
      <c r="I151" s="754">
        <f t="shared" si="15"/>
        <v>0</v>
      </c>
      <c r="J151" s="755"/>
      <c r="K151" s="748">
        <f t="shared" si="18"/>
        <v>0</v>
      </c>
      <c r="L151" s="753"/>
      <c r="M151" s="753"/>
      <c r="N151" s="753"/>
      <c r="O151" s="753"/>
      <c r="P151" s="756">
        <f t="shared" si="16"/>
        <v>0</v>
      </c>
      <c r="Q151" s="755"/>
      <c r="R151" s="750">
        <f t="shared" si="17"/>
        <v>0</v>
      </c>
    </row>
    <row r="152" spans="2:18" s="757" customFormat="1" outlineLevel="2" x14ac:dyDescent="0.2">
      <c r="B152" s="745" t="s">
        <v>3771</v>
      </c>
      <c r="C152" s="751" t="s">
        <v>574</v>
      </c>
      <c r="D152" s="752" t="s">
        <v>239</v>
      </c>
      <c r="E152" s="753"/>
      <c r="F152" s="753"/>
      <c r="G152" s="753"/>
      <c r="H152" s="753"/>
      <c r="I152" s="754">
        <f t="shared" si="15"/>
        <v>0</v>
      </c>
      <c r="J152" s="755"/>
      <c r="K152" s="748">
        <f t="shared" si="18"/>
        <v>0</v>
      </c>
      <c r="L152" s="753"/>
      <c r="M152" s="753"/>
      <c r="N152" s="753"/>
      <c r="O152" s="753"/>
      <c r="P152" s="756">
        <f t="shared" si="16"/>
        <v>0</v>
      </c>
      <c r="Q152" s="755"/>
      <c r="R152" s="750">
        <f t="shared" si="17"/>
        <v>0</v>
      </c>
    </row>
    <row r="153" spans="2:18" s="757" customFormat="1" outlineLevel="2" x14ac:dyDescent="0.2">
      <c r="B153" s="745" t="s">
        <v>3772</v>
      </c>
      <c r="C153" s="751" t="s">
        <v>575</v>
      </c>
      <c r="D153" s="752" t="s">
        <v>239</v>
      </c>
      <c r="E153" s="753"/>
      <c r="F153" s="753"/>
      <c r="G153" s="753"/>
      <c r="H153" s="753"/>
      <c r="I153" s="754">
        <f t="shared" si="15"/>
        <v>0</v>
      </c>
      <c r="J153" s="755"/>
      <c r="K153" s="748">
        <f t="shared" si="18"/>
        <v>0</v>
      </c>
      <c r="L153" s="753"/>
      <c r="M153" s="753"/>
      <c r="N153" s="753"/>
      <c r="O153" s="753"/>
      <c r="P153" s="756">
        <f t="shared" si="16"/>
        <v>0</v>
      </c>
      <c r="Q153" s="755"/>
      <c r="R153" s="750">
        <f t="shared" si="17"/>
        <v>0</v>
      </c>
    </row>
    <row r="154" spans="2:18" s="757" customFormat="1" outlineLevel="2" x14ac:dyDescent="0.2">
      <c r="B154" s="745" t="s">
        <v>3773</v>
      </c>
      <c r="C154" s="751" t="s">
        <v>576</v>
      </c>
      <c r="D154" s="752" t="s">
        <v>239</v>
      </c>
      <c r="E154" s="753"/>
      <c r="F154" s="753"/>
      <c r="G154" s="753"/>
      <c r="H154" s="753"/>
      <c r="I154" s="754">
        <f t="shared" si="15"/>
        <v>0</v>
      </c>
      <c r="J154" s="755"/>
      <c r="K154" s="748">
        <f t="shared" si="18"/>
        <v>0</v>
      </c>
      <c r="L154" s="753"/>
      <c r="M154" s="753"/>
      <c r="N154" s="753"/>
      <c r="O154" s="753"/>
      <c r="P154" s="756">
        <f t="shared" si="16"/>
        <v>0</v>
      </c>
      <c r="Q154" s="755"/>
      <c r="R154" s="750">
        <f t="shared" si="17"/>
        <v>0</v>
      </c>
    </row>
    <row r="155" spans="2:18" s="757" customFormat="1" outlineLevel="2" x14ac:dyDescent="0.2">
      <c r="B155" s="745" t="s">
        <v>3774</v>
      </c>
      <c r="C155" s="751" t="s">
        <v>577</v>
      </c>
      <c r="D155" s="752" t="s">
        <v>239</v>
      </c>
      <c r="E155" s="753"/>
      <c r="F155" s="753"/>
      <c r="G155" s="753"/>
      <c r="H155" s="753"/>
      <c r="I155" s="754">
        <f t="shared" si="15"/>
        <v>0</v>
      </c>
      <c r="J155" s="755"/>
      <c r="K155" s="748">
        <f t="shared" si="18"/>
        <v>0</v>
      </c>
      <c r="L155" s="753"/>
      <c r="M155" s="753"/>
      <c r="N155" s="753"/>
      <c r="O155" s="753"/>
      <c r="P155" s="756">
        <f t="shared" si="16"/>
        <v>0</v>
      </c>
      <c r="Q155" s="755"/>
      <c r="R155" s="750">
        <f t="shared" si="17"/>
        <v>0</v>
      </c>
    </row>
    <row r="156" spans="2:18" s="757" customFormat="1" outlineLevel="2" x14ac:dyDescent="0.2">
      <c r="B156" s="745" t="s">
        <v>3775</v>
      </c>
      <c r="C156" s="751" t="s">
        <v>578</v>
      </c>
      <c r="D156" s="752" t="s">
        <v>239</v>
      </c>
      <c r="E156" s="753"/>
      <c r="F156" s="753"/>
      <c r="G156" s="753"/>
      <c r="H156" s="753"/>
      <c r="I156" s="754">
        <f t="shared" si="15"/>
        <v>0</v>
      </c>
      <c r="J156" s="755"/>
      <c r="K156" s="748">
        <f t="shared" si="18"/>
        <v>0</v>
      </c>
      <c r="L156" s="753"/>
      <c r="M156" s="753"/>
      <c r="N156" s="753"/>
      <c r="O156" s="753"/>
      <c r="P156" s="756">
        <f t="shared" si="16"/>
        <v>0</v>
      </c>
      <c r="Q156" s="755"/>
      <c r="R156" s="750">
        <f t="shared" si="17"/>
        <v>0</v>
      </c>
    </row>
    <row r="157" spans="2:18" s="757" customFormat="1" outlineLevel="2" x14ac:dyDescent="0.2">
      <c r="B157" s="745" t="s">
        <v>3776</v>
      </c>
      <c r="C157" s="751" t="s">
        <v>579</v>
      </c>
      <c r="D157" s="752" t="s">
        <v>239</v>
      </c>
      <c r="E157" s="753"/>
      <c r="F157" s="753"/>
      <c r="G157" s="753"/>
      <c r="H157" s="753"/>
      <c r="I157" s="754">
        <f t="shared" si="15"/>
        <v>0</v>
      </c>
      <c r="J157" s="755"/>
      <c r="K157" s="748">
        <f t="shared" si="18"/>
        <v>0</v>
      </c>
      <c r="L157" s="753"/>
      <c r="M157" s="753"/>
      <c r="N157" s="753"/>
      <c r="O157" s="753"/>
      <c r="P157" s="756">
        <f t="shared" si="16"/>
        <v>0</v>
      </c>
      <c r="Q157" s="755"/>
      <c r="R157" s="750">
        <f t="shared" si="17"/>
        <v>0</v>
      </c>
    </row>
    <row r="158" spans="2:18" s="734" customFormat="1" outlineLevel="1" x14ac:dyDescent="0.2">
      <c r="B158" s="745" t="s">
        <v>3777</v>
      </c>
      <c r="C158" s="746">
        <v>2.2000000000000002</v>
      </c>
      <c r="D158" s="131" t="s">
        <v>2780</v>
      </c>
      <c r="E158" s="747">
        <f>SUM(E159:E178)</f>
        <v>0</v>
      </c>
      <c r="F158" s="747">
        <f>SUM(F159:F178)</f>
        <v>0</v>
      </c>
      <c r="G158" s="747">
        <f>SUM(G159:G178)</f>
        <v>0</v>
      </c>
      <c r="H158" s="747">
        <f>SUM(H159:H178)</f>
        <v>0</v>
      </c>
      <c r="I158" s="748">
        <f t="shared" si="15"/>
        <v>0</v>
      </c>
      <c r="J158" s="747">
        <f>SUM(J159:J178)</f>
        <v>0</v>
      </c>
      <c r="K158" s="748">
        <f t="shared" si="18"/>
        <v>0</v>
      </c>
      <c r="L158" s="747">
        <f>SUM(L159:L178)</f>
        <v>0</v>
      </c>
      <c r="M158" s="747">
        <f>SUM(M159:M178)</f>
        <v>0</v>
      </c>
      <c r="N158" s="747">
        <f>SUM(N159:N178)</f>
        <v>0</v>
      </c>
      <c r="O158" s="747">
        <f>SUM(O159:O178)</f>
        <v>0</v>
      </c>
      <c r="P158" s="749">
        <f t="shared" si="16"/>
        <v>0</v>
      </c>
      <c r="Q158" s="747">
        <f>SUM(Q159:Q178)</f>
        <v>0</v>
      </c>
      <c r="R158" s="750">
        <f t="shared" si="17"/>
        <v>0</v>
      </c>
    </row>
    <row r="159" spans="2:18" s="757" customFormat="1" outlineLevel="2" x14ac:dyDescent="0.2">
      <c r="B159" s="745" t="s">
        <v>3778</v>
      </c>
      <c r="C159" s="751" t="s">
        <v>580</v>
      </c>
      <c r="D159" s="752" t="s">
        <v>239</v>
      </c>
      <c r="E159" s="753"/>
      <c r="F159" s="753"/>
      <c r="G159" s="753"/>
      <c r="H159" s="753"/>
      <c r="I159" s="754">
        <f t="shared" si="15"/>
        <v>0</v>
      </c>
      <c r="J159" s="753"/>
      <c r="K159" s="748">
        <f t="shared" si="18"/>
        <v>0</v>
      </c>
      <c r="L159" s="753"/>
      <c r="M159" s="753"/>
      <c r="N159" s="753"/>
      <c r="O159" s="753"/>
      <c r="P159" s="756">
        <f t="shared" si="16"/>
        <v>0</v>
      </c>
      <c r="Q159" s="753"/>
      <c r="R159" s="750">
        <f t="shared" si="17"/>
        <v>0</v>
      </c>
    </row>
    <row r="160" spans="2:18" s="757" customFormat="1" outlineLevel="2" x14ac:dyDescent="0.2">
      <c r="B160" s="745" t="s">
        <v>3779</v>
      </c>
      <c r="C160" s="751" t="s">
        <v>581</v>
      </c>
      <c r="D160" s="752" t="s">
        <v>239</v>
      </c>
      <c r="E160" s="753"/>
      <c r="F160" s="753"/>
      <c r="G160" s="753"/>
      <c r="H160" s="753"/>
      <c r="I160" s="754">
        <f t="shared" si="15"/>
        <v>0</v>
      </c>
      <c r="J160" s="753"/>
      <c r="K160" s="748">
        <f t="shared" si="18"/>
        <v>0</v>
      </c>
      <c r="L160" s="753"/>
      <c r="M160" s="753"/>
      <c r="N160" s="753"/>
      <c r="O160" s="753"/>
      <c r="P160" s="756">
        <f t="shared" si="16"/>
        <v>0</v>
      </c>
      <c r="Q160" s="753"/>
      <c r="R160" s="750">
        <f t="shared" si="17"/>
        <v>0</v>
      </c>
    </row>
    <row r="161" spans="2:18" s="757" customFormat="1" outlineLevel="2" x14ac:dyDescent="0.2">
      <c r="B161" s="745" t="s">
        <v>3780</v>
      </c>
      <c r="C161" s="751" t="s">
        <v>582</v>
      </c>
      <c r="D161" s="752" t="s">
        <v>239</v>
      </c>
      <c r="E161" s="753"/>
      <c r="F161" s="753"/>
      <c r="G161" s="753"/>
      <c r="H161" s="753"/>
      <c r="I161" s="754">
        <f t="shared" si="15"/>
        <v>0</v>
      </c>
      <c r="J161" s="753"/>
      <c r="K161" s="748">
        <f t="shared" si="18"/>
        <v>0</v>
      </c>
      <c r="L161" s="753"/>
      <c r="M161" s="753"/>
      <c r="N161" s="753"/>
      <c r="O161" s="753"/>
      <c r="P161" s="756">
        <f t="shared" si="16"/>
        <v>0</v>
      </c>
      <c r="Q161" s="753"/>
      <c r="R161" s="750">
        <f t="shared" si="17"/>
        <v>0</v>
      </c>
    </row>
    <row r="162" spans="2:18" s="757" customFormat="1" outlineLevel="2" x14ac:dyDescent="0.2">
      <c r="B162" s="745" t="s">
        <v>3781</v>
      </c>
      <c r="C162" s="751" t="s">
        <v>583</v>
      </c>
      <c r="D162" s="752" t="s">
        <v>239</v>
      </c>
      <c r="E162" s="753"/>
      <c r="F162" s="753"/>
      <c r="G162" s="753"/>
      <c r="H162" s="753"/>
      <c r="I162" s="754">
        <f t="shared" si="15"/>
        <v>0</v>
      </c>
      <c r="J162" s="753"/>
      <c r="K162" s="748">
        <f t="shared" si="18"/>
        <v>0</v>
      </c>
      <c r="L162" s="753"/>
      <c r="M162" s="753"/>
      <c r="N162" s="753"/>
      <c r="O162" s="753"/>
      <c r="P162" s="756">
        <f t="shared" si="16"/>
        <v>0</v>
      </c>
      <c r="Q162" s="753"/>
      <c r="R162" s="750">
        <f t="shared" si="17"/>
        <v>0</v>
      </c>
    </row>
    <row r="163" spans="2:18" s="757" customFormat="1" outlineLevel="2" x14ac:dyDescent="0.2">
      <c r="B163" s="745" t="s">
        <v>3782</v>
      </c>
      <c r="C163" s="751" t="s">
        <v>584</v>
      </c>
      <c r="D163" s="752" t="s">
        <v>239</v>
      </c>
      <c r="E163" s="753"/>
      <c r="F163" s="753"/>
      <c r="G163" s="753"/>
      <c r="H163" s="753"/>
      <c r="I163" s="754">
        <f t="shared" si="15"/>
        <v>0</v>
      </c>
      <c r="J163" s="753"/>
      <c r="K163" s="748">
        <f t="shared" si="18"/>
        <v>0</v>
      </c>
      <c r="L163" s="753"/>
      <c r="M163" s="753"/>
      <c r="N163" s="753"/>
      <c r="O163" s="753"/>
      <c r="P163" s="756">
        <f t="shared" si="16"/>
        <v>0</v>
      </c>
      <c r="Q163" s="753"/>
      <c r="R163" s="750">
        <f t="shared" si="17"/>
        <v>0</v>
      </c>
    </row>
    <row r="164" spans="2:18" s="757" customFormat="1" outlineLevel="2" x14ac:dyDescent="0.2">
      <c r="B164" s="745" t="s">
        <v>3783</v>
      </c>
      <c r="C164" s="751" t="s">
        <v>585</v>
      </c>
      <c r="D164" s="752" t="s">
        <v>239</v>
      </c>
      <c r="E164" s="753"/>
      <c r="F164" s="753"/>
      <c r="G164" s="753"/>
      <c r="H164" s="753"/>
      <c r="I164" s="754">
        <f t="shared" si="15"/>
        <v>0</v>
      </c>
      <c r="J164" s="753"/>
      <c r="K164" s="748">
        <f t="shared" si="18"/>
        <v>0</v>
      </c>
      <c r="L164" s="753"/>
      <c r="M164" s="753"/>
      <c r="N164" s="753"/>
      <c r="O164" s="753"/>
      <c r="P164" s="756">
        <f t="shared" si="16"/>
        <v>0</v>
      </c>
      <c r="Q164" s="753"/>
      <c r="R164" s="750">
        <f t="shared" si="17"/>
        <v>0</v>
      </c>
    </row>
    <row r="165" spans="2:18" s="757" customFormat="1" outlineLevel="2" x14ac:dyDescent="0.2">
      <c r="B165" s="745" t="s">
        <v>3784</v>
      </c>
      <c r="C165" s="751" t="s">
        <v>586</v>
      </c>
      <c r="D165" s="752" t="s">
        <v>239</v>
      </c>
      <c r="E165" s="753"/>
      <c r="F165" s="753"/>
      <c r="G165" s="753"/>
      <c r="H165" s="753"/>
      <c r="I165" s="754">
        <f t="shared" si="15"/>
        <v>0</v>
      </c>
      <c r="J165" s="753"/>
      <c r="K165" s="748">
        <f t="shared" si="18"/>
        <v>0</v>
      </c>
      <c r="L165" s="753"/>
      <c r="M165" s="753"/>
      <c r="N165" s="753"/>
      <c r="O165" s="753"/>
      <c r="P165" s="756">
        <f t="shared" si="16"/>
        <v>0</v>
      </c>
      <c r="Q165" s="753"/>
      <c r="R165" s="750">
        <f t="shared" si="17"/>
        <v>0</v>
      </c>
    </row>
    <row r="166" spans="2:18" s="757" customFormat="1" outlineLevel="2" x14ac:dyDescent="0.2">
      <c r="B166" s="745" t="s">
        <v>3785</v>
      </c>
      <c r="C166" s="751" t="s">
        <v>587</v>
      </c>
      <c r="D166" s="752" t="s">
        <v>239</v>
      </c>
      <c r="E166" s="753"/>
      <c r="F166" s="753"/>
      <c r="G166" s="753"/>
      <c r="H166" s="753"/>
      <c r="I166" s="754">
        <f t="shared" si="15"/>
        <v>0</v>
      </c>
      <c r="J166" s="753"/>
      <c r="K166" s="748">
        <f t="shared" si="18"/>
        <v>0</v>
      </c>
      <c r="L166" s="753"/>
      <c r="M166" s="753"/>
      <c r="N166" s="753"/>
      <c r="O166" s="753"/>
      <c r="P166" s="756">
        <f t="shared" si="16"/>
        <v>0</v>
      </c>
      <c r="Q166" s="753"/>
      <c r="R166" s="750">
        <f t="shared" si="17"/>
        <v>0</v>
      </c>
    </row>
    <row r="167" spans="2:18" s="757" customFormat="1" outlineLevel="2" x14ac:dyDescent="0.2">
      <c r="B167" s="745" t="s">
        <v>3786</v>
      </c>
      <c r="C167" s="751" t="s">
        <v>588</v>
      </c>
      <c r="D167" s="752" t="s">
        <v>239</v>
      </c>
      <c r="E167" s="753"/>
      <c r="F167" s="753"/>
      <c r="G167" s="753"/>
      <c r="H167" s="753"/>
      <c r="I167" s="754">
        <f t="shared" si="15"/>
        <v>0</v>
      </c>
      <c r="J167" s="753"/>
      <c r="K167" s="748">
        <f t="shared" si="18"/>
        <v>0</v>
      </c>
      <c r="L167" s="753"/>
      <c r="M167" s="753"/>
      <c r="N167" s="753"/>
      <c r="O167" s="753"/>
      <c r="P167" s="756">
        <f t="shared" si="16"/>
        <v>0</v>
      </c>
      <c r="Q167" s="753"/>
      <c r="R167" s="750">
        <f t="shared" si="17"/>
        <v>0</v>
      </c>
    </row>
    <row r="168" spans="2:18" s="757" customFormat="1" outlineLevel="2" x14ac:dyDescent="0.2">
      <c r="B168" s="745" t="s">
        <v>3787</v>
      </c>
      <c r="C168" s="751" t="s">
        <v>589</v>
      </c>
      <c r="D168" s="752" t="s">
        <v>239</v>
      </c>
      <c r="E168" s="753"/>
      <c r="F168" s="753"/>
      <c r="G168" s="753"/>
      <c r="H168" s="753"/>
      <c r="I168" s="754">
        <f t="shared" si="15"/>
        <v>0</v>
      </c>
      <c r="J168" s="753"/>
      <c r="K168" s="748">
        <f t="shared" si="18"/>
        <v>0</v>
      </c>
      <c r="L168" s="753"/>
      <c r="M168" s="753"/>
      <c r="N168" s="753"/>
      <c r="O168" s="753"/>
      <c r="P168" s="756">
        <f t="shared" si="16"/>
        <v>0</v>
      </c>
      <c r="Q168" s="753"/>
      <c r="R168" s="750">
        <f t="shared" si="17"/>
        <v>0</v>
      </c>
    </row>
    <row r="169" spans="2:18" s="757" customFormat="1" outlineLevel="2" x14ac:dyDescent="0.2">
      <c r="B169" s="745" t="s">
        <v>3788</v>
      </c>
      <c r="C169" s="751" t="s">
        <v>590</v>
      </c>
      <c r="D169" s="752" t="s">
        <v>239</v>
      </c>
      <c r="E169" s="753"/>
      <c r="F169" s="753"/>
      <c r="G169" s="753"/>
      <c r="H169" s="753"/>
      <c r="I169" s="754">
        <f t="shared" si="15"/>
        <v>0</v>
      </c>
      <c r="J169" s="753"/>
      <c r="K169" s="748">
        <f t="shared" si="18"/>
        <v>0</v>
      </c>
      <c r="L169" s="753"/>
      <c r="M169" s="753"/>
      <c r="N169" s="753"/>
      <c r="O169" s="753"/>
      <c r="P169" s="756">
        <f t="shared" si="16"/>
        <v>0</v>
      </c>
      <c r="Q169" s="753"/>
      <c r="R169" s="750">
        <f t="shared" si="17"/>
        <v>0</v>
      </c>
    </row>
    <row r="170" spans="2:18" s="757" customFormat="1" outlineLevel="2" x14ac:dyDescent="0.2">
      <c r="B170" s="745" t="s">
        <v>3789</v>
      </c>
      <c r="C170" s="751" t="s">
        <v>591</v>
      </c>
      <c r="D170" s="752" t="s">
        <v>239</v>
      </c>
      <c r="E170" s="753"/>
      <c r="F170" s="753"/>
      <c r="G170" s="753"/>
      <c r="H170" s="753"/>
      <c r="I170" s="754">
        <f t="shared" si="15"/>
        <v>0</v>
      </c>
      <c r="J170" s="753"/>
      <c r="K170" s="748">
        <f t="shared" si="18"/>
        <v>0</v>
      </c>
      <c r="L170" s="753"/>
      <c r="M170" s="753"/>
      <c r="N170" s="753"/>
      <c r="O170" s="753"/>
      <c r="P170" s="756">
        <f t="shared" si="16"/>
        <v>0</v>
      </c>
      <c r="Q170" s="753"/>
      <c r="R170" s="750">
        <f t="shared" si="17"/>
        <v>0</v>
      </c>
    </row>
    <row r="171" spans="2:18" s="757" customFormat="1" outlineLevel="2" x14ac:dyDescent="0.2">
      <c r="B171" s="745" t="s">
        <v>3790</v>
      </c>
      <c r="C171" s="751" t="s">
        <v>592</v>
      </c>
      <c r="D171" s="752" t="s">
        <v>239</v>
      </c>
      <c r="E171" s="753"/>
      <c r="F171" s="753"/>
      <c r="G171" s="753"/>
      <c r="H171" s="753"/>
      <c r="I171" s="754">
        <f t="shared" si="15"/>
        <v>0</v>
      </c>
      <c r="J171" s="753"/>
      <c r="K171" s="748">
        <f t="shared" si="18"/>
        <v>0</v>
      </c>
      <c r="L171" s="753"/>
      <c r="M171" s="753"/>
      <c r="N171" s="753"/>
      <c r="O171" s="753"/>
      <c r="P171" s="756">
        <f t="shared" si="16"/>
        <v>0</v>
      </c>
      <c r="Q171" s="753"/>
      <c r="R171" s="750">
        <f t="shared" si="17"/>
        <v>0</v>
      </c>
    </row>
    <row r="172" spans="2:18" s="757" customFormat="1" outlineLevel="2" x14ac:dyDescent="0.2">
      <c r="B172" s="745" t="s">
        <v>3791</v>
      </c>
      <c r="C172" s="751" t="s">
        <v>593</v>
      </c>
      <c r="D172" s="752" t="s">
        <v>239</v>
      </c>
      <c r="E172" s="753"/>
      <c r="F172" s="753"/>
      <c r="G172" s="753"/>
      <c r="H172" s="753"/>
      <c r="I172" s="754">
        <f t="shared" si="15"/>
        <v>0</v>
      </c>
      <c r="J172" s="753"/>
      <c r="K172" s="748">
        <f t="shared" si="18"/>
        <v>0</v>
      </c>
      <c r="L172" s="753"/>
      <c r="M172" s="753"/>
      <c r="N172" s="753"/>
      <c r="O172" s="753"/>
      <c r="P172" s="756">
        <f t="shared" si="16"/>
        <v>0</v>
      </c>
      <c r="Q172" s="753"/>
      <c r="R172" s="750">
        <f t="shared" si="17"/>
        <v>0</v>
      </c>
    </row>
    <row r="173" spans="2:18" s="757" customFormat="1" outlineLevel="2" x14ac:dyDescent="0.2">
      <c r="B173" s="745" t="s">
        <v>3792</v>
      </c>
      <c r="C173" s="751" t="s">
        <v>594</v>
      </c>
      <c r="D173" s="752" t="s">
        <v>239</v>
      </c>
      <c r="E173" s="753"/>
      <c r="F173" s="753"/>
      <c r="G173" s="753"/>
      <c r="H173" s="753"/>
      <c r="I173" s="754">
        <f t="shared" si="15"/>
        <v>0</v>
      </c>
      <c r="J173" s="753"/>
      <c r="K173" s="748">
        <f t="shared" si="18"/>
        <v>0</v>
      </c>
      <c r="L173" s="753"/>
      <c r="M173" s="753"/>
      <c r="N173" s="753"/>
      <c r="O173" s="753"/>
      <c r="P173" s="756">
        <f t="shared" si="16"/>
        <v>0</v>
      </c>
      <c r="Q173" s="753"/>
      <c r="R173" s="750">
        <f t="shared" si="17"/>
        <v>0</v>
      </c>
    </row>
    <row r="174" spans="2:18" s="757" customFormat="1" outlineLevel="2" x14ac:dyDescent="0.2">
      <c r="B174" s="745" t="s">
        <v>3793</v>
      </c>
      <c r="C174" s="751" t="s">
        <v>595</v>
      </c>
      <c r="D174" s="752" t="s">
        <v>239</v>
      </c>
      <c r="E174" s="753"/>
      <c r="F174" s="753"/>
      <c r="G174" s="753"/>
      <c r="H174" s="753"/>
      <c r="I174" s="754">
        <f t="shared" si="15"/>
        <v>0</v>
      </c>
      <c r="J174" s="753"/>
      <c r="K174" s="748">
        <f t="shared" si="18"/>
        <v>0</v>
      </c>
      <c r="L174" s="753"/>
      <c r="M174" s="753"/>
      <c r="N174" s="753"/>
      <c r="O174" s="753"/>
      <c r="P174" s="756">
        <f t="shared" si="16"/>
        <v>0</v>
      </c>
      <c r="Q174" s="753"/>
      <c r="R174" s="750">
        <f t="shared" si="17"/>
        <v>0</v>
      </c>
    </row>
    <row r="175" spans="2:18" s="757" customFormat="1" outlineLevel="2" x14ac:dyDescent="0.2">
      <c r="B175" s="745" t="s">
        <v>3794</v>
      </c>
      <c r="C175" s="751" t="s">
        <v>596</v>
      </c>
      <c r="D175" s="752" t="s">
        <v>239</v>
      </c>
      <c r="E175" s="753"/>
      <c r="F175" s="753"/>
      <c r="G175" s="753"/>
      <c r="H175" s="753"/>
      <c r="I175" s="754">
        <f t="shared" si="15"/>
        <v>0</v>
      </c>
      <c r="J175" s="753"/>
      <c r="K175" s="748">
        <f t="shared" si="18"/>
        <v>0</v>
      </c>
      <c r="L175" s="753"/>
      <c r="M175" s="753"/>
      <c r="N175" s="753"/>
      <c r="O175" s="753"/>
      <c r="P175" s="756">
        <f t="shared" si="16"/>
        <v>0</v>
      </c>
      <c r="Q175" s="753"/>
      <c r="R175" s="750">
        <f t="shared" si="17"/>
        <v>0</v>
      </c>
    </row>
    <row r="176" spans="2:18" s="757" customFormat="1" outlineLevel="2" x14ac:dyDescent="0.2">
      <c r="B176" s="745" t="s">
        <v>3795</v>
      </c>
      <c r="C176" s="751" t="s">
        <v>597</v>
      </c>
      <c r="D176" s="752" t="s">
        <v>239</v>
      </c>
      <c r="E176" s="753"/>
      <c r="F176" s="753"/>
      <c r="G176" s="753"/>
      <c r="H176" s="753"/>
      <c r="I176" s="754">
        <f t="shared" si="15"/>
        <v>0</v>
      </c>
      <c r="J176" s="753"/>
      <c r="K176" s="748">
        <f t="shared" si="18"/>
        <v>0</v>
      </c>
      <c r="L176" s="753"/>
      <c r="M176" s="753"/>
      <c r="N176" s="753"/>
      <c r="O176" s="753"/>
      <c r="P176" s="756">
        <f t="shared" si="16"/>
        <v>0</v>
      </c>
      <c r="Q176" s="753"/>
      <c r="R176" s="750">
        <f t="shared" si="17"/>
        <v>0</v>
      </c>
    </row>
    <row r="177" spans="2:18" s="757" customFormat="1" outlineLevel="2" x14ac:dyDescent="0.2">
      <c r="B177" s="745" t="s">
        <v>3796</v>
      </c>
      <c r="C177" s="751" t="s">
        <v>598</v>
      </c>
      <c r="D177" s="752" t="s">
        <v>239</v>
      </c>
      <c r="E177" s="753"/>
      <c r="F177" s="753"/>
      <c r="G177" s="753"/>
      <c r="H177" s="753"/>
      <c r="I177" s="754">
        <f t="shared" si="15"/>
        <v>0</v>
      </c>
      <c r="J177" s="753"/>
      <c r="K177" s="748">
        <f t="shared" si="18"/>
        <v>0</v>
      </c>
      <c r="L177" s="753"/>
      <c r="M177" s="753"/>
      <c r="N177" s="753"/>
      <c r="O177" s="753"/>
      <c r="P177" s="756">
        <f t="shared" si="16"/>
        <v>0</v>
      </c>
      <c r="Q177" s="753"/>
      <c r="R177" s="750">
        <f t="shared" si="17"/>
        <v>0</v>
      </c>
    </row>
    <row r="178" spans="2:18" s="757" customFormat="1" outlineLevel="2" x14ac:dyDescent="0.2">
      <c r="B178" s="745" t="s">
        <v>3797</v>
      </c>
      <c r="C178" s="751" t="s">
        <v>599</v>
      </c>
      <c r="D178" s="752" t="s">
        <v>239</v>
      </c>
      <c r="E178" s="753"/>
      <c r="F178" s="753"/>
      <c r="G178" s="753"/>
      <c r="H178" s="753"/>
      <c r="I178" s="754">
        <f t="shared" si="15"/>
        <v>0</v>
      </c>
      <c r="J178" s="753"/>
      <c r="K178" s="748">
        <f t="shared" si="18"/>
        <v>0</v>
      </c>
      <c r="L178" s="753"/>
      <c r="M178" s="753"/>
      <c r="N178" s="753"/>
      <c r="O178" s="753"/>
      <c r="P178" s="756">
        <f t="shared" si="16"/>
        <v>0</v>
      </c>
      <c r="Q178" s="753"/>
      <c r="R178" s="750">
        <f t="shared" si="17"/>
        <v>0</v>
      </c>
    </row>
    <row r="179" spans="2:18" s="734" customFormat="1" outlineLevel="1" x14ac:dyDescent="0.2">
      <c r="B179" s="745" t="s">
        <v>3798</v>
      </c>
      <c r="C179" s="746">
        <v>2.2999999999999998</v>
      </c>
      <c r="D179" s="131" t="s">
        <v>4803</v>
      </c>
      <c r="E179" s="747">
        <f>SUM(E180:E199)</f>
        <v>0</v>
      </c>
      <c r="F179" s="747">
        <f>SUM(F180:F199)</f>
        <v>0</v>
      </c>
      <c r="G179" s="747">
        <f>SUM(G180:G199)</f>
        <v>0</v>
      </c>
      <c r="H179" s="747">
        <f>SUM(H180:H199)</f>
        <v>0</v>
      </c>
      <c r="I179" s="748">
        <f t="shared" si="15"/>
        <v>0</v>
      </c>
      <c r="J179" s="747">
        <f>SUM(J180:J199)</f>
        <v>0</v>
      </c>
      <c r="K179" s="748">
        <f t="shared" si="18"/>
        <v>0</v>
      </c>
      <c r="L179" s="747">
        <f>SUM(L180:L199)</f>
        <v>0</v>
      </c>
      <c r="M179" s="747">
        <f>SUM(M180:M199)</f>
        <v>0</v>
      </c>
      <c r="N179" s="747">
        <f>SUM(N180:N199)</f>
        <v>0</v>
      </c>
      <c r="O179" s="747">
        <f>SUM(O180:O199)</f>
        <v>0</v>
      </c>
      <c r="P179" s="749">
        <f t="shared" si="16"/>
        <v>0</v>
      </c>
      <c r="Q179" s="747">
        <f>SUM(Q180:Q199)</f>
        <v>0</v>
      </c>
      <c r="R179" s="750">
        <f t="shared" si="17"/>
        <v>0</v>
      </c>
    </row>
    <row r="180" spans="2:18" s="757" customFormat="1" outlineLevel="2" x14ac:dyDescent="0.2">
      <c r="B180" s="745" t="s">
        <v>3799</v>
      </c>
      <c r="C180" s="751" t="s">
        <v>1604</v>
      </c>
      <c r="D180" s="752" t="s">
        <v>241</v>
      </c>
      <c r="E180" s="753"/>
      <c r="F180" s="753"/>
      <c r="G180" s="753"/>
      <c r="H180" s="753"/>
      <c r="I180" s="754">
        <f t="shared" si="15"/>
        <v>0</v>
      </c>
      <c r="J180" s="753"/>
      <c r="K180" s="748">
        <f t="shared" si="18"/>
        <v>0</v>
      </c>
      <c r="L180" s="753"/>
      <c r="M180" s="753"/>
      <c r="N180" s="753"/>
      <c r="O180" s="753"/>
      <c r="P180" s="756">
        <f t="shared" si="16"/>
        <v>0</v>
      </c>
      <c r="Q180" s="753"/>
      <c r="R180" s="750">
        <f t="shared" si="17"/>
        <v>0</v>
      </c>
    </row>
    <row r="181" spans="2:18" s="757" customFormat="1" outlineLevel="2" x14ac:dyDescent="0.2">
      <c r="B181" s="745" t="s">
        <v>3800</v>
      </c>
      <c r="C181" s="751" t="s">
        <v>1605</v>
      </c>
      <c r="D181" s="752" t="s">
        <v>241</v>
      </c>
      <c r="E181" s="753"/>
      <c r="F181" s="753"/>
      <c r="G181" s="753"/>
      <c r="H181" s="753"/>
      <c r="I181" s="754">
        <f t="shared" si="15"/>
        <v>0</v>
      </c>
      <c r="J181" s="753"/>
      <c r="K181" s="748">
        <f t="shared" si="18"/>
        <v>0</v>
      </c>
      <c r="L181" s="753"/>
      <c r="M181" s="753"/>
      <c r="N181" s="753"/>
      <c r="O181" s="753"/>
      <c r="P181" s="756">
        <f t="shared" si="16"/>
        <v>0</v>
      </c>
      <c r="Q181" s="753"/>
      <c r="R181" s="750">
        <f t="shared" si="17"/>
        <v>0</v>
      </c>
    </row>
    <row r="182" spans="2:18" s="757" customFormat="1" outlineLevel="2" x14ac:dyDescent="0.2">
      <c r="B182" s="745" t="s">
        <v>3801</v>
      </c>
      <c r="C182" s="751" t="s">
        <v>1606</v>
      </c>
      <c r="D182" s="752" t="s">
        <v>241</v>
      </c>
      <c r="E182" s="753"/>
      <c r="F182" s="753"/>
      <c r="G182" s="753"/>
      <c r="H182" s="753"/>
      <c r="I182" s="754">
        <f t="shared" si="15"/>
        <v>0</v>
      </c>
      <c r="J182" s="753"/>
      <c r="K182" s="748">
        <f t="shared" si="18"/>
        <v>0</v>
      </c>
      <c r="L182" s="753"/>
      <c r="M182" s="753"/>
      <c r="N182" s="753"/>
      <c r="O182" s="753"/>
      <c r="P182" s="756">
        <f t="shared" si="16"/>
        <v>0</v>
      </c>
      <c r="Q182" s="753"/>
      <c r="R182" s="750">
        <f t="shared" si="17"/>
        <v>0</v>
      </c>
    </row>
    <row r="183" spans="2:18" s="757" customFormat="1" outlineLevel="2" x14ac:dyDescent="0.2">
      <c r="B183" s="745" t="s">
        <v>3802</v>
      </c>
      <c r="C183" s="751" t="s">
        <v>1607</v>
      </c>
      <c r="D183" s="752" t="s">
        <v>241</v>
      </c>
      <c r="E183" s="753"/>
      <c r="F183" s="753"/>
      <c r="G183" s="753"/>
      <c r="H183" s="753"/>
      <c r="I183" s="754">
        <f t="shared" si="15"/>
        <v>0</v>
      </c>
      <c r="J183" s="753"/>
      <c r="K183" s="748">
        <f t="shared" si="18"/>
        <v>0</v>
      </c>
      <c r="L183" s="753"/>
      <c r="M183" s="753"/>
      <c r="N183" s="753"/>
      <c r="O183" s="753"/>
      <c r="P183" s="756">
        <f t="shared" si="16"/>
        <v>0</v>
      </c>
      <c r="Q183" s="753"/>
      <c r="R183" s="750">
        <f t="shared" si="17"/>
        <v>0</v>
      </c>
    </row>
    <row r="184" spans="2:18" s="757" customFormat="1" outlineLevel="2" x14ac:dyDescent="0.2">
      <c r="B184" s="745" t="s">
        <v>3803</v>
      </c>
      <c r="C184" s="751" t="s">
        <v>1608</v>
      </c>
      <c r="D184" s="752" t="s">
        <v>241</v>
      </c>
      <c r="E184" s="753"/>
      <c r="F184" s="753"/>
      <c r="G184" s="753"/>
      <c r="H184" s="753"/>
      <c r="I184" s="754">
        <f t="shared" si="15"/>
        <v>0</v>
      </c>
      <c r="J184" s="753"/>
      <c r="K184" s="748">
        <f t="shared" si="18"/>
        <v>0</v>
      </c>
      <c r="L184" s="753"/>
      <c r="M184" s="753"/>
      <c r="N184" s="753"/>
      <c r="O184" s="753"/>
      <c r="P184" s="756">
        <f t="shared" si="16"/>
        <v>0</v>
      </c>
      <c r="Q184" s="753"/>
      <c r="R184" s="750">
        <f t="shared" si="17"/>
        <v>0</v>
      </c>
    </row>
    <row r="185" spans="2:18" s="757" customFormat="1" outlineLevel="2" x14ac:dyDescent="0.2">
      <c r="B185" s="745" t="s">
        <v>3804</v>
      </c>
      <c r="C185" s="751" t="s">
        <v>1609</v>
      </c>
      <c r="D185" s="752" t="s">
        <v>241</v>
      </c>
      <c r="E185" s="753"/>
      <c r="F185" s="753"/>
      <c r="G185" s="753"/>
      <c r="H185" s="753"/>
      <c r="I185" s="754">
        <f t="shared" si="15"/>
        <v>0</v>
      </c>
      <c r="J185" s="753"/>
      <c r="K185" s="748">
        <f t="shared" si="18"/>
        <v>0</v>
      </c>
      <c r="L185" s="753"/>
      <c r="M185" s="753"/>
      <c r="N185" s="753"/>
      <c r="O185" s="753"/>
      <c r="P185" s="756">
        <f t="shared" si="16"/>
        <v>0</v>
      </c>
      <c r="Q185" s="753"/>
      <c r="R185" s="750">
        <f t="shared" si="17"/>
        <v>0</v>
      </c>
    </row>
    <row r="186" spans="2:18" s="757" customFormat="1" outlineLevel="2" x14ac:dyDescent="0.2">
      <c r="B186" s="745" t="s">
        <v>3805</v>
      </c>
      <c r="C186" s="751" t="s">
        <v>1610</v>
      </c>
      <c r="D186" s="752" t="s">
        <v>241</v>
      </c>
      <c r="E186" s="753"/>
      <c r="F186" s="753"/>
      <c r="G186" s="753"/>
      <c r="H186" s="753"/>
      <c r="I186" s="754">
        <f t="shared" si="15"/>
        <v>0</v>
      </c>
      <c r="J186" s="753"/>
      <c r="K186" s="748">
        <f t="shared" si="18"/>
        <v>0</v>
      </c>
      <c r="L186" s="753"/>
      <c r="M186" s="753"/>
      <c r="N186" s="753"/>
      <c r="O186" s="753"/>
      <c r="P186" s="756">
        <f t="shared" si="16"/>
        <v>0</v>
      </c>
      <c r="Q186" s="753"/>
      <c r="R186" s="750">
        <f t="shared" si="17"/>
        <v>0</v>
      </c>
    </row>
    <row r="187" spans="2:18" s="757" customFormat="1" outlineLevel="2" x14ac:dyDescent="0.2">
      <c r="B187" s="745" t="s">
        <v>3806</v>
      </c>
      <c r="C187" s="751" t="s">
        <v>1611</v>
      </c>
      <c r="D187" s="752" t="s">
        <v>241</v>
      </c>
      <c r="E187" s="753"/>
      <c r="F187" s="753"/>
      <c r="G187" s="753"/>
      <c r="H187" s="753"/>
      <c r="I187" s="754">
        <f t="shared" si="15"/>
        <v>0</v>
      </c>
      <c r="J187" s="753"/>
      <c r="K187" s="748">
        <f t="shared" si="18"/>
        <v>0</v>
      </c>
      <c r="L187" s="753"/>
      <c r="M187" s="753"/>
      <c r="N187" s="753"/>
      <c r="O187" s="753"/>
      <c r="P187" s="756">
        <f t="shared" si="16"/>
        <v>0</v>
      </c>
      <c r="Q187" s="753"/>
      <c r="R187" s="750">
        <f t="shared" si="17"/>
        <v>0</v>
      </c>
    </row>
    <row r="188" spans="2:18" s="757" customFormat="1" outlineLevel="2" x14ac:dyDescent="0.2">
      <c r="B188" s="745" t="s">
        <v>3807</v>
      </c>
      <c r="C188" s="751" t="s">
        <v>1612</v>
      </c>
      <c r="D188" s="752" t="s">
        <v>241</v>
      </c>
      <c r="E188" s="753"/>
      <c r="F188" s="753"/>
      <c r="G188" s="753"/>
      <c r="H188" s="753"/>
      <c r="I188" s="754">
        <f t="shared" si="15"/>
        <v>0</v>
      </c>
      <c r="J188" s="753"/>
      <c r="K188" s="748">
        <f t="shared" si="18"/>
        <v>0</v>
      </c>
      <c r="L188" s="753"/>
      <c r="M188" s="753"/>
      <c r="N188" s="753"/>
      <c r="O188" s="753"/>
      <c r="P188" s="756">
        <f t="shared" si="16"/>
        <v>0</v>
      </c>
      <c r="Q188" s="753"/>
      <c r="R188" s="750">
        <f t="shared" si="17"/>
        <v>0</v>
      </c>
    </row>
    <row r="189" spans="2:18" s="757" customFormat="1" outlineLevel="2" x14ac:dyDescent="0.2">
      <c r="B189" s="745" t="s">
        <v>3808</v>
      </c>
      <c r="C189" s="751" t="s">
        <v>1613</v>
      </c>
      <c r="D189" s="752" t="s">
        <v>241</v>
      </c>
      <c r="E189" s="753"/>
      <c r="F189" s="753"/>
      <c r="G189" s="753"/>
      <c r="H189" s="753"/>
      <c r="I189" s="754">
        <f t="shared" si="15"/>
        <v>0</v>
      </c>
      <c r="J189" s="753"/>
      <c r="K189" s="748">
        <f t="shared" si="18"/>
        <v>0</v>
      </c>
      <c r="L189" s="753"/>
      <c r="M189" s="753"/>
      <c r="N189" s="753"/>
      <c r="O189" s="753"/>
      <c r="P189" s="756">
        <f t="shared" si="16"/>
        <v>0</v>
      </c>
      <c r="Q189" s="753"/>
      <c r="R189" s="750">
        <f t="shared" si="17"/>
        <v>0</v>
      </c>
    </row>
    <row r="190" spans="2:18" s="757" customFormat="1" outlineLevel="2" x14ac:dyDescent="0.2">
      <c r="B190" s="745" t="s">
        <v>3809</v>
      </c>
      <c r="C190" s="751" t="s">
        <v>1614</v>
      </c>
      <c r="D190" s="752" t="s">
        <v>241</v>
      </c>
      <c r="E190" s="753"/>
      <c r="F190" s="753"/>
      <c r="G190" s="753"/>
      <c r="H190" s="753"/>
      <c r="I190" s="754">
        <f t="shared" si="15"/>
        <v>0</v>
      </c>
      <c r="J190" s="753"/>
      <c r="K190" s="748">
        <f t="shared" si="18"/>
        <v>0</v>
      </c>
      <c r="L190" s="753"/>
      <c r="M190" s="753"/>
      <c r="N190" s="753"/>
      <c r="O190" s="753"/>
      <c r="P190" s="756">
        <f t="shared" si="16"/>
        <v>0</v>
      </c>
      <c r="Q190" s="753"/>
      <c r="R190" s="750">
        <f t="shared" si="17"/>
        <v>0</v>
      </c>
    </row>
    <row r="191" spans="2:18" s="757" customFormat="1" outlineLevel="2" x14ac:dyDescent="0.2">
      <c r="B191" s="745" t="s">
        <v>3810</v>
      </c>
      <c r="C191" s="751" t="s">
        <v>1615</v>
      </c>
      <c r="D191" s="752" t="s">
        <v>241</v>
      </c>
      <c r="E191" s="753"/>
      <c r="F191" s="753"/>
      <c r="G191" s="753"/>
      <c r="H191" s="753"/>
      <c r="I191" s="754">
        <f t="shared" si="15"/>
        <v>0</v>
      </c>
      <c r="J191" s="753"/>
      <c r="K191" s="748">
        <f t="shared" si="18"/>
        <v>0</v>
      </c>
      <c r="L191" s="753"/>
      <c r="M191" s="753"/>
      <c r="N191" s="753"/>
      <c r="O191" s="753"/>
      <c r="P191" s="756">
        <f t="shared" si="16"/>
        <v>0</v>
      </c>
      <c r="Q191" s="753"/>
      <c r="R191" s="750">
        <f t="shared" si="17"/>
        <v>0</v>
      </c>
    </row>
    <row r="192" spans="2:18" s="757" customFormat="1" outlineLevel="2" x14ac:dyDescent="0.2">
      <c r="B192" s="745" t="s">
        <v>3811</v>
      </c>
      <c r="C192" s="751" t="s">
        <v>1616</v>
      </c>
      <c r="D192" s="752" t="s">
        <v>241</v>
      </c>
      <c r="E192" s="753"/>
      <c r="F192" s="753"/>
      <c r="G192" s="753"/>
      <c r="H192" s="753"/>
      <c r="I192" s="754">
        <f t="shared" si="15"/>
        <v>0</v>
      </c>
      <c r="J192" s="753"/>
      <c r="K192" s="748">
        <f t="shared" si="18"/>
        <v>0</v>
      </c>
      <c r="L192" s="753"/>
      <c r="M192" s="753"/>
      <c r="N192" s="753"/>
      <c r="O192" s="753"/>
      <c r="P192" s="756">
        <f t="shared" si="16"/>
        <v>0</v>
      </c>
      <c r="Q192" s="753"/>
      <c r="R192" s="750">
        <f t="shared" si="17"/>
        <v>0</v>
      </c>
    </row>
    <row r="193" spans="2:18" s="757" customFormat="1" outlineLevel="2" x14ac:dyDescent="0.2">
      <c r="B193" s="745" t="s">
        <v>3812</v>
      </c>
      <c r="C193" s="751" t="s">
        <v>1617</v>
      </c>
      <c r="D193" s="752" t="s">
        <v>241</v>
      </c>
      <c r="E193" s="753"/>
      <c r="F193" s="753"/>
      <c r="G193" s="753"/>
      <c r="H193" s="753"/>
      <c r="I193" s="754">
        <f t="shared" si="15"/>
        <v>0</v>
      </c>
      <c r="J193" s="753"/>
      <c r="K193" s="748">
        <f t="shared" si="18"/>
        <v>0</v>
      </c>
      <c r="L193" s="753"/>
      <c r="M193" s="753"/>
      <c r="N193" s="753"/>
      <c r="O193" s="753"/>
      <c r="P193" s="756">
        <f t="shared" si="16"/>
        <v>0</v>
      </c>
      <c r="Q193" s="753"/>
      <c r="R193" s="750">
        <f t="shared" si="17"/>
        <v>0</v>
      </c>
    </row>
    <row r="194" spans="2:18" s="757" customFormat="1" outlineLevel="2" x14ac:dyDescent="0.2">
      <c r="B194" s="745" t="s">
        <v>3813</v>
      </c>
      <c r="C194" s="751" t="s">
        <v>1618</v>
      </c>
      <c r="D194" s="752" t="s">
        <v>241</v>
      </c>
      <c r="E194" s="753"/>
      <c r="F194" s="753"/>
      <c r="G194" s="753"/>
      <c r="H194" s="753"/>
      <c r="I194" s="754">
        <f t="shared" si="15"/>
        <v>0</v>
      </c>
      <c r="J194" s="753"/>
      <c r="K194" s="748">
        <f t="shared" si="18"/>
        <v>0</v>
      </c>
      <c r="L194" s="753"/>
      <c r="M194" s="753"/>
      <c r="N194" s="753"/>
      <c r="O194" s="753"/>
      <c r="P194" s="756">
        <f t="shared" si="16"/>
        <v>0</v>
      </c>
      <c r="Q194" s="753"/>
      <c r="R194" s="750">
        <f t="shared" si="17"/>
        <v>0</v>
      </c>
    </row>
    <row r="195" spans="2:18" s="757" customFormat="1" outlineLevel="2" x14ac:dyDescent="0.2">
      <c r="B195" s="745" t="s">
        <v>3814</v>
      </c>
      <c r="C195" s="751" t="s">
        <v>1619</v>
      </c>
      <c r="D195" s="752" t="s">
        <v>241</v>
      </c>
      <c r="E195" s="753"/>
      <c r="F195" s="753"/>
      <c r="G195" s="753"/>
      <c r="H195" s="753"/>
      <c r="I195" s="754">
        <f t="shared" si="15"/>
        <v>0</v>
      </c>
      <c r="J195" s="753"/>
      <c r="K195" s="748">
        <f t="shared" si="18"/>
        <v>0</v>
      </c>
      <c r="L195" s="753"/>
      <c r="M195" s="753"/>
      <c r="N195" s="753"/>
      <c r="O195" s="753"/>
      <c r="P195" s="756">
        <f t="shared" si="16"/>
        <v>0</v>
      </c>
      <c r="Q195" s="753"/>
      <c r="R195" s="750">
        <f t="shared" si="17"/>
        <v>0</v>
      </c>
    </row>
    <row r="196" spans="2:18" s="757" customFormat="1" outlineLevel="2" x14ac:dyDescent="0.2">
      <c r="B196" s="745" t="s">
        <v>3815</v>
      </c>
      <c r="C196" s="751" t="s">
        <v>1620</v>
      </c>
      <c r="D196" s="752" t="s">
        <v>241</v>
      </c>
      <c r="E196" s="753"/>
      <c r="F196" s="753"/>
      <c r="G196" s="753"/>
      <c r="H196" s="753"/>
      <c r="I196" s="754">
        <f t="shared" si="15"/>
        <v>0</v>
      </c>
      <c r="J196" s="753"/>
      <c r="K196" s="748">
        <f t="shared" si="18"/>
        <v>0</v>
      </c>
      <c r="L196" s="753"/>
      <c r="M196" s="753"/>
      <c r="N196" s="753"/>
      <c r="O196" s="753"/>
      <c r="P196" s="756">
        <f t="shared" si="16"/>
        <v>0</v>
      </c>
      <c r="Q196" s="753"/>
      <c r="R196" s="750">
        <f t="shared" si="17"/>
        <v>0</v>
      </c>
    </row>
    <row r="197" spans="2:18" s="757" customFormat="1" outlineLevel="2" x14ac:dyDescent="0.2">
      <c r="B197" s="745" t="s">
        <v>3816</v>
      </c>
      <c r="C197" s="751" t="s">
        <v>1621</v>
      </c>
      <c r="D197" s="752" t="s">
        <v>241</v>
      </c>
      <c r="E197" s="753"/>
      <c r="F197" s="753"/>
      <c r="G197" s="753"/>
      <c r="H197" s="753"/>
      <c r="I197" s="754">
        <f t="shared" si="15"/>
        <v>0</v>
      </c>
      <c r="J197" s="753"/>
      <c r="K197" s="748">
        <f t="shared" si="18"/>
        <v>0</v>
      </c>
      <c r="L197" s="753"/>
      <c r="M197" s="753"/>
      <c r="N197" s="753"/>
      <c r="O197" s="753"/>
      <c r="P197" s="756">
        <f t="shared" si="16"/>
        <v>0</v>
      </c>
      <c r="Q197" s="753"/>
      <c r="R197" s="750">
        <f t="shared" si="17"/>
        <v>0</v>
      </c>
    </row>
    <row r="198" spans="2:18" s="757" customFormat="1" outlineLevel="2" x14ac:dyDescent="0.2">
      <c r="B198" s="745" t="s">
        <v>3817</v>
      </c>
      <c r="C198" s="751" t="s">
        <v>1622</v>
      </c>
      <c r="D198" s="752" t="s">
        <v>241</v>
      </c>
      <c r="E198" s="753"/>
      <c r="F198" s="753"/>
      <c r="G198" s="753"/>
      <c r="H198" s="753"/>
      <c r="I198" s="754">
        <f t="shared" si="15"/>
        <v>0</v>
      </c>
      <c r="J198" s="753"/>
      <c r="K198" s="748">
        <f t="shared" si="18"/>
        <v>0</v>
      </c>
      <c r="L198" s="753"/>
      <c r="M198" s="753"/>
      <c r="N198" s="753"/>
      <c r="O198" s="753"/>
      <c r="P198" s="756">
        <f t="shared" si="16"/>
        <v>0</v>
      </c>
      <c r="Q198" s="753"/>
      <c r="R198" s="750">
        <f t="shared" si="17"/>
        <v>0</v>
      </c>
    </row>
    <row r="199" spans="2:18" s="757" customFormat="1" outlineLevel="2" x14ac:dyDescent="0.2">
      <c r="B199" s="745" t="s">
        <v>3818</v>
      </c>
      <c r="C199" s="751" t="s">
        <v>1623</v>
      </c>
      <c r="D199" s="752" t="s">
        <v>241</v>
      </c>
      <c r="E199" s="753"/>
      <c r="F199" s="753"/>
      <c r="G199" s="753"/>
      <c r="H199" s="753"/>
      <c r="I199" s="754">
        <f t="shared" si="15"/>
        <v>0</v>
      </c>
      <c r="J199" s="753"/>
      <c r="K199" s="748">
        <f t="shared" si="18"/>
        <v>0</v>
      </c>
      <c r="L199" s="753"/>
      <c r="M199" s="753"/>
      <c r="N199" s="753"/>
      <c r="O199" s="753"/>
      <c r="P199" s="756">
        <f t="shared" si="16"/>
        <v>0</v>
      </c>
      <c r="Q199" s="753"/>
      <c r="R199" s="750">
        <f t="shared" si="17"/>
        <v>0</v>
      </c>
    </row>
    <row r="200" spans="2:18" s="734" customFormat="1" outlineLevel="1" x14ac:dyDescent="0.2">
      <c r="B200" s="745" t="s">
        <v>3819</v>
      </c>
      <c r="C200" s="746">
        <v>2.4</v>
      </c>
      <c r="D200" s="131" t="s">
        <v>4804</v>
      </c>
      <c r="E200" s="747">
        <f>SUM(E201:E220)</f>
        <v>0</v>
      </c>
      <c r="F200" s="747">
        <f>SUM(F201:F220)</f>
        <v>0</v>
      </c>
      <c r="G200" s="747">
        <f>SUM(G201:G220)</f>
        <v>0</v>
      </c>
      <c r="H200" s="747">
        <f>SUM(H201:H220)</f>
        <v>0</v>
      </c>
      <c r="I200" s="748">
        <f t="shared" si="15"/>
        <v>0</v>
      </c>
      <c r="J200" s="747">
        <f>SUM(J201:J220)</f>
        <v>0</v>
      </c>
      <c r="K200" s="748">
        <f t="shared" si="18"/>
        <v>0</v>
      </c>
      <c r="L200" s="747">
        <f>SUM(L201:L220)</f>
        <v>0</v>
      </c>
      <c r="M200" s="747">
        <f>SUM(M201:M220)</f>
        <v>0</v>
      </c>
      <c r="N200" s="747">
        <f>SUM(N201:N220)</f>
        <v>0</v>
      </c>
      <c r="O200" s="747">
        <f>SUM(O201:O220)</f>
        <v>0</v>
      </c>
      <c r="P200" s="749">
        <f t="shared" si="16"/>
        <v>0</v>
      </c>
      <c r="Q200" s="747">
        <f>SUM(Q201:Q220)</f>
        <v>0</v>
      </c>
      <c r="R200" s="750">
        <f t="shared" si="17"/>
        <v>0</v>
      </c>
    </row>
    <row r="201" spans="2:18" s="757" customFormat="1" outlineLevel="2" x14ac:dyDescent="0.2">
      <c r="B201" s="745" t="s">
        <v>3820</v>
      </c>
      <c r="C201" s="751" t="s">
        <v>1624</v>
      </c>
      <c r="D201" s="752" t="s">
        <v>241</v>
      </c>
      <c r="E201" s="753"/>
      <c r="F201" s="753"/>
      <c r="G201" s="753"/>
      <c r="H201" s="753"/>
      <c r="I201" s="754">
        <f t="shared" ref="I201:I262" si="19">SUM(E201:H201)</f>
        <v>0</v>
      </c>
      <c r="J201" s="753"/>
      <c r="K201" s="748">
        <f t="shared" si="18"/>
        <v>0</v>
      </c>
      <c r="L201" s="753"/>
      <c r="M201" s="753"/>
      <c r="N201" s="753"/>
      <c r="O201" s="753"/>
      <c r="P201" s="756">
        <f t="shared" ref="P201:P262" si="20">SUM(L201:O201)</f>
        <v>0</v>
      </c>
      <c r="Q201" s="753"/>
      <c r="R201" s="750">
        <f t="shared" ref="R201:R262" si="21">P201-Q201</f>
        <v>0</v>
      </c>
    </row>
    <row r="202" spans="2:18" s="757" customFormat="1" outlineLevel="2" x14ac:dyDescent="0.2">
      <c r="B202" s="745" t="s">
        <v>3821</v>
      </c>
      <c r="C202" s="751" t="s">
        <v>1625</v>
      </c>
      <c r="D202" s="752" t="s">
        <v>241</v>
      </c>
      <c r="E202" s="753"/>
      <c r="F202" s="753"/>
      <c r="G202" s="753"/>
      <c r="H202" s="753"/>
      <c r="I202" s="754">
        <f t="shared" si="19"/>
        <v>0</v>
      </c>
      <c r="J202" s="753"/>
      <c r="K202" s="748">
        <f t="shared" si="18"/>
        <v>0</v>
      </c>
      <c r="L202" s="753"/>
      <c r="M202" s="753"/>
      <c r="N202" s="753"/>
      <c r="O202" s="753"/>
      <c r="P202" s="756">
        <f t="shared" si="20"/>
        <v>0</v>
      </c>
      <c r="Q202" s="753"/>
      <c r="R202" s="750">
        <f t="shared" si="21"/>
        <v>0</v>
      </c>
    </row>
    <row r="203" spans="2:18" s="757" customFormat="1" outlineLevel="2" x14ac:dyDescent="0.2">
      <c r="B203" s="745" t="s">
        <v>3822</v>
      </c>
      <c r="C203" s="751" t="s">
        <v>1626</v>
      </c>
      <c r="D203" s="752" t="s">
        <v>241</v>
      </c>
      <c r="E203" s="753"/>
      <c r="F203" s="753"/>
      <c r="G203" s="753"/>
      <c r="H203" s="753"/>
      <c r="I203" s="754">
        <f t="shared" si="19"/>
        <v>0</v>
      </c>
      <c r="J203" s="753"/>
      <c r="K203" s="748">
        <f t="shared" ref="K203:K266" si="22">I203-J203</f>
        <v>0</v>
      </c>
      <c r="L203" s="753"/>
      <c r="M203" s="753"/>
      <c r="N203" s="753"/>
      <c r="O203" s="753"/>
      <c r="P203" s="756">
        <f t="shared" si="20"/>
        <v>0</v>
      </c>
      <c r="Q203" s="753"/>
      <c r="R203" s="750">
        <f t="shared" si="21"/>
        <v>0</v>
      </c>
    </row>
    <row r="204" spans="2:18" s="757" customFormat="1" outlineLevel="2" x14ac:dyDescent="0.2">
      <c r="B204" s="745" t="s">
        <v>3823</v>
      </c>
      <c r="C204" s="751" t="s">
        <v>1627</v>
      </c>
      <c r="D204" s="752" t="s">
        <v>241</v>
      </c>
      <c r="E204" s="753"/>
      <c r="F204" s="753"/>
      <c r="G204" s="753"/>
      <c r="H204" s="753"/>
      <c r="I204" s="754">
        <f t="shared" si="19"/>
        <v>0</v>
      </c>
      <c r="J204" s="753"/>
      <c r="K204" s="748">
        <f t="shared" si="22"/>
        <v>0</v>
      </c>
      <c r="L204" s="753"/>
      <c r="M204" s="753"/>
      <c r="N204" s="753"/>
      <c r="O204" s="753"/>
      <c r="P204" s="756">
        <f t="shared" si="20"/>
        <v>0</v>
      </c>
      <c r="Q204" s="753"/>
      <c r="R204" s="750">
        <f t="shared" si="21"/>
        <v>0</v>
      </c>
    </row>
    <row r="205" spans="2:18" s="757" customFormat="1" outlineLevel="2" x14ac:dyDescent="0.2">
      <c r="B205" s="745" t="s">
        <v>3824</v>
      </c>
      <c r="C205" s="751" t="s">
        <v>1628</v>
      </c>
      <c r="D205" s="752" t="s">
        <v>241</v>
      </c>
      <c r="E205" s="753"/>
      <c r="F205" s="753"/>
      <c r="G205" s="753"/>
      <c r="H205" s="753"/>
      <c r="I205" s="754">
        <f t="shared" si="19"/>
        <v>0</v>
      </c>
      <c r="J205" s="753"/>
      <c r="K205" s="748">
        <f t="shared" si="22"/>
        <v>0</v>
      </c>
      <c r="L205" s="753"/>
      <c r="M205" s="753"/>
      <c r="N205" s="753"/>
      <c r="O205" s="753"/>
      <c r="P205" s="756">
        <f t="shared" si="20"/>
        <v>0</v>
      </c>
      <c r="Q205" s="753"/>
      <c r="R205" s="750">
        <f t="shared" si="21"/>
        <v>0</v>
      </c>
    </row>
    <row r="206" spans="2:18" s="757" customFormat="1" outlineLevel="2" x14ac:dyDescent="0.2">
      <c r="B206" s="745" t="s">
        <v>3825</v>
      </c>
      <c r="C206" s="751" t="s">
        <v>1629</v>
      </c>
      <c r="D206" s="752" t="s">
        <v>241</v>
      </c>
      <c r="E206" s="753"/>
      <c r="F206" s="753"/>
      <c r="G206" s="753"/>
      <c r="H206" s="753"/>
      <c r="I206" s="754">
        <f t="shared" si="19"/>
        <v>0</v>
      </c>
      <c r="J206" s="753"/>
      <c r="K206" s="748">
        <f t="shared" si="22"/>
        <v>0</v>
      </c>
      <c r="L206" s="753"/>
      <c r="M206" s="753"/>
      <c r="N206" s="753"/>
      <c r="O206" s="753"/>
      <c r="P206" s="756">
        <f t="shared" si="20"/>
        <v>0</v>
      </c>
      <c r="Q206" s="753"/>
      <c r="R206" s="750">
        <f t="shared" si="21"/>
        <v>0</v>
      </c>
    </row>
    <row r="207" spans="2:18" s="757" customFormat="1" outlineLevel="2" x14ac:dyDescent="0.2">
      <c r="B207" s="745" t="s">
        <v>3826</v>
      </c>
      <c r="C207" s="751" t="s">
        <v>1630</v>
      </c>
      <c r="D207" s="752" t="s">
        <v>241</v>
      </c>
      <c r="E207" s="753"/>
      <c r="F207" s="753"/>
      <c r="G207" s="753"/>
      <c r="H207" s="753"/>
      <c r="I207" s="754">
        <f t="shared" si="19"/>
        <v>0</v>
      </c>
      <c r="J207" s="753"/>
      <c r="K207" s="748">
        <f t="shared" si="22"/>
        <v>0</v>
      </c>
      <c r="L207" s="753"/>
      <c r="M207" s="753"/>
      <c r="N207" s="753"/>
      <c r="O207" s="753"/>
      <c r="P207" s="756">
        <f t="shared" si="20"/>
        <v>0</v>
      </c>
      <c r="Q207" s="753"/>
      <c r="R207" s="750">
        <f t="shared" si="21"/>
        <v>0</v>
      </c>
    </row>
    <row r="208" spans="2:18" s="757" customFormat="1" outlineLevel="2" x14ac:dyDescent="0.2">
      <c r="B208" s="745" t="s">
        <v>3827</v>
      </c>
      <c r="C208" s="751" t="s">
        <v>1631</v>
      </c>
      <c r="D208" s="752" t="s">
        <v>241</v>
      </c>
      <c r="E208" s="753"/>
      <c r="F208" s="753"/>
      <c r="G208" s="753"/>
      <c r="H208" s="753"/>
      <c r="I208" s="754">
        <f t="shared" si="19"/>
        <v>0</v>
      </c>
      <c r="J208" s="753"/>
      <c r="K208" s="748">
        <f t="shared" si="22"/>
        <v>0</v>
      </c>
      <c r="L208" s="753"/>
      <c r="M208" s="753"/>
      <c r="N208" s="753"/>
      <c r="O208" s="753"/>
      <c r="P208" s="756">
        <f t="shared" si="20"/>
        <v>0</v>
      </c>
      <c r="Q208" s="753"/>
      <c r="R208" s="750">
        <f t="shared" si="21"/>
        <v>0</v>
      </c>
    </row>
    <row r="209" spans="2:18" s="757" customFormat="1" outlineLevel="2" x14ac:dyDescent="0.2">
      <c r="B209" s="745" t="s">
        <v>3828</v>
      </c>
      <c r="C209" s="751" t="s">
        <v>1632</v>
      </c>
      <c r="D209" s="752" t="s">
        <v>241</v>
      </c>
      <c r="E209" s="753"/>
      <c r="F209" s="753"/>
      <c r="G209" s="753"/>
      <c r="H209" s="753"/>
      <c r="I209" s="754">
        <f t="shared" si="19"/>
        <v>0</v>
      </c>
      <c r="J209" s="753"/>
      <c r="K209" s="748">
        <f t="shared" si="22"/>
        <v>0</v>
      </c>
      <c r="L209" s="753"/>
      <c r="M209" s="753"/>
      <c r="N209" s="753"/>
      <c r="O209" s="753"/>
      <c r="P209" s="756">
        <f t="shared" si="20"/>
        <v>0</v>
      </c>
      <c r="Q209" s="753"/>
      <c r="R209" s="750">
        <f t="shared" si="21"/>
        <v>0</v>
      </c>
    </row>
    <row r="210" spans="2:18" s="757" customFormat="1" outlineLevel="2" x14ac:dyDescent="0.2">
      <c r="B210" s="745" t="s">
        <v>3829</v>
      </c>
      <c r="C210" s="751" t="s">
        <v>1633</v>
      </c>
      <c r="D210" s="752" t="s">
        <v>241</v>
      </c>
      <c r="E210" s="753"/>
      <c r="F210" s="753"/>
      <c r="G210" s="753"/>
      <c r="H210" s="753"/>
      <c r="I210" s="754">
        <f t="shared" si="19"/>
        <v>0</v>
      </c>
      <c r="J210" s="753"/>
      <c r="K210" s="748">
        <f t="shared" si="22"/>
        <v>0</v>
      </c>
      <c r="L210" s="753"/>
      <c r="M210" s="753"/>
      <c r="N210" s="753"/>
      <c r="O210" s="753"/>
      <c r="P210" s="756">
        <f t="shared" si="20"/>
        <v>0</v>
      </c>
      <c r="Q210" s="753"/>
      <c r="R210" s="750">
        <f t="shared" si="21"/>
        <v>0</v>
      </c>
    </row>
    <row r="211" spans="2:18" s="757" customFormat="1" outlineLevel="2" x14ac:dyDescent="0.2">
      <c r="B211" s="745" t="s">
        <v>3830</v>
      </c>
      <c r="C211" s="751" t="s">
        <v>1634</v>
      </c>
      <c r="D211" s="752" t="s">
        <v>241</v>
      </c>
      <c r="E211" s="753"/>
      <c r="F211" s="753"/>
      <c r="G211" s="753"/>
      <c r="H211" s="753"/>
      <c r="I211" s="754">
        <f t="shared" si="19"/>
        <v>0</v>
      </c>
      <c r="J211" s="753"/>
      <c r="K211" s="748">
        <f t="shared" si="22"/>
        <v>0</v>
      </c>
      <c r="L211" s="753"/>
      <c r="M211" s="753"/>
      <c r="N211" s="753"/>
      <c r="O211" s="753"/>
      <c r="P211" s="756">
        <f t="shared" si="20"/>
        <v>0</v>
      </c>
      <c r="Q211" s="753"/>
      <c r="R211" s="750">
        <f t="shared" si="21"/>
        <v>0</v>
      </c>
    </row>
    <row r="212" spans="2:18" s="757" customFormat="1" outlineLevel="2" x14ac:dyDescent="0.2">
      <c r="B212" s="745" t="s">
        <v>3831</v>
      </c>
      <c r="C212" s="751" t="s">
        <v>1635</v>
      </c>
      <c r="D212" s="752" t="s">
        <v>241</v>
      </c>
      <c r="E212" s="753"/>
      <c r="F212" s="753"/>
      <c r="G212" s="753"/>
      <c r="H212" s="753"/>
      <c r="I212" s="754">
        <f t="shared" si="19"/>
        <v>0</v>
      </c>
      <c r="J212" s="753"/>
      <c r="K212" s="748">
        <f t="shared" si="22"/>
        <v>0</v>
      </c>
      <c r="L212" s="753"/>
      <c r="M212" s="753"/>
      <c r="N212" s="753"/>
      <c r="O212" s="753"/>
      <c r="P212" s="756">
        <f t="shared" si="20"/>
        <v>0</v>
      </c>
      <c r="Q212" s="753"/>
      <c r="R212" s="750">
        <f t="shared" si="21"/>
        <v>0</v>
      </c>
    </row>
    <row r="213" spans="2:18" s="757" customFormat="1" outlineLevel="2" x14ac:dyDescent="0.2">
      <c r="B213" s="745" t="s">
        <v>3832</v>
      </c>
      <c r="C213" s="751" t="s">
        <v>1636</v>
      </c>
      <c r="D213" s="752" t="s">
        <v>241</v>
      </c>
      <c r="E213" s="753"/>
      <c r="F213" s="753"/>
      <c r="G213" s="753"/>
      <c r="H213" s="753"/>
      <c r="I213" s="754">
        <f t="shared" si="19"/>
        <v>0</v>
      </c>
      <c r="J213" s="753"/>
      <c r="K213" s="748">
        <f t="shared" si="22"/>
        <v>0</v>
      </c>
      <c r="L213" s="753"/>
      <c r="M213" s="753"/>
      <c r="N213" s="753"/>
      <c r="O213" s="753"/>
      <c r="P213" s="756">
        <f t="shared" si="20"/>
        <v>0</v>
      </c>
      <c r="Q213" s="753"/>
      <c r="R213" s="750">
        <f t="shared" si="21"/>
        <v>0</v>
      </c>
    </row>
    <row r="214" spans="2:18" s="757" customFormat="1" outlineLevel="2" x14ac:dyDescent="0.2">
      <c r="B214" s="745" t="s">
        <v>3833</v>
      </c>
      <c r="C214" s="751" t="s">
        <v>1637</v>
      </c>
      <c r="D214" s="752" t="s">
        <v>241</v>
      </c>
      <c r="E214" s="753"/>
      <c r="F214" s="753"/>
      <c r="G214" s="753"/>
      <c r="H214" s="753"/>
      <c r="I214" s="754">
        <f t="shared" si="19"/>
        <v>0</v>
      </c>
      <c r="J214" s="753"/>
      <c r="K214" s="748">
        <f t="shared" si="22"/>
        <v>0</v>
      </c>
      <c r="L214" s="753"/>
      <c r="M214" s="753"/>
      <c r="N214" s="753"/>
      <c r="O214" s="753"/>
      <c r="P214" s="756">
        <f t="shared" si="20"/>
        <v>0</v>
      </c>
      <c r="Q214" s="753"/>
      <c r="R214" s="750">
        <f t="shared" si="21"/>
        <v>0</v>
      </c>
    </row>
    <row r="215" spans="2:18" s="757" customFormat="1" outlineLevel="2" x14ac:dyDescent="0.2">
      <c r="B215" s="745" t="s">
        <v>3834</v>
      </c>
      <c r="C215" s="751" t="s">
        <v>1638</v>
      </c>
      <c r="D215" s="752" t="s">
        <v>241</v>
      </c>
      <c r="E215" s="753"/>
      <c r="F215" s="753"/>
      <c r="G215" s="753"/>
      <c r="H215" s="753"/>
      <c r="I215" s="754">
        <f t="shared" si="19"/>
        <v>0</v>
      </c>
      <c r="J215" s="753"/>
      <c r="K215" s="748">
        <f t="shared" si="22"/>
        <v>0</v>
      </c>
      <c r="L215" s="753"/>
      <c r="M215" s="753"/>
      <c r="N215" s="753"/>
      <c r="O215" s="753"/>
      <c r="P215" s="756">
        <f t="shared" si="20"/>
        <v>0</v>
      </c>
      <c r="Q215" s="753"/>
      <c r="R215" s="750">
        <f t="shared" si="21"/>
        <v>0</v>
      </c>
    </row>
    <row r="216" spans="2:18" s="757" customFormat="1" outlineLevel="2" x14ac:dyDescent="0.2">
      <c r="B216" s="745" t="s">
        <v>3835</v>
      </c>
      <c r="C216" s="751" t="s">
        <v>1639</v>
      </c>
      <c r="D216" s="752" t="s">
        <v>241</v>
      </c>
      <c r="E216" s="753"/>
      <c r="F216" s="753"/>
      <c r="G216" s="753"/>
      <c r="H216" s="753"/>
      <c r="I216" s="754">
        <f t="shared" si="19"/>
        <v>0</v>
      </c>
      <c r="J216" s="753"/>
      <c r="K216" s="748">
        <f t="shared" si="22"/>
        <v>0</v>
      </c>
      <c r="L216" s="753"/>
      <c r="M216" s="753"/>
      <c r="N216" s="753"/>
      <c r="O216" s="753"/>
      <c r="P216" s="756">
        <f t="shared" si="20"/>
        <v>0</v>
      </c>
      <c r="Q216" s="753"/>
      <c r="R216" s="750">
        <f t="shared" si="21"/>
        <v>0</v>
      </c>
    </row>
    <row r="217" spans="2:18" s="757" customFormat="1" outlineLevel="2" x14ac:dyDescent="0.2">
      <c r="B217" s="745" t="s">
        <v>3836</v>
      </c>
      <c r="C217" s="751" t="s">
        <v>1640</v>
      </c>
      <c r="D217" s="752" t="s">
        <v>241</v>
      </c>
      <c r="E217" s="753"/>
      <c r="F217" s="753"/>
      <c r="G217" s="753"/>
      <c r="H217" s="753"/>
      <c r="I217" s="754">
        <f t="shared" si="19"/>
        <v>0</v>
      </c>
      <c r="J217" s="753"/>
      <c r="K217" s="748">
        <f t="shared" si="22"/>
        <v>0</v>
      </c>
      <c r="L217" s="753"/>
      <c r="M217" s="753"/>
      <c r="N217" s="753"/>
      <c r="O217" s="753"/>
      <c r="P217" s="756">
        <f t="shared" si="20"/>
        <v>0</v>
      </c>
      <c r="Q217" s="753"/>
      <c r="R217" s="750">
        <f t="shared" si="21"/>
        <v>0</v>
      </c>
    </row>
    <row r="218" spans="2:18" s="757" customFormat="1" outlineLevel="2" x14ac:dyDescent="0.2">
      <c r="B218" s="745" t="s">
        <v>3837</v>
      </c>
      <c r="C218" s="751" t="s">
        <v>1641</v>
      </c>
      <c r="D218" s="752" t="s">
        <v>241</v>
      </c>
      <c r="E218" s="753"/>
      <c r="F218" s="753"/>
      <c r="G218" s="753"/>
      <c r="H218" s="753"/>
      <c r="I218" s="754">
        <f t="shared" si="19"/>
        <v>0</v>
      </c>
      <c r="J218" s="753"/>
      <c r="K218" s="748">
        <f t="shared" si="22"/>
        <v>0</v>
      </c>
      <c r="L218" s="753"/>
      <c r="M218" s="753"/>
      <c r="N218" s="753"/>
      <c r="O218" s="753"/>
      <c r="P218" s="756">
        <f t="shared" si="20"/>
        <v>0</v>
      </c>
      <c r="Q218" s="753"/>
      <c r="R218" s="750">
        <f t="shared" si="21"/>
        <v>0</v>
      </c>
    </row>
    <row r="219" spans="2:18" s="757" customFormat="1" outlineLevel="2" x14ac:dyDescent="0.2">
      <c r="B219" s="745" t="s">
        <v>3838</v>
      </c>
      <c r="C219" s="751" t="s">
        <v>1642</v>
      </c>
      <c r="D219" s="752" t="s">
        <v>241</v>
      </c>
      <c r="E219" s="753"/>
      <c r="F219" s="753"/>
      <c r="G219" s="753"/>
      <c r="H219" s="753"/>
      <c r="I219" s="754">
        <f t="shared" si="19"/>
        <v>0</v>
      </c>
      <c r="J219" s="753"/>
      <c r="K219" s="748">
        <f t="shared" si="22"/>
        <v>0</v>
      </c>
      <c r="L219" s="753"/>
      <c r="M219" s="753"/>
      <c r="N219" s="753"/>
      <c r="O219" s="753"/>
      <c r="P219" s="756">
        <f t="shared" si="20"/>
        <v>0</v>
      </c>
      <c r="Q219" s="753"/>
      <c r="R219" s="750">
        <f t="shared" si="21"/>
        <v>0</v>
      </c>
    </row>
    <row r="220" spans="2:18" s="757" customFormat="1" outlineLevel="2" x14ac:dyDescent="0.2">
      <c r="B220" s="745" t="s">
        <v>3839</v>
      </c>
      <c r="C220" s="751" t="s">
        <v>1643</v>
      </c>
      <c r="D220" s="752" t="s">
        <v>241</v>
      </c>
      <c r="E220" s="753"/>
      <c r="F220" s="753"/>
      <c r="G220" s="753"/>
      <c r="H220" s="753"/>
      <c r="I220" s="754">
        <f t="shared" si="19"/>
        <v>0</v>
      </c>
      <c r="J220" s="753"/>
      <c r="K220" s="748">
        <f t="shared" si="22"/>
        <v>0</v>
      </c>
      <c r="L220" s="753"/>
      <c r="M220" s="753"/>
      <c r="N220" s="753"/>
      <c r="O220" s="753"/>
      <c r="P220" s="756">
        <f t="shared" si="20"/>
        <v>0</v>
      </c>
      <c r="Q220" s="753"/>
      <c r="R220" s="750">
        <f t="shared" si="21"/>
        <v>0</v>
      </c>
    </row>
    <row r="221" spans="2:18" s="734" customFormat="1" outlineLevel="1" x14ac:dyDescent="0.2">
      <c r="B221" s="745" t="s">
        <v>3840</v>
      </c>
      <c r="C221" s="746">
        <v>2.5</v>
      </c>
      <c r="D221" s="131" t="s">
        <v>4799</v>
      </c>
      <c r="E221" s="747">
        <f>SUM(E222:E241)</f>
        <v>0</v>
      </c>
      <c r="F221" s="747">
        <f>SUM(F222:F241)</f>
        <v>0</v>
      </c>
      <c r="G221" s="747">
        <f>SUM(G222:G241)</f>
        <v>0</v>
      </c>
      <c r="H221" s="747">
        <f>SUM(H222:H241)</f>
        <v>0</v>
      </c>
      <c r="I221" s="748">
        <f t="shared" si="19"/>
        <v>0</v>
      </c>
      <c r="J221" s="747">
        <f>SUM(J222:J241)</f>
        <v>0</v>
      </c>
      <c r="K221" s="748">
        <f t="shared" si="22"/>
        <v>0</v>
      </c>
      <c r="L221" s="747">
        <f>SUM(L222:L241)</f>
        <v>0</v>
      </c>
      <c r="M221" s="747">
        <f>SUM(M222:M241)</f>
        <v>0</v>
      </c>
      <c r="N221" s="747">
        <f>SUM(N222:N241)</f>
        <v>0</v>
      </c>
      <c r="O221" s="747">
        <f>SUM(O222:O241)</f>
        <v>0</v>
      </c>
      <c r="P221" s="749">
        <f t="shared" si="20"/>
        <v>0</v>
      </c>
      <c r="Q221" s="747">
        <f>SUM(Q222:Q241)</f>
        <v>0</v>
      </c>
      <c r="R221" s="750">
        <f t="shared" si="21"/>
        <v>0</v>
      </c>
    </row>
    <row r="222" spans="2:18" s="757" customFormat="1" outlineLevel="2" x14ac:dyDescent="0.2">
      <c r="B222" s="745" t="s">
        <v>3841</v>
      </c>
      <c r="C222" s="751" t="s">
        <v>2391</v>
      </c>
      <c r="D222" s="752" t="s">
        <v>242</v>
      </c>
      <c r="E222" s="753" t="s">
        <v>669</v>
      </c>
      <c r="F222" s="753"/>
      <c r="G222" s="753"/>
      <c r="H222" s="753"/>
      <c r="I222" s="754">
        <f t="shared" si="19"/>
        <v>0</v>
      </c>
      <c r="J222" s="753"/>
      <c r="K222" s="748">
        <f t="shared" si="22"/>
        <v>0</v>
      </c>
      <c r="L222" s="753"/>
      <c r="M222" s="753"/>
      <c r="N222" s="753"/>
      <c r="O222" s="753"/>
      <c r="P222" s="756">
        <f t="shared" si="20"/>
        <v>0</v>
      </c>
      <c r="Q222" s="753"/>
      <c r="R222" s="750">
        <f t="shared" si="21"/>
        <v>0</v>
      </c>
    </row>
    <row r="223" spans="2:18" s="757" customFormat="1" outlineLevel="2" x14ac:dyDescent="0.2">
      <c r="B223" s="745" t="s">
        <v>3842</v>
      </c>
      <c r="C223" s="751" t="s">
        <v>2392</v>
      </c>
      <c r="D223" s="752" t="s">
        <v>242</v>
      </c>
      <c r="E223" s="753"/>
      <c r="F223" s="753"/>
      <c r="G223" s="753"/>
      <c r="H223" s="753"/>
      <c r="I223" s="754">
        <f t="shared" si="19"/>
        <v>0</v>
      </c>
      <c r="J223" s="753"/>
      <c r="K223" s="748">
        <f t="shared" si="22"/>
        <v>0</v>
      </c>
      <c r="L223" s="753"/>
      <c r="M223" s="753"/>
      <c r="N223" s="753"/>
      <c r="O223" s="753"/>
      <c r="P223" s="756">
        <f t="shared" si="20"/>
        <v>0</v>
      </c>
      <c r="Q223" s="753"/>
      <c r="R223" s="750">
        <f t="shared" si="21"/>
        <v>0</v>
      </c>
    </row>
    <row r="224" spans="2:18" s="757" customFormat="1" outlineLevel="2" x14ac:dyDescent="0.2">
      <c r="B224" s="745" t="s">
        <v>3843</v>
      </c>
      <c r="C224" s="751" t="s">
        <v>2393</v>
      </c>
      <c r="D224" s="752" t="s">
        <v>242</v>
      </c>
      <c r="E224" s="753"/>
      <c r="F224" s="753"/>
      <c r="G224" s="753"/>
      <c r="H224" s="753"/>
      <c r="I224" s="754">
        <f t="shared" si="19"/>
        <v>0</v>
      </c>
      <c r="J224" s="753"/>
      <c r="K224" s="748">
        <f t="shared" si="22"/>
        <v>0</v>
      </c>
      <c r="L224" s="753"/>
      <c r="M224" s="753"/>
      <c r="N224" s="753"/>
      <c r="O224" s="753"/>
      <c r="P224" s="756">
        <f t="shared" si="20"/>
        <v>0</v>
      </c>
      <c r="Q224" s="753"/>
      <c r="R224" s="750">
        <f t="shared" si="21"/>
        <v>0</v>
      </c>
    </row>
    <row r="225" spans="2:18" s="757" customFormat="1" outlineLevel="2" x14ac:dyDescent="0.2">
      <c r="B225" s="745" t="s">
        <v>3844</v>
      </c>
      <c r="C225" s="751" t="s">
        <v>2394</v>
      </c>
      <c r="D225" s="752" t="s">
        <v>242</v>
      </c>
      <c r="E225" s="753"/>
      <c r="F225" s="753"/>
      <c r="G225" s="753"/>
      <c r="H225" s="753"/>
      <c r="I225" s="754">
        <f t="shared" si="19"/>
        <v>0</v>
      </c>
      <c r="J225" s="753"/>
      <c r="K225" s="748">
        <f t="shared" si="22"/>
        <v>0</v>
      </c>
      <c r="L225" s="753"/>
      <c r="M225" s="753"/>
      <c r="N225" s="753"/>
      <c r="O225" s="753"/>
      <c r="P225" s="756">
        <f t="shared" si="20"/>
        <v>0</v>
      </c>
      <c r="Q225" s="753"/>
      <c r="R225" s="750">
        <f t="shared" si="21"/>
        <v>0</v>
      </c>
    </row>
    <row r="226" spans="2:18" s="757" customFormat="1" outlineLevel="2" x14ac:dyDescent="0.2">
      <c r="B226" s="745" t="s">
        <v>3845</v>
      </c>
      <c r="C226" s="751" t="s">
        <v>2395</v>
      </c>
      <c r="D226" s="752" t="s">
        <v>242</v>
      </c>
      <c r="E226" s="753"/>
      <c r="F226" s="753"/>
      <c r="G226" s="753"/>
      <c r="H226" s="753"/>
      <c r="I226" s="754">
        <f t="shared" si="19"/>
        <v>0</v>
      </c>
      <c r="J226" s="753"/>
      <c r="K226" s="748">
        <f t="shared" si="22"/>
        <v>0</v>
      </c>
      <c r="L226" s="753"/>
      <c r="M226" s="753"/>
      <c r="N226" s="753"/>
      <c r="O226" s="753"/>
      <c r="P226" s="756">
        <f t="shared" si="20"/>
        <v>0</v>
      </c>
      <c r="Q226" s="753"/>
      <c r="R226" s="750">
        <f t="shared" si="21"/>
        <v>0</v>
      </c>
    </row>
    <row r="227" spans="2:18" s="757" customFormat="1" outlineLevel="2" x14ac:dyDescent="0.2">
      <c r="B227" s="745" t="s">
        <v>3846</v>
      </c>
      <c r="C227" s="751" t="s">
        <v>2396</v>
      </c>
      <c r="D227" s="752" t="s">
        <v>242</v>
      </c>
      <c r="E227" s="753"/>
      <c r="F227" s="753"/>
      <c r="G227" s="753"/>
      <c r="H227" s="753"/>
      <c r="I227" s="754">
        <f t="shared" si="19"/>
        <v>0</v>
      </c>
      <c r="J227" s="753"/>
      <c r="K227" s="748">
        <f t="shared" si="22"/>
        <v>0</v>
      </c>
      <c r="L227" s="753"/>
      <c r="M227" s="753"/>
      <c r="N227" s="753"/>
      <c r="O227" s="753"/>
      <c r="P227" s="756">
        <f t="shared" si="20"/>
        <v>0</v>
      </c>
      <c r="Q227" s="753"/>
      <c r="R227" s="750">
        <f t="shared" si="21"/>
        <v>0</v>
      </c>
    </row>
    <row r="228" spans="2:18" s="757" customFormat="1" outlineLevel="2" x14ac:dyDescent="0.2">
      <c r="B228" s="745" t="s">
        <v>3847</v>
      </c>
      <c r="C228" s="751" t="s">
        <v>2397</v>
      </c>
      <c r="D228" s="752" t="s">
        <v>242</v>
      </c>
      <c r="E228" s="753"/>
      <c r="F228" s="753"/>
      <c r="G228" s="753"/>
      <c r="H228" s="753"/>
      <c r="I228" s="754">
        <f t="shared" si="19"/>
        <v>0</v>
      </c>
      <c r="J228" s="753"/>
      <c r="K228" s="748">
        <f t="shared" si="22"/>
        <v>0</v>
      </c>
      <c r="L228" s="753"/>
      <c r="M228" s="753"/>
      <c r="N228" s="753"/>
      <c r="O228" s="753"/>
      <c r="P228" s="756">
        <f t="shared" si="20"/>
        <v>0</v>
      </c>
      <c r="Q228" s="753"/>
      <c r="R228" s="750">
        <f t="shared" si="21"/>
        <v>0</v>
      </c>
    </row>
    <row r="229" spans="2:18" s="757" customFormat="1" outlineLevel="2" x14ac:dyDescent="0.2">
      <c r="B229" s="745" t="s">
        <v>3848</v>
      </c>
      <c r="C229" s="751" t="s">
        <v>2398</v>
      </c>
      <c r="D229" s="752" t="s">
        <v>242</v>
      </c>
      <c r="E229" s="753"/>
      <c r="F229" s="753"/>
      <c r="G229" s="753"/>
      <c r="H229" s="753"/>
      <c r="I229" s="754">
        <f t="shared" si="19"/>
        <v>0</v>
      </c>
      <c r="J229" s="753"/>
      <c r="K229" s="748">
        <f t="shared" si="22"/>
        <v>0</v>
      </c>
      <c r="L229" s="753"/>
      <c r="M229" s="753"/>
      <c r="N229" s="753"/>
      <c r="O229" s="753"/>
      <c r="P229" s="756">
        <f t="shared" si="20"/>
        <v>0</v>
      </c>
      <c r="Q229" s="753"/>
      <c r="R229" s="750">
        <f t="shared" si="21"/>
        <v>0</v>
      </c>
    </row>
    <row r="230" spans="2:18" s="757" customFormat="1" outlineLevel="2" x14ac:dyDescent="0.2">
      <c r="B230" s="745" t="s">
        <v>3849</v>
      </c>
      <c r="C230" s="751" t="s">
        <v>2399</v>
      </c>
      <c r="D230" s="752" t="s">
        <v>242</v>
      </c>
      <c r="E230" s="753"/>
      <c r="F230" s="753"/>
      <c r="G230" s="753"/>
      <c r="H230" s="753"/>
      <c r="I230" s="754">
        <f t="shared" si="19"/>
        <v>0</v>
      </c>
      <c r="J230" s="753"/>
      <c r="K230" s="748">
        <f t="shared" si="22"/>
        <v>0</v>
      </c>
      <c r="L230" s="753"/>
      <c r="M230" s="753"/>
      <c r="N230" s="753"/>
      <c r="O230" s="753"/>
      <c r="P230" s="756">
        <f t="shared" si="20"/>
        <v>0</v>
      </c>
      <c r="Q230" s="753"/>
      <c r="R230" s="750">
        <f t="shared" si="21"/>
        <v>0</v>
      </c>
    </row>
    <row r="231" spans="2:18" s="757" customFormat="1" outlineLevel="2" x14ac:dyDescent="0.2">
      <c r="B231" s="745" t="s">
        <v>3850</v>
      </c>
      <c r="C231" s="751" t="s">
        <v>2400</v>
      </c>
      <c r="D231" s="752" t="s">
        <v>242</v>
      </c>
      <c r="E231" s="753"/>
      <c r="F231" s="753"/>
      <c r="G231" s="753"/>
      <c r="H231" s="753"/>
      <c r="I231" s="754">
        <f t="shared" si="19"/>
        <v>0</v>
      </c>
      <c r="J231" s="753"/>
      <c r="K231" s="748">
        <f t="shared" si="22"/>
        <v>0</v>
      </c>
      <c r="L231" s="753"/>
      <c r="M231" s="753"/>
      <c r="N231" s="753"/>
      <c r="O231" s="753"/>
      <c r="P231" s="756">
        <f t="shared" si="20"/>
        <v>0</v>
      </c>
      <c r="Q231" s="753"/>
      <c r="R231" s="750">
        <f t="shared" si="21"/>
        <v>0</v>
      </c>
    </row>
    <row r="232" spans="2:18" s="757" customFormat="1" outlineLevel="2" x14ac:dyDescent="0.2">
      <c r="B232" s="745" t="s">
        <v>3851</v>
      </c>
      <c r="C232" s="751" t="s">
        <v>2401</v>
      </c>
      <c r="D232" s="752" t="s">
        <v>242</v>
      </c>
      <c r="E232" s="753"/>
      <c r="F232" s="753"/>
      <c r="G232" s="753"/>
      <c r="H232" s="753"/>
      <c r="I232" s="754">
        <f t="shared" si="19"/>
        <v>0</v>
      </c>
      <c r="J232" s="753"/>
      <c r="K232" s="748">
        <f t="shared" si="22"/>
        <v>0</v>
      </c>
      <c r="L232" s="753"/>
      <c r="M232" s="753"/>
      <c r="N232" s="753"/>
      <c r="O232" s="753"/>
      <c r="P232" s="756">
        <f t="shared" si="20"/>
        <v>0</v>
      </c>
      <c r="Q232" s="753"/>
      <c r="R232" s="750">
        <f t="shared" si="21"/>
        <v>0</v>
      </c>
    </row>
    <row r="233" spans="2:18" s="757" customFormat="1" outlineLevel="2" x14ac:dyDescent="0.2">
      <c r="B233" s="745" t="s">
        <v>3852</v>
      </c>
      <c r="C233" s="751" t="s">
        <v>2402</v>
      </c>
      <c r="D233" s="752" t="s">
        <v>242</v>
      </c>
      <c r="E233" s="753"/>
      <c r="F233" s="753"/>
      <c r="G233" s="753"/>
      <c r="H233" s="753"/>
      <c r="I233" s="754">
        <f t="shared" si="19"/>
        <v>0</v>
      </c>
      <c r="J233" s="753"/>
      <c r="K233" s="748">
        <f t="shared" si="22"/>
        <v>0</v>
      </c>
      <c r="L233" s="753"/>
      <c r="M233" s="753"/>
      <c r="N233" s="753"/>
      <c r="O233" s="753"/>
      <c r="P233" s="756">
        <f t="shared" si="20"/>
        <v>0</v>
      </c>
      <c r="Q233" s="753"/>
      <c r="R233" s="750">
        <f t="shared" si="21"/>
        <v>0</v>
      </c>
    </row>
    <row r="234" spans="2:18" s="757" customFormat="1" outlineLevel="2" x14ac:dyDescent="0.2">
      <c r="B234" s="745" t="s">
        <v>3853</v>
      </c>
      <c r="C234" s="751" t="s">
        <v>2403</v>
      </c>
      <c r="D234" s="752" t="s">
        <v>242</v>
      </c>
      <c r="E234" s="753"/>
      <c r="F234" s="753"/>
      <c r="G234" s="753"/>
      <c r="H234" s="753"/>
      <c r="I234" s="754">
        <f t="shared" si="19"/>
        <v>0</v>
      </c>
      <c r="J234" s="753"/>
      <c r="K234" s="748">
        <f t="shared" si="22"/>
        <v>0</v>
      </c>
      <c r="L234" s="753"/>
      <c r="M234" s="753"/>
      <c r="N234" s="753"/>
      <c r="O234" s="753"/>
      <c r="P234" s="756">
        <f t="shared" si="20"/>
        <v>0</v>
      </c>
      <c r="Q234" s="753"/>
      <c r="R234" s="750">
        <f t="shared" si="21"/>
        <v>0</v>
      </c>
    </row>
    <row r="235" spans="2:18" s="757" customFormat="1" outlineLevel="2" x14ac:dyDescent="0.2">
      <c r="B235" s="745" t="s">
        <v>3854</v>
      </c>
      <c r="C235" s="751" t="s">
        <v>2404</v>
      </c>
      <c r="D235" s="752" t="s">
        <v>242</v>
      </c>
      <c r="E235" s="753"/>
      <c r="F235" s="753"/>
      <c r="G235" s="753"/>
      <c r="H235" s="753"/>
      <c r="I235" s="754">
        <f t="shared" si="19"/>
        <v>0</v>
      </c>
      <c r="J235" s="753"/>
      <c r="K235" s="748">
        <f t="shared" si="22"/>
        <v>0</v>
      </c>
      <c r="L235" s="753"/>
      <c r="M235" s="753"/>
      <c r="N235" s="753"/>
      <c r="O235" s="753"/>
      <c r="P235" s="756">
        <f t="shared" si="20"/>
        <v>0</v>
      </c>
      <c r="Q235" s="753"/>
      <c r="R235" s="750">
        <f t="shared" si="21"/>
        <v>0</v>
      </c>
    </row>
    <row r="236" spans="2:18" s="757" customFormat="1" outlineLevel="2" x14ac:dyDescent="0.2">
      <c r="B236" s="745" t="s">
        <v>3855</v>
      </c>
      <c r="C236" s="751" t="s">
        <v>2405</v>
      </c>
      <c r="D236" s="752" t="s">
        <v>242</v>
      </c>
      <c r="E236" s="753"/>
      <c r="F236" s="753"/>
      <c r="G236" s="753"/>
      <c r="H236" s="753"/>
      <c r="I236" s="754">
        <f t="shared" si="19"/>
        <v>0</v>
      </c>
      <c r="J236" s="753"/>
      <c r="K236" s="748">
        <f t="shared" si="22"/>
        <v>0</v>
      </c>
      <c r="L236" s="753"/>
      <c r="M236" s="753"/>
      <c r="N236" s="753"/>
      <c r="O236" s="753"/>
      <c r="P236" s="756">
        <f t="shared" si="20"/>
        <v>0</v>
      </c>
      <c r="Q236" s="753"/>
      <c r="R236" s="750">
        <f t="shared" si="21"/>
        <v>0</v>
      </c>
    </row>
    <row r="237" spans="2:18" s="757" customFormat="1" outlineLevel="2" x14ac:dyDescent="0.2">
      <c r="B237" s="745" t="s">
        <v>3856</v>
      </c>
      <c r="C237" s="751" t="s">
        <v>2406</v>
      </c>
      <c r="D237" s="752" t="s">
        <v>242</v>
      </c>
      <c r="E237" s="753"/>
      <c r="F237" s="753"/>
      <c r="G237" s="753"/>
      <c r="H237" s="753"/>
      <c r="I237" s="754">
        <f t="shared" si="19"/>
        <v>0</v>
      </c>
      <c r="J237" s="753"/>
      <c r="K237" s="748">
        <f t="shared" si="22"/>
        <v>0</v>
      </c>
      <c r="L237" s="753"/>
      <c r="M237" s="753"/>
      <c r="N237" s="753"/>
      <c r="O237" s="753"/>
      <c r="P237" s="756">
        <f t="shared" si="20"/>
        <v>0</v>
      </c>
      <c r="Q237" s="753"/>
      <c r="R237" s="750">
        <f t="shared" si="21"/>
        <v>0</v>
      </c>
    </row>
    <row r="238" spans="2:18" s="757" customFormat="1" outlineLevel="2" x14ac:dyDescent="0.2">
      <c r="B238" s="745" t="s">
        <v>3857</v>
      </c>
      <c r="C238" s="751" t="s">
        <v>2407</v>
      </c>
      <c r="D238" s="752" t="s">
        <v>242</v>
      </c>
      <c r="E238" s="753"/>
      <c r="F238" s="753"/>
      <c r="G238" s="753"/>
      <c r="H238" s="753"/>
      <c r="I238" s="754">
        <f t="shared" si="19"/>
        <v>0</v>
      </c>
      <c r="J238" s="753"/>
      <c r="K238" s="748">
        <f t="shared" si="22"/>
        <v>0</v>
      </c>
      <c r="L238" s="753"/>
      <c r="M238" s="753"/>
      <c r="N238" s="753"/>
      <c r="O238" s="753"/>
      <c r="P238" s="756">
        <f t="shared" si="20"/>
        <v>0</v>
      </c>
      <c r="Q238" s="753"/>
      <c r="R238" s="750">
        <f t="shared" si="21"/>
        <v>0</v>
      </c>
    </row>
    <row r="239" spans="2:18" s="757" customFormat="1" outlineLevel="2" x14ac:dyDescent="0.2">
      <c r="B239" s="745" t="s">
        <v>3858</v>
      </c>
      <c r="C239" s="751" t="s">
        <v>2408</v>
      </c>
      <c r="D239" s="752" t="s">
        <v>242</v>
      </c>
      <c r="E239" s="753"/>
      <c r="F239" s="753"/>
      <c r="G239" s="753"/>
      <c r="H239" s="753"/>
      <c r="I239" s="754">
        <f t="shared" si="19"/>
        <v>0</v>
      </c>
      <c r="J239" s="753"/>
      <c r="K239" s="748">
        <f t="shared" si="22"/>
        <v>0</v>
      </c>
      <c r="L239" s="753"/>
      <c r="M239" s="753"/>
      <c r="N239" s="753"/>
      <c r="O239" s="753"/>
      <c r="P239" s="756">
        <f t="shared" si="20"/>
        <v>0</v>
      </c>
      <c r="Q239" s="753"/>
      <c r="R239" s="750">
        <f t="shared" si="21"/>
        <v>0</v>
      </c>
    </row>
    <row r="240" spans="2:18" s="757" customFormat="1" outlineLevel="2" x14ac:dyDescent="0.2">
      <c r="B240" s="745" t="s">
        <v>3859</v>
      </c>
      <c r="C240" s="751" t="s">
        <v>2409</v>
      </c>
      <c r="D240" s="752" t="s">
        <v>242</v>
      </c>
      <c r="E240" s="753"/>
      <c r="F240" s="753"/>
      <c r="G240" s="753"/>
      <c r="H240" s="753"/>
      <c r="I240" s="754">
        <f t="shared" si="19"/>
        <v>0</v>
      </c>
      <c r="J240" s="753"/>
      <c r="K240" s="748">
        <f t="shared" si="22"/>
        <v>0</v>
      </c>
      <c r="L240" s="753"/>
      <c r="M240" s="753"/>
      <c r="N240" s="753"/>
      <c r="O240" s="753"/>
      <c r="P240" s="756">
        <f t="shared" si="20"/>
        <v>0</v>
      </c>
      <c r="Q240" s="753"/>
      <c r="R240" s="750">
        <f t="shared" si="21"/>
        <v>0</v>
      </c>
    </row>
    <row r="241" spans="2:18" s="757" customFormat="1" outlineLevel="2" x14ac:dyDescent="0.2">
      <c r="B241" s="745" t="s">
        <v>3860</v>
      </c>
      <c r="C241" s="751" t="s">
        <v>2410</v>
      </c>
      <c r="D241" s="752" t="s">
        <v>242</v>
      </c>
      <c r="E241" s="753"/>
      <c r="F241" s="753"/>
      <c r="G241" s="753"/>
      <c r="H241" s="753"/>
      <c r="I241" s="754">
        <f t="shared" si="19"/>
        <v>0</v>
      </c>
      <c r="J241" s="753"/>
      <c r="K241" s="748">
        <f t="shared" si="22"/>
        <v>0</v>
      </c>
      <c r="L241" s="753"/>
      <c r="M241" s="753"/>
      <c r="N241" s="753"/>
      <c r="O241" s="753"/>
      <c r="P241" s="756">
        <f t="shared" si="20"/>
        <v>0</v>
      </c>
      <c r="Q241" s="753"/>
      <c r="R241" s="750">
        <f t="shared" si="21"/>
        <v>0</v>
      </c>
    </row>
    <row r="242" spans="2:18" s="734" customFormat="1" outlineLevel="1" x14ac:dyDescent="0.2">
      <c r="B242" s="745" t="s">
        <v>3861</v>
      </c>
      <c r="C242" s="746">
        <v>2.6</v>
      </c>
      <c r="D242" s="131" t="s">
        <v>4800</v>
      </c>
      <c r="E242" s="747">
        <f>SUM(E243:E262)</f>
        <v>0</v>
      </c>
      <c r="F242" s="747">
        <f>SUM(F243:F262)</f>
        <v>0</v>
      </c>
      <c r="G242" s="747">
        <f>SUM(G243:G262)</f>
        <v>0</v>
      </c>
      <c r="H242" s="747">
        <f>SUM(H243:H262)</f>
        <v>0</v>
      </c>
      <c r="I242" s="748">
        <f t="shared" si="19"/>
        <v>0</v>
      </c>
      <c r="J242" s="747">
        <f>SUM(J243:J262)</f>
        <v>0</v>
      </c>
      <c r="K242" s="748">
        <f t="shared" si="22"/>
        <v>0</v>
      </c>
      <c r="L242" s="747">
        <f>SUM(L243:L262)</f>
        <v>0</v>
      </c>
      <c r="M242" s="747">
        <f>SUM(M243:M262)</f>
        <v>0</v>
      </c>
      <c r="N242" s="747">
        <f>SUM(N243:N262)</f>
        <v>0</v>
      </c>
      <c r="O242" s="747">
        <f>SUM(O243:O262)</f>
        <v>0</v>
      </c>
      <c r="P242" s="749">
        <f t="shared" si="20"/>
        <v>0</v>
      </c>
      <c r="Q242" s="747">
        <f>SUM(Q243:Q262)</f>
        <v>0</v>
      </c>
      <c r="R242" s="750">
        <f t="shared" si="21"/>
        <v>0</v>
      </c>
    </row>
    <row r="243" spans="2:18" s="757" customFormat="1" outlineLevel="2" x14ac:dyDescent="0.2">
      <c r="B243" s="745" t="s">
        <v>3862</v>
      </c>
      <c r="C243" s="751" t="s">
        <v>2411</v>
      </c>
      <c r="D243" s="752" t="s">
        <v>242</v>
      </c>
      <c r="E243" s="753"/>
      <c r="F243" s="753"/>
      <c r="G243" s="753"/>
      <c r="H243" s="753"/>
      <c r="I243" s="754">
        <f t="shared" si="19"/>
        <v>0</v>
      </c>
      <c r="J243" s="755"/>
      <c r="K243" s="748">
        <f t="shared" si="22"/>
        <v>0</v>
      </c>
      <c r="L243" s="753"/>
      <c r="M243" s="753"/>
      <c r="N243" s="753"/>
      <c r="O243" s="753"/>
      <c r="P243" s="756">
        <f t="shared" si="20"/>
        <v>0</v>
      </c>
      <c r="Q243" s="755"/>
      <c r="R243" s="750">
        <f t="shared" si="21"/>
        <v>0</v>
      </c>
    </row>
    <row r="244" spans="2:18" s="757" customFormat="1" outlineLevel="2" x14ac:dyDescent="0.2">
      <c r="B244" s="745" t="s">
        <v>3863</v>
      </c>
      <c r="C244" s="751" t="s">
        <v>2412</v>
      </c>
      <c r="D244" s="752" t="s">
        <v>242</v>
      </c>
      <c r="E244" s="753"/>
      <c r="F244" s="753"/>
      <c r="G244" s="753"/>
      <c r="H244" s="753"/>
      <c r="I244" s="754">
        <f t="shared" si="19"/>
        <v>0</v>
      </c>
      <c r="J244" s="755"/>
      <c r="K244" s="748">
        <f t="shared" si="22"/>
        <v>0</v>
      </c>
      <c r="L244" s="753"/>
      <c r="M244" s="753"/>
      <c r="N244" s="753"/>
      <c r="O244" s="753"/>
      <c r="P244" s="756">
        <f t="shared" si="20"/>
        <v>0</v>
      </c>
      <c r="Q244" s="755"/>
      <c r="R244" s="750">
        <f t="shared" si="21"/>
        <v>0</v>
      </c>
    </row>
    <row r="245" spans="2:18" s="757" customFormat="1" outlineLevel="2" x14ac:dyDescent="0.2">
      <c r="B245" s="745" t="s">
        <v>3864</v>
      </c>
      <c r="C245" s="751" t="s">
        <v>2413</v>
      </c>
      <c r="D245" s="752" t="s">
        <v>242</v>
      </c>
      <c r="E245" s="753"/>
      <c r="F245" s="753"/>
      <c r="G245" s="753"/>
      <c r="H245" s="753"/>
      <c r="I245" s="754">
        <f t="shared" si="19"/>
        <v>0</v>
      </c>
      <c r="J245" s="755"/>
      <c r="K245" s="748">
        <f t="shared" si="22"/>
        <v>0</v>
      </c>
      <c r="L245" s="753"/>
      <c r="M245" s="753"/>
      <c r="N245" s="753"/>
      <c r="O245" s="753"/>
      <c r="P245" s="756">
        <f t="shared" si="20"/>
        <v>0</v>
      </c>
      <c r="Q245" s="755"/>
      <c r="R245" s="750">
        <f t="shared" si="21"/>
        <v>0</v>
      </c>
    </row>
    <row r="246" spans="2:18" s="757" customFormat="1" outlineLevel="2" x14ac:dyDescent="0.2">
      <c r="B246" s="745" t="s">
        <v>3865</v>
      </c>
      <c r="C246" s="751" t="s">
        <v>2414</v>
      </c>
      <c r="D246" s="752" t="s">
        <v>242</v>
      </c>
      <c r="E246" s="753"/>
      <c r="F246" s="753"/>
      <c r="G246" s="753"/>
      <c r="H246" s="753"/>
      <c r="I246" s="754">
        <f t="shared" si="19"/>
        <v>0</v>
      </c>
      <c r="J246" s="755"/>
      <c r="K246" s="748">
        <f t="shared" si="22"/>
        <v>0</v>
      </c>
      <c r="L246" s="753"/>
      <c r="M246" s="753"/>
      <c r="N246" s="753"/>
      <c r="O246" s="753"/>
      <c r="P246" s="756">
        <f t="shared" si="20"/>
        <v>0</v>
      </c>
      <c r="Q246" s="755"/>
      <c r="R246" s="750">
        <f t="shared" si="21"/>
        <v>0</v>
      </c>
    </row>
    <row r="247" spans="2:18" s="757" customFormat="1" outlineLevel="2" x14ac:dyDescent="0.2">
      <c r="B247" s="745" t="s">
        <v>3866</v>
      </c>
      <c r="C247" s="751" t="s">
        <v>2415</v>
      </c>
      <c r="D247" s="752" t="s">
        <v>242</v>
      </c>
      <c r="E247" s="753"/>
      <c r="F247" s="753"/>
      <c r="G247" s="753"/>
      <c r="H247" s="753"/>
      <c r="I247" s="754">
        <f t="shared" si="19"/>
        <v>0</v>
      </c>
      <c r="J247" s="755"/>
      <c r="K247" s="748">
        <f t="shared" si="22"/>
        <v>0</v>
      </c>
      <c r="L247" s="753"/>
      <c r="M247" s="753"/>
      <c r="N247" s="753"/>
      <c r="O247" s="753"/>
      <c r="P247" s="756">
        <f t="shared" si="20"/>
        <v>0</v>
      </c>
      <c r="Q247" s="755"/>
      <c r="R247" s="750">
        <f t="shared" si="21"/>
        <v>0</v>
      </c>
    </row>
    <row r="248" spans="2:18" s="757" customFormat="1" outlineLevel="2" x14ac:dyDescent="0.2">
      <c r="B248" s="745" t="s">
        <v>3867</v>
      </c>
      <c r="C248" s="751" t="s">
        <v>2416</v>
      </c>
      <c r="D248" s="752" t="s">
        <v>242</v>
      </c>
      <c r="E248" s="753"/>
      <c r="F248" s="753"/>
      <c r="G248" s="753"/>
      <c r="H248" s="753"/>
      <c r="I248" s="754">
        <f t="shared" si="19"/>
        <v>0</v>
      </c>
      <c r="J248" s="755"/>
      <c r="K248" s="748">
        <f t="shared" si="22"/>
        <v>0</v>
      </c>
      <c r="L248" s="753"/>
      <c r="M248" s="753"/>
      <c r="N248" s="753"/>
      <c r="O248" s="753"/>
      <c r="P248" s="756">
        <f t="shared" si="20"/>
        <v>0</v>
      </c>
      <c r="Q248" s="755"/>
      <c r="R248" s="750">
        <f t="shared" si="21"/>
        <v>0</v>
      </c>
    </row>
    <row r="249" spans="2:18" s="757" customFormat="1" outlineLevel="2" x14ac:dyDescent="0.2">
      <c r="B249" s="745" t="s">
        <v>3868</v>
      </c>
      <c r="C249" s="751" t="s">
        <v>2417</v>
      </c>
      <c r="D249" s="752" t="s">
        <v>242</v>
      </c>
      <c r="E249" s="753"/>
      <c r="F249" s="753"/>
      <c r="G249" s="753"/>
      <c r="H249" s="753"/>
      <c r="I249" s="754">
        <f t="shared" si="19"/>
        <v>0</v>
      </c>
      <c r="J249" s="755"/>
      <c r="K249" s="748">
        <f t="shared" si="22"/>
        <v>0</v>
      </c>
      <c r="L249" s="753"/>
      <c r="M249" s="753"/>
      <c r="N249" s="753"/>
      <c r="O249" s="753"/>
      <c r="P249" s="756">
        <f t="shared" si="20"/>
        <v>0</v>
      </c>
      <c r="Q249" s="755"/>
      <c r="R249" s="750">
        <f t="shared" si="21"/>
        <v>0</v>
      </c>
    </row>
    <row r="250" spans="2:18" s="757" customFormat="1" outlineLevel="2" x14ac:dyDescent="0.2">
      <c r="B250" s="745" t="s">
        <v>3869</v>
      </c>
      <c r="C250" s="751" t="s">
        <v>2418</v>
      </c>
      <c r="D250" s="752" t="s">
        <v>242</v>
      </c>
      <c r="E250" s="753"/>
      <c r="F250" s="753"/>
      <c r="G250" s="753"/>
      <c r="H250" s="753"/>
      <c r="I250" s="754">
        <f t="shared" si="19"/>
        <v>0</v>
      </c>
      <c r="J250" s="755"/>
      <c r="K250" s="748">
        <f t="shared" si="22"/>
        <v>0</v>
      </c>
      <c r="L250" s="753"/>
      <c r="M250" s="753"/>
      <c r="N250" s="753"/>
      <c r="O250" s="753"/>
      <c r="P250" s="756">
        <f t="shared" si="20"/>
        <v>0</v>
      </c>
      <c r="Q250" s="755"/>
      <c r="R250" s="750">
        <f t="shared" si="21"/>
        <v>0</v>
      </c>
    </row>
    <row r="251" spans="2:18" s="757" customFormat="1" outlineLevel="2" x14ac:dyDescent="0.2">
      <c r="B251" s="745" t="s">
        <v>3870</v>
      </c>
      <c r="C251" s="751" t="s">
        <v>2419</v>
      </c>
      <c r="D251" s="752" t="s">
        <v>242</v>
      </c>
      <c r="E251" s="753"/>
      <c r="F251" s="753"/>
      <c r="G251" s="753"/>
      <c r="H251" s="753"/>
      <c r="I251" s="754">
        <f t="shared" si="19"/>
        <v>0</v>
      </c>
      <c r="J251" s="755"/>
      <c r="K251" s="748">
        <f t="shared" si="22"/>
        <v>0</v>
      </c>
      <c r="L251" s="753"/>
      <c r="M251" s="753"/>
      <c r="N251" s="753"/>
      <c r="O251" s="753"/>
      <c r="P251" s="756">
        <f t="shared" si="20"/>
        <v>0</v>
      </c>
      <c r="Q251" s="755"/>
      <c r="R251" s="750">
        <f t="shared" si="21"/>
        <v>0</v>
      </c>
    </row>
    <row r="252" spans="2:18" s="757" customFormat="1" outlineLevel="2" x14ac:dyDescent="0.2">
      <c r="B252" s="745" t="s">
        <v>3871</v>
      </c>
      <c r="C252" s="751" t="s">
        <v>2420</v>
      </c>
      <c r="D252" s="752" t="s">
        <v>242</v>
      </c>
      <c r="E252" s="753"/>
      <c r="F252" s="753"/>
      <c r="G252" s="753"/>
      <c r="H252" s="753"/>
      <c r="I252" s="754">
        <f t="shared" si="19"/>
        <v>0</v>
      </c>
      <c r="J252" s="755"/>
      <c r="K252" s="748">
        <f t="shared" si="22"/>
        <v>0</v>
      </c>
      <c r="L252" s="753"/>
      <c r="M252" s="753"/>
      <c r="N252" s="753"/>
      <c r="O252" s="753"/>
      <c r="P252" s="756">
        <f t="shared" si="20"/>
        <v>0</v>
      </c>
      <c r="Q252" s="755"/>
      <c r="R252" s="750">
        <f t="shared" si="21"/>
        <v>0</v>
      </c>
    </row>
    <row r="253" spans="2:18" s="757" customFormat="1" outlineLevel="2" x14ac:dyDescent="0.2">
      <c r="B253" s="745" t="s">
        <v>3872</v>
      </c>
      <c r="C253" s="751" t="s">
        <v>2421</v>
      </c>
      <c r="D253" s="752" t="s">
        <v>242</v>
      </c>
      <c r="E253" s="753"/>
      <c r="F253" s="753"/>
      <c r="G253" s="753"/>
      <c r="H253" s="753"/>
      <c r="I253" s="754">
        <f t="shared" si="19"/>
        <v>0</v>
      </c>
      <c r="J253" s="755"/>
      <c r="K253" s="748">
        <f t="shared" si="22"/>
        <v>0</v>
      </c>
      <c r="L253" s="753"/>
      <c r="M253" s="753"/>
      <c r="N253" s="753"/>
      <c r="O253" s="753"/>
      <c r="P253" s="756">
        <f t="shared" si="20"/>
        <v>0</v>
      </c>
      <c r="Q253" s="755"/>
      <c r="R253" s="750">
        <f t="shared" si="21"/>
        <v>0</v>
      </c>
    </row>
    <row r="254" spans="2:18" s="757" customFormat="1" outlineLevel="2" x14ac:dyDescent="0.2">
      <c r="B254" s="745" t="s">
        <v>3873</v>
      </c>
      <c r="C254" s="751" t="s">
        <v>2422</v>
      </c>
      <c r="D254" s="752" t="s">
        <v>242</v>
      </c>
      <c r="E254" s="753"/>
      <c r="F254" s="753"/>
      <c r="G254" s="753"/>
      <c r="H254" s="753"/>
      <c r="I254" s="754">
        <f t="shared" si="19"/>
        <v>0</v>
      </c>
      <c r="J254" s="755"/>
      <c r="K254" s="748">
        <f t="shared" si="22"/>
        <v>0</v>
      </c>
      <c r="L254" s="753"/>
      <c r="M254" s="753"/>
      <c r="N254" s="753"/>
      <c r="O254" s="753"/>
      <c r="P254" s="756">
        <f t="shared" si="20"/>
        <v>0</v>
      </c>
      <c r="Q254" s="755"/>
      <c r="R254" s="750">
        <f t="shared" si="21"/>
        <v>0</v>
      </c>
    </row>
    <row r="255" spans="2:18" s="757" customFormat="1" outlineLevel="2" x14ac:dyDescent="0.2">
      <c r="B255" s="745" t="s">
        <v>3874</v>
      </c>
      <c r="C255" s="751" t="s">
        <v>2423</v>
      </c>
      <c r="D255" s="752" t="s">
        <v>242</v>
      </c>
      <c r="E255" s="753"/>
      <c r="F255" s="753"/>
      <c r="G255" s="753"/>
      <c r="H255" s="753"/>
      <c r="I255" s="754">
        <f t="shared" si="19"/>
        <v>0</v>
      </c>
      <c r="J255" s="755"/>
      <c r="K255" s="748">
        <f t="shared" si="22"/>
        <v>0</v>
      </c>
      <c r="L255" s="753"/>
      <c r="M255" s="753"/>
      <c r="N255" s="753"/>
      <c r="O255" s="753"/>
      <c r="P255" s="756">
        <f t="shared" si="20"/>
        <v>0</v>
      </c>
      <c r="Q255" s="755"/>
      <c r="R255" s="750">
        <f t="shared" si="21"/>
        <v>0</v>
      </c>
    </row>
    <row r="256" spans="2:18" s="757" customFormat="1" outlineLevel="2" x14ac:dyDescent="0.2">
      <c r="B256" s="745" t="s">
        <v>3875</v>
      </c>
      <c r="C256" s="751" t="s">
        <v>2424</v>
      </c>
      <c r="D256" s="752" t="s">
        <v>242</v>
      </c>
      <c r="E256" s="753"/>
      <c r="F256" s="753"/>
      <c r="G256" s="753"/>
      <c r="H256" s="753"/>
      <c r="I256" s="754">
        <f t="shared" si="19"/>
        <v>0</v>
      </c>
      <c r="J256" s="755"/>
      <c r="K256" s="748">
        <f t="shared" si="22"/>
        <v>0</v>
      </c>
      <c r="L256" s="753"/>
      <c r="M256" s="753"/>
      <c r="N256" s="753"/>
      <c r="O256" s="753"/>
      <c r="P256" s="756">
        <f t="shared" si="20"/>
        <v>0</v>
      </c>
      <c r="Q256" s="755"/>
      <c r="R256" s="750">
        <f t="shared" si="21"/>
        <v>0</v>
      </c>
    </row>
    <row r="257" spans="2:18" s="757" customFormat="1" outlineLevel="2" x14ac:dyDescent="0.2">
      <c r="B257" s="745" t="s">
        <v>3876</v>
      </c>
      <c r="C257" s="751" t="s">
        <v>2425</v>
      </c>
      <c r="D257" s="752" t="s">
        <v>242</v>
      </c>
      <c r="E257" s="753"/>
      <c r="F257" s="753"/>
      <c r="G257" s="753"/>
      <c r="H257" s="753"/>
      <c r="I257" s="754">
        <f t="shared" si="19"/>
        <v>0</v>
      </c>
      <c r="J257" s="755"/>
      <c r="K257" s="748">
        <f t="shared" si="22"/>
        <v>0</v>
      </c>
      <c r="L257" s="753"/>
      <c r="M257" s="753"/>
      <c r="N257" s="753"/>
      <c r="O257" s="753"/>
      <c r="P257" s="756">
        <f t="shared" si="20"/>
        <v>0</v>
      </c>
      <c r="Q257" s="755"/>
      <c r="R257" s="750">
        <f t="shared" si="21"/>
        <v>0</v>
      </c>
    </row>
    <row r="258" spans="2:18" s="757" customFormat="1" outlineLevel="2" x14ac:dyDescent="0.2">
      <c r="B258" s="745" t="s">
        <v>3877</v>
      </c>
      <c r="C258" s="751" t="s">
        <v>2426</v>
      </c>
      <c r="D258" s="752" t="s">
        <v>242</v>
      </c>
      <c r="E258" s="753"/>
      <c r="F258" s="753"/>
      <c r="G258" s="753"/>
      <c r="H258" s="753"/>
      <c r="I258" s="754">
        <f t="shared" si="19"/>
        <v>0</v>
      </c>
      <c r="J258" s="755"/>
      <c r="K258" s="748">
        <f t="shared" si="22"/>
        <v>0</v>
      </c>
      <c r="L258" s="753"/>
      <c r="M258" s="753"/>
      <c r="N258" s="753"/>
      <c r="O258" s="753"/>
      <c r="P258" s="756">
        <f t="shared" si="20"/>
        <v>0</v>
      </c>
      <c r="Q258" s="755"/>
      <c r="R258" s="750">
        <f t="shared" si="21"/>
        <v>0</v>
      </c>
    </row>
    <row r="259" spans="2:18" s="757" customFormat="1" outlineLevel="2" x14ac:dyDescent="0.2">
      <c r="B259" s="745" t="s">
        <v>3878</v>
      </c>
      <c r="C259" s="751" t="s">
        <v>2427</v>
      </c>
      <c r="D259" s="752" t="s">
        <v>242</v>
      </c>
      <c r="E259" s="753"/>
      <c r="F259" s="753"/>
      <c r="G259" s="753"/>
      <c r="H259" s="753"/>
      <c r="I259" s="754">
        <f t="shared" si="19"/>
        <v>0</v>
      </c>
      <c r="J259" s="755"/>
      <c r="K259" s="748">
        <f t="shared" si="22"/>
        <v>0</v>
      </c>
      <c r="L259" s="753"/>
      <c r="M259" s="753"/>
      <c r="N259" s="753"/>
      <c r="O259" s="753"/>
      <c r="P259" s="756">
        <f t="shared" si="20"/>
        <v>0</v>
      </c>
      <c r="Q259" s="755"/>
      <c r="R259" s="750">
        <f t="shared" si="21"/>
        <v>0</v>
      </c>
    </row>
    <row r="260" spans="2:18" s="757" customFormat="1" outlineLevel="2" x14ac:dyDescent="0.2">
      <c r="B260" s="745" t="s">
        <v>3879</v>
      </c>
      <c r="C260" s="751" t="s">
        <v>2428</v>
      </c>
      <c r="D260" s="752" t="s">
        <v>242</v>
      </c>
      <c r="E260" s="753"/>
      <c r="F260" s="753"/>
      <c r="G260" s="753"/>
      <c r="H260" s="753"/>
      <c r="I260" s="754">
        <f t="shared" si="19"/>
        <v>0</v>
      </c>
      <c r="J260" s="755"/>
      <c r="K260" s="748">
        <f t="shared" si="22"/>
        <v>0</v>
      </c>
      <c r="L260" s="753"/>
      <c r="M260" s="753"/>
      <c r="N260" s="753"/>
      <c r="O260" s="753"/>
      <c r="P260" s="756">
        <f t="shared" si="20"/>
        <v>0</v>
      </c>
      <c r="Q260" s="755"/>
      <c r="R260" s="750">
        <f t="shared" si="21"/>
        <v>0</v>
      </c>
    </row>
    <row r="261" spans="2:18" s="757" customFormat="1" outlineLevel="2" x14ac:dyDescent="0.2">
      <c r="B261" s="745" t="s">
        <v>3880</v>
      </c>
      <c r="C261" s="751" t="s">
        <v>2429</v>
      </c>
      <c r="D261" s="752" t="s">
        <v>242</v>
      </c>
      <c r="E261" s="753"/>
      <c r="F261" s="753"/>
      <c r="G261" s="753"/>
      <c r="H261" s="753"/>
      <c r="I261" s="754">
        <f t="shared" si="19"/>
        <v>0</v>
      </c>
      <c r="J261" s="755"/>
      <c r="K261" s="748">
        <f t="shared" si="22"/>
        <v>0</v>
      </c>
      <c r="L261" s="753"/>
      <c r="M261" s="753"/>
      <c r="N261" s="753"/>
      <c r="O261" s="753"/>
      <c r="P261" s="756">
        <f t="shared" si="20"/>
        <v>0</v>
      </c>
      <c r="Q261" s="755"/>
      <c r="R261" s="750">
        <f t="shared" si="21"/>
        <v>0</v>
      </c>
    </row>
    <row r="262" spans="2:18" s="757" customFormat="1" outlineLevel="2" x14ac:dyDescent="0.2">
      <c r="B262" s="745" t="s">
        <v>3881</v>
      </c>
      <c r="C262" s="751" t="s">
        <v>2430</v>
      </c>
      <c r="D262" s="752" t="s">
        <v>242</v>
      </c>
      <c r="E262" s="753"/>
      <c r="F262" s="753"/>
      <c r="G262" s="753"/>
      <c r="H262" s="753"/>
      <c r="I262" s="754">
        <f t="shared" si="19"/>
        <v>0</v>
      </c>
      <c r="J262" s="755"/>
      <c r="K262" s="748">
        <f t="shared" si="22"/>
        <v>0</v>
      </c>
      <c r="L262" s="753"/>
      <c r="M262" s="753"/>
      <c r="N262" s="753"/>
      <c r="O262" s="753"/>
      <c r="P262" s="756">
        <f t="shared" si="20"/>
        <v>0</v>
      </c>
      <c r="Q262" s="755"/>
      <c r="R262" s="750">
        <f t="shared" si="21"/>
        <v>0</v>
      </c>
    </row>
    <row r="263" spans="2:18" s="744" customFormat="1" x14ac:dyDescent="0.2">
      <c r="B263" s="745" t="s">
        <v>3882</v>
      </c>
      <c r="C263" s="758">
        <v>3</v>
      </c>
      <c r="D263" s="150" t="s">
        <v>244</v>
      </c>
      <c r="E263" s="759">
        <f t="shared" ref="E263:R263" si="23">E264+E285+E306+E327+E348+E369</f>
        <v>0</v>
      </c>
      <c r="F263" s="759">
        <f t="shared" si="23"/>
        <v>0</v>
      </c>
      <c r="G263" s="759">
        <f t="shared" si="23"/>
        <v>0</v>
      </c>
      <c r="H263" s="759">
        <f t="shared" si="23"/>
        <v>0</v>
      </c>
      <c r="I263" s="760">
        <f t="shared" si="23"/>
        <v>0</v>
      </c>
      <c r="J263" s="761">
        <f t="shared" si="23"/>
        <v>0</v>
      </c>
      <c r="K263" s="760">
        <f t="shared" si="23"/>
        <v>0</v>
      </c>
      <c r="L263" s="759">
        <f t="shared" si="23"/>
        <v>0</v>
      </c>
      <c r="M263" s="759">
        <f t="shared" si="23"/>
        <v>0</v>
      </c>
      <c r="N263" s="759">
        <f t="shared" si="23"/>
        <v>0</v>
      </c>
      <c r="O263" s="759">
        <f t="shared" si="23"/>
        <v>0</v>
      </c>
      <c r="P263" s="762">
        <f t="shared" si="23"/>
        <v>0</v>
      </c>
      <c r="Q263" s="761">
        <f t="shared" si="23"/>
        <v>0</v>
      </c>
      <c r="R263" s="763">
        <f t="shared" si="23"/>
        <v>0</v>
      </c>
    </row>
    <row r="264" spans="2:18" s="734" customFormat="1" outlineLevel="1" x14ac:dyDescent="0.2">
      <c r="B264" s="745" t="s">
        <v>3883</v>
      </c>
      <c r="C264" s="746">
        <v>3.1</v>
      </c>
      <c r="D264" s="131" t="s">
        <v>236</v>
      </c>
      <c r="E264" s="747">
        <f>SUM(E265:E284)</f>
        <v>0</v>
      </c>
      <c r="F264" s="747">
        <f>SUM(F265:F284)</f>
        <v>0</v>
      </c>
      <c r="G264" s="747">
        <f>SUM(G265:G284)</f>
        <v>0</v>
      </c>
      <c r="H264" s="747">
        <f>SUM(H265:H284)</f>
        <v>0</v>
      </c>
      <c r="I264" s="748">
        <f t="shared" ref="I264:I327" si="24">SUM(E264:H264)</f>
        <v>0</v>
      </c>
      <c r="J264" s="747">
        <f>SUM(J265:J284)</f>
        <v>0</v>
      </c>
      <c r="K264" s="748">
        <f t="shared" si="22"/>
        <v>0</v>
      </c>
      <c r="L264" s="747">
        <f>SUM(L265:L284)</f>
        <v>0</v>
      </c>
      <c r="M264" s="747">
        <f>SUM(M265:M284)</f>
        <v>0</v>
      </c>
      <c r="N264" s="747">
        <f>SUM(N265:N284)</f>
        <v>0</v>
      </c>
      <c r="O264" s="747">
        <f>SUM(O265:O284)</f>
        <v>0</v>
      </c>
      <c r="P264" s="749">
        <f t="shared" ref="P264:P327" si="25">SUM(L264:O264)</f>
        <v>0</v>
      </c>
      <c r="Q264" s="747">
        <f>SUM(Q265:Q284)</f>
        <v>0</v>
      </c>
      <c r="R264" s="750">
        <f t="shared" ref="R264:R327" si="26">P264-Q264</f>
        <v>0</v>
      </c>
    </row>
    <row r="265" spans="2:18" s="757" customFormat="1" outlineLevel="2" x14ac:dyDescent="0.2">
      <c r="B265" s="745" t="s">
        <v>3884</v>
      </c>
      <c r="C265" s="751" t="s">
        <v>450</v>
      </c>
      <c r="D265" s="752" t="s">
        <v>239</v>
      </c>
      <c r="E265" s="753"/>
      <c r="F265" s="753"/>
      <c r="G265" s="753"/>
      <c r="H265" s="753"/>
      <c r="I265" s="754">
        <f t="shared" si="24"/>
        <v>0</v>
      </c>
      <c r="J265" s="753"/>
      <c r="K265" s="748">
        <f t="shared" si="22"/>
        <v>0</v>
      </c>
      <c r="L265" s="753"/>
      <c r="M265" s="753"/>
      <c r="N265" s="753"/>
      <c r="O265" s="753"/>
      <c r="P265" s="756">
        <f t="shared" si="25"/>
        <v>0</v>
      </c>
      <c r="Q265" s="753"/>
      <c r="R265" s="750">
        <f t="shared" si="26"/>
        <v>0</v>
      </c>
    </row>
    <row r="266" spans="2:18" s="757" customFormat="1" outlineLevel="2" x14ac:dyDescent="0.2">
      <c r="B266" s="745" t="s">
        <v>3885</v>
      </c>
      <c r="C266" s="751" t="s">
        <v>451</v>
      </c>
      <c r="D266" s="752" t="s">
        <v>239</v>
      </c>
      <c r="E266" s="753"/>
      <c r="F266" s="753"/>
      <c r="G266" s="753"/>
      <c r="H266" s="753"/>
      <c r="I266" s="754">
        <f t="shared" si="24"/>
        <v>0</v>
      </c>
      <c r="J266" s="753"/>
      <c r="K266" s="748">
        <f t="shared" si="22"/>
        <v>0</v>
      </c>
      <c r="L266" s="753"/>
      <c r="M266" s="753"/>
      <c r="N266" s="753"/>
      <c r="O266" s="753"/>
      <c r="P266" s="756">
        <f t="shared" si="25"/>
        <v>0</v>
      </c>
      <c r="Q266" s="753"/>
      <c r="R266" s="750">
        <f t="shared" si="26"/>
        <v>0</v>
      </c>
    </row>
    <row r="267" spans="2:18" s="757" customFormat="1" outlineLevel="2" x14ac:dyDescent="0.2">
      <c r="B267" s="745" t="s">
        <v>3886</v>
      </c>
      <c r="C267" s="751" t="s">
        <v>458</v>
      </c>
      <c r="D267" s="752" t="s">
        <v>239</v>
      </c>
      <c r="E267" s="753"/>
      <c r="F267" s="753"/>
      <c r="G267" s="753"/>
      <c r="H267" s="753"/>
      <c r="I267" s="754">
        <f t="shared" si="24"/>
        <v>0</v>
      </c>
      <c r="J267" s="753"/>
      <c r="K267" s="748">
        <f t="shared" ref="K267:K330" si="27">I267-J267</f>
        <v>0</v>
      </c>
      <c r="L267" s="753"/>
      <c r="M267" s="753"/>
      <c r="N267" s="753"/>
      <c r="O267" s="753"/>
      <c r="P267" s="756">
        <f t="shared" si="25"/>
        <v>0</v>
      </c>
      <c r="Q267" s="753"/>
      <c r="R267" s="750">
        <f t="shared" si="26"/>
        <v>0</v>
      </c>
    </row>
    <row r="268" spans="2:18" s="757" customFormat="1" outlineLevel="2" x14ac:dyDescent="0.2">
      <c r="B268" s="745" t="s">
        <v>3887</v>
      </c>
      <c r="C268" s="751" t="s">
        <v>600</v>
      </c>
      <c r="D268" s="752" t="s">
        <v>239</v>
      </c>
      <c r="E268" s="753"/>
      <c r="F268" s="753"/>
      <c r="G268" s="753"/>
      <c r="H268" s="753"/>
      <c r="I268" s="754">
        <f t="shared" si="24"/>
        <v>0</v>
      </c>
      <c r="J268" s="753"/>
      <c r="K268" s="748">
        <f t="shared" si="27"/>
        <v>0</v>
      </c>
      <c r="L268" s="753"/>
      <c r="M268" s="753"/>
      <c r="N268" s="753"/>
      <c r="O268" s="753"/>
      <c r="P268" s="756">
        <f t="shared" si="25"/>
        <v>0</v>
      </c>
      <c r="Q268" s="753"/>
      <c r="R268" s="750">
        <f t="shared" si="26"/>
        <v>0</v>
      </c>
    </row>
    <row r="269" spans="2:18" s="757" customFormat="1" outlineLevel="2" x14ac:dyDescent="0.2">
      <c r="B269" s="745" t="s">
        <v>3888</v>
      </c>
      <c r="C269" s="751" t="s">
        <v>601</v>
      </c>
      <c r="D269" s="752" t="s">
        <v>239</v>
      </c>
      <c r="E269" s="753"/>
      <c r="F269" s="753"/>
      <c r="G269" s="753"/>
      <c r="H269" s="753"/>
      <c r="I269" s="754">
        <f t="shared" si="24"/>
        <v>0</v>
      </c>
      <c r="J269" s="753"/>
      <c r="K269" s="748">
        <f t="shared" si="27"/>
        <v>0</v>
      </c>
      <c r="L269" s="753"/>
      <c r="M269" s="753"/>
      <c r="N269" s="753"/>
      <c r="O269" s="753"/>
      <c r="P269" s="756">
        <f t="shared" si="25"/>
        <v>0</v>
      </c>
      <c r="Q269" s="753"/>
      <c r="R269" s="750">
        <f t="shared" si="26"/>
        <v>0</v>
      </c>
    </row>
    <row r="270" spans="2:18" s="757" customFormat="1" outlineLevel="2" x14ac:dyDescent="0.2">
      <c r="B270" s="745" t="s">
        <v>3889</v>
      </c>
      <c r="C270" s="751" t="s">
        <v>602</v>
      </c>
      <c r="D270" s="752" t="s">
        <v>239</v>
      </c>
      <c r="E270" s="753"/>
      <c r="F270" s="753"/>
      <c r="G270" s="753"/>
      <c r="H270" s="753"/>
      <c r="I270" s="754">
        <f t="shared" si="24"/>
        <v>0</v>
      </c>
      <c r="J270" s="753"/>
      <c r="K270" s="748">
        <f t="shared" si="27"/>
        <v>0</v>
      </c>
      <c r="L270" s="753"/>
      <c r="M270" s="753"/>
      <c r="N270" s="753"/>
      <c r="O270" s="753"/>
      <c r="P270" s="756">
        <f t="shared" si="25"/>
        <v>0</v>
      </c>
      <c r="Q270" s="753"/>
      <c r="R270" s="750">
        <f t="shared" si="26"/>
        <v>0</v>
      </c>
    </row>
    <row r="271" spans="2:18" s="757" customFormat="1" outlineLevel="2" x14ac:dyDescent="0.2">
      <c r="B271" s="745" t="s">
        <v>3890</v>
      </c>
      <c r="C271" s="751" t="s">
        <v>603</v>
      </c>
      <c r="D271" s="752" t="s">
        <v>239</v>
      </c>
      <c r="E271" s="753"/>
      <c r="F271" s="753"/>
      <c r="G271" s="753"/>
      <c r="H271" s="753"/>
      <c r="I271" s="754">
        <f t="shared" si="24"/>
        <v>0</v>
      </c>
      <c r="J271" s="753"/>
      <c r="K271" s="748">
        <f t="shared" si="27"/>
        <v>0</v>
      </c>
      <c r="L271" s="753"/>
      <c r="M271" s="753"/>
      <c r="N271" s="753"/>
      <c r="O271" s="753"/>
      <c r="P271" s="756">
        <f t="shared" si="25"/>
        <v>0</v>
      </c>
      <c r="Q271" s="753"/>
      <c r="R271" s="750">
        <f t="shared" si="26"/>
        <v>0</v>
      </c>
    </row>
    <row r="272" spans="2:18" s="757" customFormat="1" outlineLevel="2" x14ac:dyDescent="0.2">
      <c r="B272" s="745" t="s">
        <v>3891</v>
      </c>
      <c r="C272" s="751" t="s">
        <v>604</v>
      </c>
      <c r="D272" s="752" t="s">
        <v>239</v>
      </c>
      <c r="E272" s="753"/>
      <c r="F272" s="753"/>
      <c r="G272" s="753"/>
      <c r="H272" s="753"/>
      <c r="I272" s="754">
        <f t="shared" si="24"/>
        <v>0</v>
      </c>
      <c r="J272" s="753"/>
      <c r="K272" s="748">
        <f t="shared" si="27"/>
        <v>0</v>
      </c>
      <c r="L272" s="753"/>
      <c r="M272" s="753"/>
      <c r="N272" s="753"/>
      <c r="O272" s="753"/>
      <c r="P272" s="756">
        <f t="shared" si="25"/>
        <v>0</v>
      </c>
      <c r="Q272" s="753"/>
      <c r="R272" s="750">
        <f t="shared" si="26"/>
        <v>0</v>
      </c>
    </row>
    <row r="273" spans="2:18" s="757" customFormat="1" outlineLevel="2" x14ac:dyDescent="0.2">
      <c r="B273" s="745" t="s">
        <v>3892</v>
      </c>
      <c r="C273" s="751" t="s">
        <v>605</v>
      </c>
      <c r="D273" s="752" t="s">
        <v>239</v>
      </c>
      <c r="E273" s="753"/>
      <c r="F273" s="753"/>
      <c r="G273" s="753"/>
      <c r="H273" s="753"/>
      <c r="I273" s="754">
        <f t="shared" si="24"/>
        <v>0</v>
      </c>
      <c r="J273" s="753"/>
      <c r="K273" s="748">
        <f t="shared" si="27"/>
        <v>0</v>
      </c>
      <c r="L273" s="753"/>
      <c r="M273" s="753"/>
      <c r="N273" s="753"/>
      <c r="O273" s="753"/>
      <c r="P273" s="756">
        <f t="shared" si="25"/>
        <v>0</v>
      </c>
      <c r="Q273" s="753"/>
      <c r="R273" s="750">
        <f t="shared" si="26"/>
        <v>0</v>
      </c>
    </row>
    <row r="274" spans="2:18" s="757" customFormat="1" outlineLevel="2" x14ac:dyDescent="0.2">
      <c r="B274" s="745" t="s">
        <v>3893</v>
      </c>
      <c r="C274" s="751" t="s">
        <v>606</v>
      </c>
      <c r="D274" s="752" t="s">
        <v>239</v>
      </c>
      <c r="E274" s="753"/>
      <c r="F274" s="753"/>
      <c r="G274" s="753"/>
      <c r="H274" s="753"/>
      <c r="I274" s="754">
        <f t="shared" si="24"/>
        <v>0</v>
      </c>
      <c r="J274" s="753"/>
      <c r="K274" s="748">
        <f t="shared" si="27"/>
        <v>0</v>
      </c>
      <c r="L274" s="753"/>
      <c r="M274" s="753"/>
      <c r="N274" s="753"/>
      <c r="O274" s="753"/>
      <c r="P274" s="756">
        <f t="shared" si="25"/>
        <v>0</v>
      </c>
      <c r="Q274" s="753"/>
      <c r="R274" s="750">
        <f t="shared" si="26"/>
        <v>0</v>
      </c>
    </row>
    <row r="275" spans="2:18" s="757" customFormat="1" outlineLevel="2" x14ac:dyDescent="0.2">
      <c r="B275" s="745" t="s">
        <v>3894</v>
      </c>
      <c r="C275" s="751" t="s">
        <v>607</v>
      </c>
      <c r="D275" s="752" t="s">
        <v>239</v>
      </c>
      <c r="E275" s="753"/>
      <c r="F275" s="753"/>
      <c r="G275" s="753"/>
      <c r="H275" s="753"/>
      <c r="I275" s="754">
        <f t="shared" si="24"/>
        <v>0</v>
      </c>
      <c r="J275" s="753"/>
      <c r="K275" s="748">
        <f t="shared" si="27"/>
        <v>0</v>
      </c>
      <c r="L275" s="753"/>
      <c r="M275" s="753"/>
      <c r="N275" s="753"/>
      <c r="O275" s="753"/>
      <c r="P275" s="756">
        <f t="shared" si="25"/>
        <v>0</v>
      </c>
      <c r="Q275" s="753"/>
      <c r="R275" s="750">
        <f t="shared" si="26"/>
        <v>0</v>
      </c>
    </row>
    <row r="276" spans="2:18" s="757" customFormat="1" outlineLevel="2" x14ac:dyDescent="0.2">
      <c r="B276" s="745" t="s">
        <v>3895</v>
      </c>
      <c r="C276" s="751" t="s">
        <v>608</v>
      </c>
      <c r="D276" s="752" t="s">
        <v>239</v>
      </c>
      <c r="E276" s="753"/>
      <c r="F276" s="753"/>
      <c r="G276" s="753"/>
      <c r="H276" s="753"/>
      <c r="I276" s="754">
        <f t="shared" si="24"/>
        <v>0</v>
      </c>
      <c r="J276" s="753"/>
      <c r="K276" s="748">
        <f t="shared" si="27"/>
        <v>0</v>
      </c>
      <c r="L276" s="753"/>
      <c r="M276" s="753"/>
      <c r="N276" s="753"/>
      <c r="O276" s="753"/>
      <c r="P276" s="756">
        <f t="shared" si="25"/>
        <v>0</v>
      </c>
      <c r="Q276" s="753"/>
      <c r="R276" s="750">
        <f t="shared" si="26"/>
        <v>0</v>
      </c>
    </row>
    <row r="277" spans="2:18" s="757" customFormat="1" outlineLevel="2" x14ac:dyDescent="0.2">
      <c r="B277" s="745" t="s">
        <v>3896</v>
      </c>
      <c r="C277" s="751" t="s">
        <v>609</v>
      </c>
      <c r="D277" s="752" t="s">
        <v>239</v>
      </c>
      <c r="E277" s="753"/>
      <c r="F277" s="753"/>
      <c r="G277" s="753"/>
      <c r="H277" s="753"/>
      <c r="I277" s="754">
        <f t="shared" si="24"/>
        <v>0</v>
      </c>
      <c r="J277" s="753"/>
      <c r="K277" s="748">
        <f t="shared" si="27"/>
        <v>0</v>
      </c>
      <c r="L277" s="753"/>
      <c r="M277" s="753"/>
      <c r="N277" s="753"/>
      <c r="O277" s="753"/>
      <c r="P277" s="756">
        <f t="shared" si="25"/>
        <v>0</v>
      </c>
      <c r="Q277" s="753"/>
      <c r="R277" s="750">
        <f t="shared" si="26"/>
        <v>0</v>
      </c>
    </row>
    <row r="278" spans="2:18" s="757" customFormat="1" outlineLevel="2" x14ac:dyDescent="0.2">
      <c r="B278" s="745" t="s">
        <v>3897</v>
      </c>
      <c r="C278" s="751" t="s">
        <v>610</v>
      </c>
      <c r="D278" s="752" t="s">
        <v>239</v>
      </c>
      <c r="E278" s="753"/>
      <c r="F278" s="753"/>
      <c r="G278" s="753"/>
      <c r="H278" s="753"/>
      <c r="I278" s="754">
        <f t="shared" si="24"/>
        <v>0</v>
      </c>
      <c r="J278" s="753"/>
      <c r="K278" s="748">
        <f t="shared" si="27"/>
        <v>0</v>
      </c>
      <c r="L278" s="753"/>
      <c r="M278" s="753"/>
      <c r="N278" s="753"/>
      <c r="O278" s="753"/>
      <c r="P278" s="756">
        <f t="shared" si="25"/>
        <v>0</v>
      </c>
      <c r="Q278" s="753"/>
      <c r="R278" s="750">
        <f t="shared" si="26"/>
        <v>0</v>
      </c>
    </row>
    <row r="279" spans="2:18" s="757" customFormat="1" outlineLevel="2" x14ac:dyDescent="0.2">
      <c r="B279" s="745" t="s">
        <v>3898</v>
      </c>
      <c r="C279" s="751" t="s">
        <v>611</v>
      </c>
      <c r="D279" s="752" t="s">
        <v>239</v>
      </c>
      <c r="E279" s="753"/>
      <c r="F279" s="753"/>
      <c r="G279" s="753"/>
      <c r="H279" s="753"/>
      <c r="I279" s="754">
        <f t="shared" si="24"/>
        <v>0</v>
      </c>
      <c r="J279" s="753"/>
      <c r="K279" s="748">
        <f t="shared" si="27"/>
        <v>0</v>
      </c>
      <c r="L279" s="753"/>
      <c r="M279" s="753"/>
      <c r="N279" s="753"/>
      <c r="O279" s="753"/>
      <c r="P279" s="756">
        <f t="shared" si="25"/>
        <v>0</v>
      </c>
      <c r="Q279" s="753"/>
      <c r="R279" s="750">
        <f t="shared" si="26"/>
        <v>0</v>
      </c>
    </row>
    <row r="280" spans="2:18" s="757" customFormat="1" outlineLevel="2" x14ac:dyDescent="0.2">
      <c r="B280" s="745" t="s">
        <v>3899</v>
      </c>
      <c r="C280" s="751" t="s">
        <v>612</v>
      </c>
      <c r="D280" s="752" t="s">
        <v>239</v>
      </c>
      <c r="E280" s="753"/>
      <c r="F280" s="753"/>
      <c r="G280" s="753"/>
      <c r="H280" s="753"/>
      <c r="I280" s="754">
        <f t="shared" si="24"/>
        <v>0</v>
      </c>
      <c r="J280" s="753"/>
      <c r="K280" s="748">
        <f t="shared" si="27"/>
        <v>0</v>
      </c>
      <c r="L280" s="753"/>
      <c r="M280" s="753"/>
      <c r="N280" s="753"/>
      <c r="O280" s="753"/>
      <c r="P280" s="756">
        <f t="shared" si="25"/>
        <v>0</v>
      </c>
      <c r="Q280" s="753"/>
      <c r="R280" s="750">
        <f t="shared" si="26"/>
        <v>0</v>
      </c>
    </row>
    <row r="281" spans="2:18" s="757" customFormat="1" outlineLevel="2" x14ac:dyDescent="0.2">
      <c r="B281" s="745" t="s">
        <v>3900</v>
      </c>
      <c r="C281" s="751" t="s">
        <v>613</v>
      </c>
      <c r="D281" s="752" t="s">
        <v>239</v>
      </c>
      <c r="E281" s="753"/>
      <c r="F281" s="753"/>
      <c r="G281" s="753"/>
      <c r="H281" s="753"/>
      <c r="I281" s="754">
        <f t="shared" si="24"/>
        <v>0</v>
      </c>
      <c r="J281" s="753"/>
      <c r="K281" s="748">
        <f t="shared" si="27"/>
        <v>0</v>
      </c>
      <c r="L281" s="753"/>
      <c r="M281" s="753"/>
      <c r="N281" s="753"/>
      <c r="O281" s="753"/>
      <c r="P281" s="756">
        <f t="shared" si="25"/>
        <v>0</v>
      </c>
      <c r="Q281" s="753"/>
      <c r="R281" s="750">
        <f t="shared" si="26"/>
        <v>0</v>
      </c>
    </row>
    <row r="282" spans="2:18" s="757" customFormat="1" outlineLevel="2" x14ac:dyDescent="0.2">
      <c r="B282" s="745" t="s">
        <v>3901</v>
      </c>
      <c r="C282" s="751" t="s">
        <v>614</v>
      </c>
      <c r="D282" s="752" t="s">
        <v>239</v>
      </c>
      <c r="E282" s="753"/>
      <c r="F282" s="753"/>
      <c r="G282" s="753"/>
      <c r="H282" s="753"/>
      <c r="I282" s="754">
        <f t="shared" si="24"/>
        <v>0</v>
      </c>
      <c r="J282" s="753"/>
      <c r="K282" s="748">
        <f t="shared" si="27"/>
        <v>0</v>
      </c>
      <c r="L282" s="753"/>
      <c r="M282" s="753"/>
      <c r="N282" s="753"/>
      <c r="O282" s="753"/>
      <c r="P282" s="756">
        <f t="shared" si="25"/>
        <v>0</v>
      </c>
      <c r="Q282" s="753"/>
      <c r="R282" s="750">
        <f t="shared" si="26"/>
        <v>0</v>
      </c>
    </row>
    <row r="283" spans="2:18" s="757" customFormat="1" outlineLevel="2" x14ac:dyDescent="0.2">
      <c r="B283" s="745" t="s">
        <v>3902</v>
      </c>
      <c r="C283" s="751" t="s">
        <v>615</v>
      </c>
      <c r="D283" s="752" t="s">
        <v>239</v>
      </c>
      <c r="E283" s="753"/>
      <c r="F283" s="753"/>
      <c r="G283" s="753"/>
      <c r="H283" s="753"/>
      <c r="I283" s="754">
        <f t="shared" si="24"/>
        <v>0</v>
      </c>
      <c r="J283" s="753"/>
      <c r="K283" s="748">
        <f t="shared" si="27"/>
        <v>0</v>
      </c>
      <c r="L283" s="753"/>
      <c r="M283" s="753"/>
      <c r="N283" s="753"/>
      <c r="O283" s="753"/>
      <c r="P283" s="756">
        <f t="shared" si="25"/>
        <v>0</v>
      </c>
      <c r="Q283" s="753"/>
      <c r="R283" s="750">
        <f t="shared" si="26"/>
        <v>0</v>
      </c>
    </row>
    <row r="284" spans="2:18" s="757" customFormat="1" outlineLevel="2" x14ac:dyDescent="0.2">
      <c r="B284" s="745" t="s">
        <v>3903</v>
      </c>
      <c r="C284" s="751" t="s">
        <v>616</v>
      </c>
      <c r="D284" s="752" t="s">
        <v>239</v>
      </c>
      <c r="E284" s="753"/>
      <c r="F284" s="753"/>
      <c r="G284" s="753"/>
      <c r="H284" s="753"/>
      <c r="I284" s="754">
        <f t="shared" si="24"/>
        <v>0</v>
      </c>
      <c r="J284" s="753"/>
      <c r="K284" s="748">
        <f t="shared" si="27"/>
        <v>0</v>
      </c>
      <c r="L284" s="753"/>
      <c r="M284" s="753"/>
      <c r="N284" s="753"/>
      <c r="O284" s="753"/>
      <c r="P284" s="756">
        <f t="shared" si="25"/>
        <v>0</v>
      </c>
      <c r="Q284" s="753"/>
      <c r="R284" s="750">
        <f t="shared" si="26"/>
        <v>0</v>
      </c>
    </row>
    <row r="285" spans="2:18" s="734" customFormat="1" outlineLevel="1" x14ac:dyDescent="0.2">
      <c r="B285" s="745" t="s">
        <v>3904</v>
      </c>
      <c r="C285" s="746">
        <v>3.2</v>
      </c>
      <c r="D285" s="131" t="s">
        <v>2780</v>
      </c>
      <c r="E285" s="747">
        <f>SUM(E286:E305)</f>
        <v>0</v>
      </c>
      <c r="F285" s="747">
        <f>SUM(F286:F305)</f>
        <v>0</v>
      </c>
      <c r="G285" s="747">
        <f>SUM(G286:G305)</f>
        <v>0</v>
      </c>
      <c r="H285" s="747">
        <f>SUM(H286:H305)</f>
        <v>0</v>
      </c>
      <c r="I285" s="748">
        <f t="shared" si="24"/>
        <v>0</v>
      </c>
      <c r="J285" s="747">
        <f>SUM(J286:J305)</f>
        <v>0</v>
      </c>
      <c r="K285" s="748">
        <f t="shared" si="27"/>
        <v>0</v>
      </c>
      <c r="L285" s="747">
        <f>SUM(L286:L305)</f>
        <v>0</v>
      </c>
      <c r="M285" s="747">
        <f>SUM(M286:M305)</f>
        <v>0</v>
      </c>
      <c r="N285" s="747">
        <f>SUM(N286:N305)</f>
        <v>0</v>
      </c>
      <c r="O285" s="747">
        <f>SUM(O286:O305)</f>
        <v>0</v>
      </c>
      <c r="P285" s="749">
        <f t="shared" si="25"/>
        <v>0</v>
      </c>
      <c r="Q285" s="747">
        <f>SUM(Q286:Q305)</f>
        <v>0</v>
      </c>
      <c r="R285" s="750">
        <f t="shared" si="26"/>
        <v>0</v>
      </c>
    </row>
    <row r="286" spans="2:18" s="757" customFormat="1" outlineLevel="2" x14ac:dyDescent="0.2">
      <c r="B286" s="745" t="s">
        <v>3905</v>
      </c>
      <c r="C286" s="751" t="s">
        <v>454</v>
      </c>
      <c r="D286" s="752" t="s">
        <v>239</v>
      </c>
      <c r="E286" s="753"/>
      <c r="F286" s="753"/>
      <c r="G286" s="753"/>
      <c r="H286" s="753"/>
      <c r="I286" s="754">
        <f t="shared" si="24"/>
        <v>0</v>
      </c>
      <c r="J286" s="753"/>
      <c r="K286" s="748">
        <f t="shared" si="27"/>
        <v>0</v>
      </c>
      <c r="L286" s="753"/>
      <c r="M286" s="753"/>
      <c r="N286" s="753"/>
      <c r="O286" s="753"/>
      <c r="P286" s="756">
        <f t="shared" si="25"/>
        <v>0</v>
      </c>
      <c r="Q286" s="753"/>
      <c r="R286" s="750">
        <f t="shared" si="26"/>
        <v>0</v>
      </c>
    </row>
    <row r="287" spans="2:18" s="757" customFormat="1" outlineLevel="2" x14ac:dyDescent="0.2">
      <c r="B287" s="745" t="s">
        <v>3906</v>
      </c>
      <c r="C287" s="751" t="s">
        <v>455</v>
      </c>
      <c r="D287" s="752" t="s">
        <v>239</v>
      </c>
      <c r="E287" s="753"/>
      <c r="F287" s="753"/>
      <c r="G287" s="753"/>
      <c r="H287" s="753"/>
      <c r="I287" s="754">
        <f t="shared" si="24"/>
        <v>0</v>
      </c>
      <c r="J287" s="753"/>
      <c r="K287" s="748">
        <f t="shared" si="27"/>
        <v>0</v>
      </c>
      <c r="L287" s="753"/>
      <c r="M287" s="753"/>
      <c r="N287" s="753"/>
      <c r="O287" s="753"/>
      <c r="P287" s="756">
        <f t="shared" si="25"/>
        <v>0</v>
      </c>
      <c r="Q287" s="753"/>
      <c r="R287" s="750">
        <f t="shared" si="26"/>
        <v>0</v>
      </c>
    </row>
    <row r="288" spans="2:18" s="757" customFormat="1" outlineLevel="2" x14ac:dyDescent="0.2">
      <c r="B288" s="745" t="s">
        <v>3907</v>
      </c>
      <c r="C288" s="751" t="s">
        <v>459</v>
      </c>
      <c r="D288" s="752" t="s">
        <v>239</v>
      </c>
      <c r="E288" s="753"/>
      <c r="F288" s="753"/>
      <c r="G288" s="753"/>
      <c r="H288" s="753"/>
      <c r="I288" s="754">
        <f t="shared" si="24"/>
        <v>0</v>
      </c>
      <c r="J288" s="753"/>
      <c r="K288" s="748">
        <f t="shared" si="27"/>
        <v>0</v>
      </c>
      <c r="L288" s="753"/>
      <c r="M288" s="753"/>
      <c r="N288" s="753"/>
      <c r="O288" s="753"/>
      <c r="P288" s="756">
        <f t="shared" si="25"/>
        <v>0</v>
      </c>
      <c r="Q288" s="753"/>
      <c r="R288" s="750">
        <f t="shared" si="26"/>
        <v>0</v>
      </c>
    </row>
    <row r="289" spans="2:18" s="757" customFormat="1" outlineLevel="2" x14ac:dyDescent="0.2">
      <c r="B289" s="745" t="s">
        <v>3908</v>
      </c>
      <c r="C289" s="751" t="s">
        <v>617</v>
      </c>
      <c r="D289" s="752" t="s">
        <v>239</v>
      </c>
      <c r="E289" s="753"/>
      <c r="F289" s="753"/>
      <c r="G289" s="753"/>
      <c r="H289" s="753"/>
      <c r="I289" s="754">
        <f t="shared" si="24"/>
        <v>0</v>
      </c>
      <c r="J289" s="753"/>
      <c r="K289" s="748">
        <f t="shared" si="27"/>
        <v>0</v>
      </c>
      <c r="L289" s="753"/>
      <c r="M289" s="753"/>
      <c r="N289" s="753"/>
      <c r="O289" s="753"/>
      <c r="P289" s="756">
        <f t="shared" si="25"/>
        <v>0</v>
      </c>
      <c r="Q289" s="753"/>
      <c r="R289" s="750">
        <f t="shared" si="26"/>
        <v>0</v>
      </c>
    </row>
    <row r="290" spans="2:18" s="757" customFormat="1" outlineLevel="2" x14ac:dyDescent="0.2">
      <c r="B290" s="745" t="s">
        <v>3909</v>
      </c>
      <c r="C290" s="751" t="s">
        <v>618</v>
      </c>
      <c r="D290" s="752" t="s">
        <v>239</v>
      </c>
      <c r="E290" s="753"/>
      <c r="F290" s="753"/>
      <c r="G290" s="753"/>
      <c r="H290" s="753"/>
      <c r="I290" s="754">
        <f t="shared" si="24"/>
        <v>0</v>
      </c>
      <c r="J290" s="753"/>
      <c r="K290" s="748">
        <f t="shared" si="27"/>
        <v>0</v>
      </c>
      <c r="L290" s="753"/>
      <c r="M290" s="753"/>
      <c r="N290" s="753"/>
      <c r="O290" s="753"/>
      <c r="P290" s="756">
        <f t="shared" si="25"/>
        <v>0</v>
      </c>
      <c r="Q290" s="753"/>
      <c r="R290" s="750">
        <f t="shared" si="26"/>
        <v>0</v>
      </c>
    </row>
    <row r="291" spans="2:18" s="757" customFormat="1" outlineLevel="2" x14ac:dyDescent="0.2">
      <c r="B291" s="745" t="s">
        <v>3910</v>
      </c>
      <c r="C291" s="751" t="s">
        <v>619</v>
      </c>
      <c r="D291" s="752" t="s">
        <v>239</v>
      </c>
      <c r="E291" s="753"/>
      <c r="F291" s="753"/>
      <c r="G291" s="753"/>
      <c r="H291" s="753"/>
      <c r="I291" s="754">
        <f t="shared" si="24"/>
        <v>0</v>
      </c>
      <c r="J291" s="753"/>
      <c r="K291" s="748">
        <f t="shared" si="27"/>
        <v>0</v>
      </c>
      <c r="L291" s="753"/>
      <c r="M291" s="753"/>
      <c r="N291" s="753"/>
      <c r="O291" s="753"/>
      <c r="P291" s="756">
        <f t="shared" si="25"/>
        <v>0</v>
      </c>
      <c r="Q291" s="753"/>
      <c r="R291" s="750">
        <f t="shared" si="26"/>
        <v>0</v>
      </c>
    </row>
    <row r="292" spans="2:18" s="757" customFormat="1" outlineLevel="2" x14ac:dyDescent="0.2">
      <c r="B292" s="745" t="s">
        <v>3911</v>
      </c>
      <c r="C292" s="751" t="s">
        <v>620</v>
      </c>
      <c r="D292" s="752" t="s">
        <v>239</v>
      </c>
      <c r="E292" s="753"/>
      <c r="F292" s="753"/>
      <c r="G292" s="753"/>
      <c r="H292" s="753"/>
      <c r="I292" s="754">
        <f t="shared" si="24"/>
        <v>0</v>
      </c>
      <c r="J292" s="753"/>
      <c r="K292" s="748">
        <f t="shared" si="27"/>
        <v>0</v>
      </c>
      <c r="L292" s="753"/>
      <c r="M292" s="753"/>
      <c r="N292" s="753"/>
      <c r="O292" s="753"/>
      <c r="P292" s="756">
        <f t="shared" si="25"/>
        <v>0</v>
      </c>
      <c r="Q292" s="753"/>
      <c r="R292" s="750">
        <f t="shared" si="26"/>
        <v>0</v>
      </c>
    </row>
    <row r="293" spans="2:18" s="757" customFormat="1" outlineLevel="2" x14ac:dyDescent="0.2">
      <c r="B293" s="745" t="s">
        <v>3912</v>
      </c>
      <c r="C293" s="751" t="s">
        <v>621</v>
      </c>
      <c r="D293" s="752" t="s">
        <v>239</v>
      </c>
      <c r="E293" s="753"/>
      <c r="F293" s="753"/>
      <c r="G293" s="753"/>
      <c r="H293" s="753"/>
      <c r="I293" s="754">
        <f t="shared" si="24"/>
        <v>0</v>
      </c>
      <c r="J293" s="753"/>
      <c r="K293" s="748">
        <f t="shared" si="27"/>
        <v>0</v>
      </c>
      <c r="L293" s="753"/>
      <c r="M293" s="753"/>
      <c r="N293" s="753"/>
      <c r="O293" s="753"/>
      <c r="P293" s="756">
        <f t="shared" si="25"/>
        <v>0</v>
      </c>
      <c r="Q293" s="753"/>
      <c r="R293" s="750">
        <f t="shared" si="26"/>
        <v>0</v>
      </c>
    </row>
    <row r="294" spans="2:18" s="757" customFormat="1" outlineLevel="2" x14ac:dyDescent="0.2">
      <c r="B294" s="745" t="s">
        <v>3913</v>
      </c>
      <c r="C294" s="751" t="s">
        <v>622</v>
      </c>
      <c r="D294" s="752" t="s">
        <v>239</v>
      </c>
      <c r="E294" s="753"/>
      <c r="F294" s="753"/>
      <c r="G294" s="753"/>
      <c r="H294" s="753"/>
      <c r="I294" s="754">
        <f t="shared" si="24"/>
        <v>0</v>
      </c>
      <c r="J294" s="753"/>
      <c r="K294" s="748">
        <f t="shared" si="27"/>
        <v>0</v>
      </c>
      <c r="L294" s="753"/>
      <c r="M294" s="753"/>
      <c r="N294" s="753"/>
      <c r="O294" s="753"/>
      <c r="P294" s="756">
        <f t="shared" si="25"/>
        <v>0</v>
      </c>
      <c r="Q294" s="753"/>
      <c r="R294" s="750">
        <f t="shared" si="26"/>
        <v>0</v>
      </c>
    </row>
    <row r="295" spans="2:18" s="757" customFormat="1" outlineLevel="2" x14ac:dyDescent="0.2">
      <c r="B295" s="745" t="s">
        <v>3914</v>
      </c>
      <c r="C295" s="751" t="s">
        <v>623</v>
      </c>
      <c r="D295" s="752" t="s">
        <v>239</v>
      </c>
      <c r="E295" s="753"/>
      <c r="F295" s="753"/>
      <c r="G295" s="753"/>
      <c r="H295" s="753"/>
      <c r="I295" s="754">
        <f t="shared" si="24"/>
        <v>0</v>
      </c>
      <c r="J295" s="753"/>
      <c r="K295" s="748">
        <f t="shared" si="27"/>
        <v>0</v>
      </c>
      <c r="L295" s="753"/>
      <c r="M295" s="753"/>
      <c r="N295" s="753"/>
      <c r="O295" s="753"/>
      <c r="P295" s="756">
        <f t="shared" si="25"/>
        <v>0</v>
      </c>
      <c r="Q295" s="753"/>
      <c r="R295" s="750">
        <f t="shared" si="26"/>
        <v>0</v>
      </c>
    </row>
    <row r="296" spans="2:18" s="757" customFormat="1" outlineLevel="2" x14ac:dyDescent="0.2">
      <c r="B296" s="745" t="s">
        <v>3915</v>
      </c>
      <c r="C296" s="751" t="s">
        <v>624</v>
      </c>
      <c r="D296" s="752" t="s">
        <v>239</v>
      </c>
      <c r="E296" s="753"/>
      <c r="F296" s="753"/>
      <c r="G296" s="753"/>
      <c r="H296" s="753"/>
      <c r="I296" s="754">
        <f t="shared" si="24"/>
        <v>0</v>
      </c>
      <c r="J296" s="753"/>
      <c r="K296" s="748">
        <f t="shared" si="27"/>
        <v>0</v>
      </c>
      <c r="L296" s="753"/>
      <c r="M296" s="753"/>
      <c r="N296" s="753"/>
      <c r="O296" s="753"/>
      <c r="P296" s="756">
        <f t="shared" si="25"/>
        <v>0</v>
      </c>
      <c r="Q296" s="753"/>
      <c r="R296" s="750">
        <f t="shared" si="26"/>
        <v>0</v>
      </c>
    </row>
    <row r="297" spans="2:18" s="757" customFormat="1" outlineLevel="2" x14ac:dyDescent="0.2">
      <c r="B297" s="745" t="s">
        <v>3916</v>
      </c>
      <c r="C297" s="751" t="s">
        <v>625</v>
      </c>
      <c r="D297" s="752" t="s">
        <v>239</v>
      </c>
      <c r="E297" s="753"/>
      <c r="F297" s="753"/>
      <c r="G297" s="753"/>
      <c r="H297" s="753"/>
      <c r="I297" s="754">
        <f t="shared" si="24"/>
        <v>0</v>
      </c>
      <c r="J297" s="753"/>
      <c r="K297" s="748">
        <f t="shared" si="27"/>
        <v>0</v>
      </c>
      <c r="L297" s="753"/>
      <c r="M297" s="753"/>
      <c r="N297" s="753"/>
      <c r="O297" s="753"/>
      <c r="P297" s="756">
        <f t="shared" si="25"/>
        <v>0</v>
      </c>
      <c r="Q297" s="753"/>
      <c r="R297" s="750">
        <f t="shared" si="26"/>
        <v>0</v>
      </c>
    </row>
    <row r="298" spans="2:18" s="757" customFormat="1" outlineLevel="2" x14ac:dyDescent="0.2">
      <c r="B298" s="745" t="s">
        <v>3917</v>
      </c>
      <c r="C298" s="751" t="s">
        <v>626</v>
      </c>
      <c r="D298" s="752" t="s">
        <v>239</v>
      </c>
      <c r="E298" s="753"/>
      <c r="F298" s="753"/>
      <c r="G298" s="753"/>
      <c r="H298" s="753"/>
      <c r="I298" s="754">
        <f t="shared" si="24"/>
        <v>0</v>
      </c>
      <c r="J298" s="753"/>
      <c r="K298" s="748">
        <f t="shared" si="27"/>
        <v>0</v>
      </c>
      <c r="L298" s="753"/>
      <c r="M298" s="753"/>
      <c r="N298" s="753"/>
      <c r="O298" s="753"/>
      <c r="P298" s="756">
        <f t="shared" si="25"/>
        <v>0</v>
      </c>
      <c r="Q298" s="753"/>
      <c r="R298" s="750">
        <f t="shared" si="26"/>
        <v>0</v>
      </c>
    </row>
    <row r="299" spans="2:18" s="757" customFormat="1" outlineLevel="2" x14ac:dyDescent="0.2">
      <c r="B299" s="745" t="s">
        <v>3918</v>
      </c>
      <c r="C299" s="751" t="s">
        <v>627</v>
      </c>
      <c r="D299" s="752" t="s">
        <v>239</v>
      </c>
      <c r="E299" s="753"/>
      <c r="F299" s="753"/>
      <c r="G299" s="753"/>
      <c r="H299" s="753"/>
      <c r="I299" s="754">
        <f t="shared" si="24"/>
        <v>0</v>
      </c>
      <c r="J299" s="753"/>
      <c r="K299" s="748">
        <f t="shared" si="27"/>
        <v>0</v>
      </c>
      <c r="L299" s="753"/>
      <c r="M299" s="753"/>
      <c r="N299" s="753"/>
      <c r="O299" s="753"/>
      <c r="P299" s="756">
        <f t="shared" si="25"/>
        <v>0</v>
      </c>
      <c r="Q299" s="753"/>
      <c r="R299" s="750">
        <f t="shared" si="26"/>
        <v>0</v>
      </c>
    </row>
    <row r="300" spans="2:18" s="757" customFormat="1" outlineLevel="2" x14ac:dyDescent="0.2">
      <c r="B300" s="745" t="s">
        <v>3919</v>
      </c>
      <c r="C300" s="751" t="s">
        <v>628</v>
      </c>
      <c r="D300" s="752" t="s">
        <v>239</v>
      </c>
      <c r="E300" s="753"/>
      <c r="F300" s="753"/>
      <c r="G300" s="753"/>
      <c r="H300" s="753"/>
      <c r="I300" s="754">
        <f t="shared" si="24"/>
        <v>0</v>
      </c>
      <c r="J300" s="753"/>
      <c r="K300" s="748">
        <f t="shared" si="27"/>
        <v>0</v>
      </c>
      <c r="L300" s="753"/>
      <c r="M300" s="753"/>
      <c r="N300" s="753"/>
      <c r="O300" s="753"/>
      <c r="P300" s="756">
        <f t="shared" si="25"/>
        <v>0</v>
      </c>
      <c r="Q300" s="753"/>
      <c r="R300" s="750">
        <f t="shared" si="26"/>
        <v>0</v>
      </c>
    </row>
    <row r="301" spans="2:18" s="757" customFormat="1" outlineLevel="2" x14ac:dyDescent="0.2">
      <c r="B301" s="745" t="s">
        <v>3920</v>
      </c>
      <c r="C301" s="751" t="s">
        <v>629</v>
      </c>
      <c r="D301" s="752" t="s">
        <v>239</v>
      </c>
      <c r="E301" s="753"/>
      <c r="F301" s="753"/>
      <c r="G301" s="753"/>
      <c r="H301" s="753"/>
      <c r="I301" s="754">
        <f t="shared" si="24"/>
        <v>0</v>
      </c>
      <c r="J301" s="753"/>
      <c r="K301" s="748">
        <f t="shared" si="27"/>
        <v>0</v>
      </c>
      <c r="L301" s="753"/>
      <c r="M301" s="753"/>
      <c r="N301" s="753"/>
      <c r="O301" s="753"/>
      <c r="P301" s="756">
        <f t="shared" si="25"/>
        <v>0</v>
      </c>
      <c r="Q301" s="753"/>
      <c r="R301" s="750">
        <f t="shared" si="26"/>
        <v>0</v>
      </c>
    </row>
    <row r="302" spans="2:18" s="757" customFormat="1" outlineLevel="2" x14ac:dyDescent="0.2">
      <c r="B302" s="745" t="s">
        <v>3921</v>
      </c>
      <c r="C302" s="751" t="s">
        <v>630</v>
      </c>
      <c r="D302" s="752" t="s">
        <v>239</v>
      </c>
      <c r="E302" s="753"/>
      <c r="F302" s="753"/>
      <c r="G302" s="753"/>
      <c r="H302" s="753"/>
      <c r="I302" s="754">
        <f t="shared" si="24"/>
        <v>0</v>
      </c>
      <c r="J302" s="753"/>
      <c r="K302" s="748">
        <f t="shared" si="27"/>
        <v>0</v>
      </c>
      <c r="L302" s="753"/>
      <c r="M302" s="753"/>
      <c r="N302" s="753"/>
      <c r="O302" s="753"/>
      <c r="P302" s="756">
        <f t="shared" si="25"/>
        <v>0</v>
      </c>
      <c r="Q302" s="753"/>
      <c r="R302" s="750">
        <f t="shared" si="26"/>
        <v>0</v>
      </c>
    </row>
    <row r="303" spans="2:18" s="757" customFormat="1" outlineLevel="2" x14ac:dyDescent="0.2">
      <c r="B303" s="745" t="s">
        <v>3922</v>
      </c>
      <c r="C303" s="751" t="s">
        <v>631</v>
      </c>
      <c r="D303" s="752" t="s">
        <v>239</v>
      </c>
      <c r="E303" s="753"/>
      <c r="F303" s="753"/>
      <c r="G303" s="753"/>
      <c r="H303" s="753"/>
      <c r="I303" s="754">
        <f t="shared" si="24"/>
        <v>0</v>
      </c>
      <c r="J303" s="753"/>
      <c r="K303" s="748">
        <f t="shared" si="27"/>
        <v>0</v>
      </c>
      <c r="L303" s="753"/>
      <c r="M303" s="753"/>
      <c r="N303" s="753"/>
      <c r="O303" s="753"/>
      <c r="P303" s="756">
        <f t="shared" si="25"/>
        <v>0</v>
      </c>
      <c r="Q303" s="753"/>
      <c r="R303" s="750">
        <f t="shared" si="26"/>
        <v>0</v>
      </c>
    </row>
    <row r="304" spans="2:18" s="757" customFormat="1" outlineLevel="2" x14ac:dyDescent="0.2">
      <c r="B304" s="745" t="s">
        <v>3923</v>
      </c>
      <c r="C304" s="751" t="s">
        <v>632</v>
      </c>
      <c r="D304" s="752" t="s">
        <v>239</v>
      </c>
      <c r="E304" s="753"/>
      <c r="F304" s="753"/>
      <c r="G304" s="753"/>
      <c r="H304" s="753"/>
      <c r="I304" s="754">
        <f t="shared" si="24"/>
        <v>0</v>
      </c>
      <c r="J304" s="753"/>
      <c r="K304" s="748">
        <f t="shared" si="27"/>
        <v>0</v>
      </c>
      <c r="L304" s="753"/>
      <c r="M304" s="753"/>
      <c r="N304" s="753"/>
      <c r="O304" s="753"/>
      <c r="P304" s="756">
        <f t="shared" si="25"/>
        <v>0</v>
      </c>
      <c r="Q304" s="753"/>
      <c r="R304" s="750">
        <f t="shared" si="26"/>
        <v>0</v>
      </c>
    </row>
    <row r="305" spans="2:18" s="757" customFormat="1" outlineLevel="2" x14ac:dyDescent="0.2">
      <c r="B305" s="745" t="s">
        <v>3924</v>
      </c>
      <c r="C305" s="751" t="s">
        <v>633</v>
      </c>
      <c r="D305" s="752" t="s">
        <v>239</v>
      </c>
      <c r="E305" s="753"/>
      <c r="F305" s="753"/>
      <c r="G305" s="753"/>
      <c r="H305" s="753"/>
      <c r="I305" s="754">
        <f t="shared" si="24"/>
        <v>0</v>
      </c>
      <c r="J305" s="753"/>
      <c r="K305" s="748">
        <f t="shared" si="27"/>
        <v>0</v>
      </c>
      <c r="L305" s="753"/>
      <c r="M305" s="753"/>
      <c r="N305" s="753"/>
      <c r="O305" s="753"/>
      <c r="P305" s="756">
        <f t="shared" si="25"/>
        <v>0</v>
      </c>
      <c r="Q305" s="753"/>
      <c r="R305" s="750">
        <f t="shared" si="26"/>
        <v>0</v>
      </c>
    </row>
    <row r="306" spans="2:18" s="734" customFormat="1" outlineLevel="1" x14ac:dyDescent="0.2">
      <c r="B306" s="745" t="s">
        <v>3925</v>
      </c>
      <c r="C306" s="746">
        <v>3.3</v>
      </c>
      <c r="D306" s="131" t="s">
        <v>4803</v>
      </c>
      <c r="E306" s="747">
        <f>SUM(E307:E326)</f>
        <v>0</v>
      </c>
      <c r="F306" s="747">
        <f>SUM(F307:F326)</f>
        <v>0</v>
      </c>
      <c r="G306" s="747">
        <f>SUM(G307:G326)</f>
        <v>0</v>
      </c>
      <c r="H306" s="747">
        <f>SUM(H307:H326)</f>
        <v>0</v>
      </c>
      <c r="I306" s="748">
        <f t="shared" si="24"/>
        <v>0</v>
      </c>
      <c r="J306" s="747">
        <f>SUM(J307:J326)</f>
        <v>0</v>
      </c>
      <c r="K306" s="748">
        <f t="shared" si="27"/>
        <v>0</v>
      </c>
      <c r="L306" s="747">
        <f>SUM(L307:L326)</f>
        <v>0</v>
      </c>
      <c r="M306" s="747">
        <f>SUM(M307:M326)</f>
        <v>0</v>
      </c>
      <c r="N306" s="747">
        <f>SUM(N307:N326)</f>
        <v>0</v>
      </c>
      <c r="O306" s="747">
        <f>SUM(O307:O326)</f>
        <v>0</v>
      </c>
      <c r="P306" s="749">
        <f t="shared" si="25"/>
        <v>0</v>
      </c>
      <c r="Q306" s="747">
        <f>SUM(Q307:Q326)</f>
        <v>0</v>
      </c>
      <c r="R306" s="750">
        <f t="shared" si="26"/>
        <v>0</v>
      </c>
    </row>
    <row r="307" spans="2:18" s="757" customFormat="1" outlineLevel="2" x14ac:dyDescent="0.2">
      <c r="B307" s="745" t="s">
        <v>3926</v>
      </c>
      <c r="C307" s="751" t="s">
        <v>1644</v>
      </c>
      <c r="D307" s="752" t="s">
        <v>241</v>
      </c>
      <c r="E307" s="753"/>
      <c r="F307" s="753"/>
      <c r="G307" s="753"/>
      <c r="H307" s="753"/>
      <c r="I307" s="754">
        <f t="shared" si="24"/>
        <v>0</v>
      </c>
      <c r="J307" s="753"/>
      <c r="K307" s="748">
        <f t="shared" si="27"/>
        <v>0</v>
      </c>
      <c r="L307" s="753"/>
      <c r="M307" s="753"/>
      <c r="N307" s="753"/>
      <c r="O307" s="753"/>
      <c r="P307" s="756">
        <f t="shared" si="25"/>
        <v>0</v>
      </c>
      <c r="Q307" s="753"/>
      <c r="R307" s="750">
        <f t="shared" si="26"/>
        <v>0</v>
      </c>
    </row>
    <row r="308" spans="2:18" s="757" customFormat="1" outlineLevel="2" x14ac:dyDescent="0.2">
      <c r="B308" s="745" t="s">
        <v>3927</v>
      </c>
      <c r="C308" s="751" t="s">
        <v>1645</v>
      </c>
      <c r="D308" s="752" t="s">
        <v>241</v>
      </c>
      <c r="E308" s="753"/>
      <c r="F308" s="753"/>
      <c r="G308" s="753"/>
      <c r="H308" s="753"/>
      <c r="I308" s="754">
        <f t="shared" si="24"/>
        <v>0</v>
      </c>
      <c r="J308" s="753"/>
      <c r="K308" s="748">
        <f t="shared" si="27"/>
        <v>0</v>
      </c>
      <c r="L308" s="753"/>
      <c r="M308" s="753"/>
      <c r="N308" s="753"/>
      <c r="O308" s="753"/>
      <c r="P308" s="756">
        <f t="shared" si="25"/>
        <v>0</v>
      </c>
      <c r="Q308" s="753"/>
      <c r="R308" s="750">
        <f t="shared" si="26"/>
        <v>0</v>
      </c>
    </row>
    <row r="309" spans="2:18" s="757" customFormat="1" outlineLevel="2" x14ac:dyDescent="0.2">
      <c r="B309" s="745" t="s">
        <v>3928</v>
      </c>
      <c r="C309" s="751" t="s">
        <v>1646</v>
      </c>
      <c r="D309" s="752" t="s">
        <v>241</v>
      </c>
      <c r="E309" s="753"/>
      <c r="F309" s="753"/>
      <c r="G309" s="753"/>
      <c r="H309" s="753"/>
      <c r="I309" s="754">
        <f t="shared" si="24"/>
        <v>0</v>
      </c>
      <c r="J309" s="753"/>
      <c r="K309" s="748">
        <f t="shared" si="27"/>
        <v>0</v>
      </c>
      <c r="L309" s="753"/>
      <c r="M309" s="753"/>
      <c r="N309" s="753"/>
      <c r="O309" s="753"/>
      <c r="P309" s="756">
        <f t="shared" si="25"/>
        <v>0</v>
      </c>
      <c r="Q309" s="753"/>
      <c r="R309" s="750">
        <f t="shared" si="26"/>
        <v>0</v>
      </c>
    </row>
    <row r="310" spans="2:18" s="757" customFormat="1" outlineLevel="2" x14ac:dyDescent="0.2">
      <c r="B310" s="745" t="s">
        <v>3929</v>
      </c>
      <c r="C310" s="751" t="s">
        <v>1647</v>
      </c>
      <c r="D310" s="752" t="s">
        <v>241</v>
      </c>
      <c r="E310" s="753"/>
      <c r="F310" s="753"/>
      <c r="G310" s="753"/>
      <c r="H310" s="753"/>
      <c r="I310" s="754">
        <f t="shared" si="24"/>
        <v>0</v>
      </c>
      <c r="J310" s="753"/>
      <c r="K310" s="748">
        <f t="shared" si="27"/>
        <v>0</v>
      </c>
      <c r="L310" s="753"/>
      <c r="M310" s="753"/>
      <c r="N310" s="753"/>
      <c r="O310" s="753"/>
      <c r="P310" s="756">
        <f t="shared" si="25"/>
        <v>0</v>
      </c>
      <c r="Q310" s="753"/>
      <c r="R310" s="750">
        <f t="shared" si="26"/>
        <v>0</v>
      </c>
    </row>
    <row r="311" spans="2:18" s="757" customFormat="1" outlineLevel="2" x14ac:dyDescent="0.2">
      <c r="B311" s="745" t="s">
        <v>3930</v>
      </c>
      <c r="C311" s="751" t="s">
        <v>1648</v>
      </c>
      <c r="D311" s="752" t="s">
        <v>241</v>
      </c>
      <c r="E311" s="753"/>
      <c r="F311" s="753"/>
      <c r="G311" s="753"/>
      <c r="H311" s="753"/>
      <c r="I311" s="754">
        <f t="shared" si="24"/>
        <v>0</v>
      </c>
      <c r="J311" s="753"/>
      <c r="K311" s="748">
        <f t="shared" si="27"/>
        <v>0</v>
      </c>
      <c r="L311" s="753"/>
      <c r="M311" s="753"/>
      <c r="N311" s="753"/>
      <c r="O311" s="753"/>
      <c r="P311" s="756">
        <f t="shared" si="25"/>
        <v>0</v>
      </c>
      <c r="Q311" s="753"/>
      <c r="R311" s="750">
        <f t="shared" si="26"/>
        <v>0</v>
      </c>
    </row>
    <row r="312" spans="2:18" s="757" customFormat="1" outlineLevel="2" x14ac:dyDescent="0.2">
      <c r="B312" s="745" t="s">
        <v>3931</v>
      </c>
      <c r="C312" s="751" t="s">
        <v>1649</v>
      </c>
      <c r="D312" s="752" t="s">
        <v>241</v>
      </c>
      <c r="E312" s="753"/>
      <c r="F312" s="753"/>
      <c r="G312" s="753"/>
      <c r="H312" s="753"/>
      <c r="I312" s="754">
        <f t="shared" si="24"/>
        <v>0</v>
      </c>
      <c r="J312" s="753"/>
      <c r="K312" s="748">
        <f t="shared" si="27"/>
        <v>0</v>
      </c>
      <c r="L312" s="753"/>
      <c r="M312" s="753"/>
      <c r="N312" s="753"/>
      <c r="O312" s="753"/>
      <c r="P312" s="756">
        <f t="shared" si="25"/>
        <v>0</v>
      </c>
      <c r="Q312" s="753"/>
      <c r="R312" s="750">
        <f t="shared" si="26"/>
        <v>0</v>
      </c>
    </row>
    <row r="313" spans="2:18" s="757" customFormat="1" outlineLevel="2" x14ac:dyDescent="0.2">
      <c r="B313" s="745" t="s">
        <v>3932</v>
      </c>
      <c r="C313" s="751" t="s">
        <v>1650</v>
      </c>
      <c r="D313" s="752" t="s">
        <v>241</v>
      </c>
      <c r="E313" s="753"/>
      <c r="F313" s="753"/>
      <c r="G313" s="753"/>
      <c r="H313" s="753"/>
      <c r="I313" s="754">
        <f t="shared" si="24"/>
        <v>0</v>
      </c>
      <c r="J313" s="753"/>
      <c r="K313" s="748">
        <f t="shared" si="27"/>
        <v>0</v>
      </c>
      <c r="L313" s="753"/>
      <c r="M313" s="753"/>
      <c r="N313" s="753"/>
      <c r="O313" s="753"/>
      <c r="P313" s="756">
        <f t="shared" si="25"/>
        <v>0</v>
      </c>
      <c r="Q313" s="753"/>
      <c r="R313" s="750">
        <f t="shared" si="26"/>
        <v>0</v>
      </c>
    </row>
    <row r="314" spans="2:18" s="757" customFormat="1" outlineLevel="2" x14ac:dyDescent="0.2">
      <c r="B314" s="745" t="s">
        <v>3933</v>
      </c>
      <c r="C314" s="751" t="s">
        <v>1651</v>
      </c>
      <c r="D314" s="752" t="s">
        <v>241</v>
      </c>
      <c r="E314" s="753"/>
      <c r="F314" s="753"/>
      <c r="G314" s="753"/>
      <c r="H314" s="753"/>
      <c r="I314" s="754">
        <f t="shared" si="24"/>
        <v>0</v>
      </c>
      <c r="J314" s="753"/>
      <c r="K314" s="748">
        <f t="shared" si="27"/>
        <v>0</v>
      </c>
      <c r="L314" s="753"/>
      <c r="M314" s="753"/>
      <c r="N314" s="753"/>
      <c r="O314" s="753"/>
      <c r="P314" s="756">
        <f t="shared" si="25"/>
        <v>0</v>
      </c>
      <c r="Q314" s="753"/>
      <c r="R314" s="750">
        <f t="shared" si="26"/>
        <v>0</v>
      </c>
    </row>
    <row r="315" spans="2:18" s="757" customFormat="1" outlineLevel="2" x14ac:dyDescent="0.2">
      <c r="B315" s="745" t="s">
        <v>3934</v>
      </c>
      <c r="C315" s="751" t="s">
        <v>1652</v>
      </c>
      <c r="D315" s="752" t="s">
        <v>241</v>
      </c>
      <c r="E315" s="753"/>
      <c r="F315" s="753"/>
      <c r="G315" s="753"/>
      <c r="H315" s="753"/>
      <c r="I315" s="754">
        <f t="shared" si="24"/>
        <v>0</v>
      </c>
      <c r="J315" s="753"/>
      <c r="K315" s="748">
        <f t="shared" si="27"/>
        <v>0</v>
      </c>
      <c r="L315" s="753"/>
      <c r="M315" s="753"/>
      <c r="N315" s="753"/>
      <c r="O315" s="753"/>
      <c r="P315" s="756">
        <f t="shared" si="25"/>
        <v>0</v>
      </c>
      <c r="Q315" s="753"/>
      <c r="R315" s="750">
        <f t="shared" si="26"/>
        <v>0</v>
      </c>
    </row>
    <row r="316" spans="2:18" s="757" customFormat="1" outlineLevel="2" x14ac:dyDescent="0.2">
      <c r="B316" s="745" t="s">
        <v>3935</v>
      </c>
      <c r="C316" s="751" t="s">
        <v>1653</v>
      </c>
      <c r="D316" s="752" t="s">
        <v>241</v>
      </c>
      <c r="E316" s="753"/>
      <c r="F316" s="753"/>
      <c r="G316" s="753"/>
      <c r="H316" s="753"/>
      <c r="I316" s="754">
        <f t="shared" si="24"/>
        <v>0</v>
      </c>
      <c r="J316" s="753"/>
      <c r="K316" s="748">
        <f t="shared" si="27"/>
        <v>0</v>
      </c>
      <c r="L316" s="753"/>
      <c r="M316" s="753"/>
      <c r="N316" s="753"/>
      <c r="O316" s="753"/>
      <c r="P316" s="756">
        <f t="shared" si="25"/>
        <v>0</v>
      </c>
      <c r="Q316" s="753"/>
      <c r="R316" s="750">
        <f t="shared" si="26"/>
        <v>0</v>
      </c>
    </row>
    <row r="317" spans="2:18" s="757" customFormat="1" outlineLevel="2" x14ac:dyDescent="0.2">
      <c r="B317" s="745" t="s">
        <v>3936</v>
      </c>
      <c r="C317" s="751" t="s">
        <v>1654</v>
      </c>
      <c r="D317" s="752" t="s">
        <v>241</v>
      </c>
      <c r="E317" s="753"/>
      <c r="F317" s="753"/>
      <c r="G317" s="753"/>
      <c r="H317" s="753"/>
      <c r="I317" s="754">
        <f t="shared" si="24"/>
        <v>0</v>
      </c>
      <c r="J317" s="753"/>
      <c r="K317" s="748">
        <f t="shared" si="27"/>
        <v>0</v>
      </c>
      <c r="L317" s="753"/>
      <c r="M317" s="753"/>
      <c r="N317" s="753"/>
      <c r="O317" s="753"/>
      <c r="P317" s="756">
        <f t="shared" si="25"/>
        <v>0</v>
      </c>
      <c r="Q317" s="753"/>
      <c r="R317" s="750">
        <f t="shared" si="26"/>
        <v>0</v>
      </c>
    </row>
    <row r="318" spans="2:18" s="757" customFormat="1" outlineLevel="2" x14ac:dyDescent="0.2">
      <c r="B318" s="745" t="s">
        <v>3937</v>
      </c>
      <c r="C318" s="751" t="s">
        <v>1655</v>
      </c>
      <c r="D318" s="752" t="s">
        <v>241</v>
      </c>
      <c r="E318" s="753"/>
      <c r="F318" s="753"/>
      <c r="G318" s="753"/>
      <c r="H318" s="753"/>
      <c r="I318" s="754">
        <f t="shared" si="24"/>
        <v>0</v>
      </c>
      <c r="J318" s="753"/>
      <c r="K318" s="748">
        <f t="shared" si="27"/>
        <v>0</v>
      </c>
      <c r="L318" s="753"/>
      <c r="M318" s="753"/>
      <c r="N318" s="753"/>
      <c r="O318" s="753"/>
      <c r="P318" s="756">
        <f t="shared" si="25"/>
        <v>0</v>
      </c>
      <c r="Q318" s="753"/>
      <c r="R318" s="750">
        <f t="shared" si="26"/>
        <v>0</v>
      </c>
    </row>
    <row r="319" spans="2:18" s="757" customFormat="1" outlineLevel="2" x14ac:dyDescent="0.2">
      <c r="B319" s="745" t="s">
        <v>3938</v>
      </c>
      <c r="C319" s="751" t="s">
        <v>1656</v>
      </c>
      <c r="D319" s="752" t="s">
        <v>241</v>
      </c>
      <c r="E319" s="753"/>
      <c r="F319" s="753"/>
      <c r="G319" s="753"/>
      <c r="H319" s="753"/>
      <c r="I319" s="754">
        <f t="shared" si="24"/>
        <v>0</v>
      </c>
      <c r="J319" s="753"/>
      <c r="K319" s="748">
        <f t="shared" si="27"/>
        <v>0</v>
      </c>
      <c r="L319" s="753"/>
      <c r="M319" s="753"/>
      <c r="N319" s="753"/>
      <c r="O319" s="753"/>
      <c r="P319" s="756">
        <f t="shared" si="25"/>
        <v>0</v>
      </c>
      <c r="Q319" s="753"/>
      <c r="R319" s="750">
        <f t="shared" si="26"/>
        <v>0</v>
      </c>
    </row>
    <row r="320" spans="2:18" s="757" customFormat="1" outlineLevel="2" x14ac:dyDescent="0.2">
      <c r="B320" s="745" t="s">
        <v>3939</v>
      </c>
      <c r="C320" s="751" t="s">
        <v>1657</v>
      </c>
      <c r="D320" s="752" t="s">
        <v>241</v>
      </c>
      <c r="E320" s="753"/>
      <c r="F320" s="753"/>
      <c r="G320" s="753"/>
      <c r="H320" s="753"/>
      <c r="I320" s="754">
        <f t="shared" si="24"/>
        <v>0</v>
      </c>
      <c r="J320" s="753"/>
      <c r="K320" s="748">
        <f t="shared" si="27"/>
        <v>0</v>
      </c>
      <c r="L320" s="753"/>
      <c r="M320" s="753"/>
      <c r="N320" s="753"/>
      <c r="O320" s="753"/>
      <c r="P320" s="756">
        <f t="shared" si="25"/>
        <v>0</v>
      </c>
      <c r="Q320" s="753"/>
      <c r="R320" s="750">
        <f t="shared" si="26"/>
        <v>0</v>
      </c>
    </row>
    <row r="321" spans="2:18" s="757" customFormat="1" outlineLevel="2" x14ac:dyDescent="0.2">
      <c r="B321" s="745" t="s">
        <v>3940</v>
      </c>
      <c r="C321" s="751" t="s">
        <v>1658</v>
      </c>
      <c r="D321" s="752" t="s">
        <v>241</v>
      </c>
      <c r="E321" s="753"/>
      <c r="F321" s="753"/>
      <c r="G321" s="753"/>
      <c r="H321" s="753"/>
      <c r="I321" s="754">
        <f t="shared" si="24"/>
        <v>0</v>
      </c>
      <c r="J321" s="753"/>
      <c r="K321" s="748">
        <f t="shared" si="27"/>
        <v>0</v>
      </c>
      <c r="L321" s="753"/>
      <c r="M321" s="753"/>
      <c r="N321" s="753"/>
      <c r="O321" s="753"/>
      <c r="P321" s="756">
        <f t="shared" si="25"/>
        <v>0</v>
      </c>
      <c r="Q321" s="753"/>
      <c r="R321" s="750">
        <f t="shared" si="26"/>
        <v>0</v>
      </c>
    </row>
    <row r="322" spans="2:18" s="757" customFormat="1" outlineLevel="2" x14ac:dyDescent="0.2">
      <c r="B322" s="745" t="s">
        <v>3941</v>
      </c>
      <c r="C322" s="751" t="s">
        <v>1659</v>
      </c>
      <c r="D322" s="752" t="s">
        <v>241</v>
      </c>
      <c r="E322" s="753"/>
      <c r="F322" s="753"/>
      <c r="G322" s="753"/>
      <c r="H322" s="753"/>
      <c r="I322" s="754">
        <f t="shared" si="24"/>
        <v>0</v>
      </c>
      <c r="J322" s="753"/>
      <c r="K322" s="748">
        <f t="shared" si="27"/>
        <v>0</v>
      </c>
      <c r="L322" s="753"/>
      <c r="M322" s="753"/>
      <c r="N322" s="753"/>
      <c r="O322" s="753"/>
      <c r="P322" s="756">
        <f t="shared" si="25"/>
        <v>0</v>
      </c>
      <c r="Q322" s="753"/>
      <c r="R322" s="750">
        <f t="shared" si="26"/>
        <v>0</v>
      </c>
    </row>
    <row r="323" spans="2:18" s="757" customFormat="1" outlineLevel="2" x14ac:dyDescent="0.2">
      <c r="B323" s="745" t="s">
        <v>3942</v>
      </c>
      <c r="C323" s="751" t="s">
        <v>1660</v>
      </c>
      <c r="D323" s="752" t="s">
        <v>241</v>
      </c>
      <c r="E323" s="753"/>
      <c r="F323" s="753"/>
      <c r="G323" s="753"/>
      <c r="H323" s="753"/>
      <c r="I323" s="754">
        <f t="shared" si="24"/>
        <v>0</v>
      </c>
      <c r="J323" s="753"/>
      <c r="K323" s="748">
        <f t="shared" si="27"/>
        <v>0</v>
      </c>
      <c r="L323" s="753"/>
      <c r="M323" s="753"/>
      <c r="N323" s="753"/>
      <c r="O323" s="753"/>
      <c r="P323" s="756">
        <f t="shared" si="25"/>
        <v>0</v>
      </c>
      <c r="Q323" s="753"/>
      <c r="R323" s="750">
        <f t="shared" si="26"/>
        <v>0</v>
      </c>
    </row>
    <row r="324" spans="2:18" s="757" customFormat="1" outlineLevel="2" x14ac:dyDescent="0.2">
      <c r="B324" s="745" t="s">
        <v>3943</v>
      </c>
      <c r="C324" s="751" t="s">
        <v>1661</v>
      </c>
      <c r="D324" s="752" t="s">
        <v>241</v>
      </c>
      <c r="E324" s="753"/>
      <c r="F324" s="753"/>
      <c r="G324" s="753"/>
      <c r="H324" s="753"/>
      <c r="I324" s="754">
        <f t="shared" si="24"/>
        <v>0</v>
      </c>
      <c r="J324" s="753"/>
      <c r="K324" s="748">
        <f t="shared" si="27"/>
        <v>0</v>
      </c>
      <c r="L324" s="753"/>
      <c r="M324" s="753"/>
      <c r="N324" s="753"/>
      <c r="O324" s="753"/>
      <c r="P324" s="756">
        <f t="shared" si="25"/>
        <v>0</v>
      </c>
      <c r="Q324" s="753"/>
      <c r="R324" s="750">
        <f t="shared" si="26"/>
        <v>0</v>
      </c>
    </row>
    <row r="325" spans="2:18" s="757" customFormat="1" outlineLevel="2" x14ac:dyDescent="0.2">
      <c r="B325" s="745" t="s">
        <v>3944</v>
      </c>
      <c r="C325" s="751" t="s">
        <v>1662</v>
      </c>
      <c r="D325" s="752" t="s">
        <v>241</v>
      </c>
      <c r="E325" s="753"/>
      <c r="F325" s="753"/>
      <c r="G325" s="753"/>
      <c r="H325" s="753"/>
      <c r="I325" s="754">
        <f t="shared" si="24"/>
        <v>0</v>
      </c>
      <c r="J325" s="753"/>
      <c r="K325" s="748">
        <f t="shared" si="27"/>
        <v>0</v>
      </c>
      <c r="L325" s="753"/>
      <c r="M325" s="753"/>
      <c r="N325" s="753"/>
      <c r="O325" s="753"/>
      <c r="P325" s="756">
        <f t="shared" si="25"/>
        <v>0</v>
      </c>
      <c r="Q325" s="753"/>
      <c r="R325" s="750">
        <f t="shared" si="26"/>
        <v>0</v>
      </c>
    </row>
    <row r="326" spans="2:18" s="757" customFormat="1" outlineLevel="2" x14ac:dyDescent="0.2">
      <c r="B326" s="745" t="s">
        <v>3945</v>
      </c>
      <c r="C326" s="751" t="s">
        <v>1663</v>
      </c>
      <c r="D326" s="752" t="s">
        <v>241</v>
      </c>
      <c r="E326" s="753"/>
      <c r="F326" s="753"/>
      <c r="G326" s="753"/>
      <c r="H326" s="753"/>
      <c r="I326" s="754">
        <f t="shared" si="24"/>
        <v>0</v>
      </c>
      <c r="J326" s="753"/>
      <c r="K326" s="748">
        <f t="shared" si="27"/>
        <v>0</v>
      </c>
      <c r="L326" s="753"/>
      <c r="M326" s="753"/>
      <c r="N326" s="753"/>
      <c r="O326" s="753"/>
      <c r="P326" s="756">
        <f t="shared" si="25"/>
        <v>0</v>
      </c>
      <c r="Q326" s="753"/>
      <c r="R326" s="750">
        <f t="shared" si="26"/>
        <v>0</v>
      </c>
    </row>
    <row r="327" spans="2:18" s="734" customFormat="1" outlineLevel="1" x14ac:dyDescent="0.2">
      <c r="B327" s="745" t="s">
        <v>3946</v>
      </c>
      <c r="C327" s="746">
        <v>3.4</v>
      </c>
      <c r="D327" s="131" t="s">
        <v>4804</v>
      </c>
      <c r="E327" s="747">
        <f>SUM(E328:E347)</f>
        <v>0</v>
      </c>
      <c r="F327" s="747">
        <f>SUM(F328:F347)</f>
        <v>0</v>
      </c>
      <c r="G327" s="747">
        <f>SUM(G328:G347)</f>
        <v>0</v>
      </c>
      <c r="H327" s="747">
        <f>SUM(H328:H347)</f>
        <v>0</v>
      </c>
      <c r="I327" s="748">
        <f t="shared" si="24"/>
        <v>0</v>
      </c>
      <c r="J327" s="747">
        <f>SUM(J328:J347)</f>
        <v>0</v>
      </c>
      <c r="K327" s="748">
        <f t="shared" si="27"/>
        <v>0</v>
      </c>
      <c r="L327" s="747">
        <f>SUM(L328:L347)</f>
        <v>0</v>
      </c>
      <c r="M327" s="747">
        <f>SUM(M328:M347)</f>
        <v>0</v>
      </c>
      <c r="N327" s="747">
        <f>SUM(N328:N347)</f>
        <v>0</v>
      </c>
      <c r="O327" s="747">
        <f>SUM(O328:O347)</f>
        <v>0</v>
      </c>
      <c r="P327" s="749">
        <f t="shared" si="25"/>
        <v>0</v>
      </c>
      <c r="Q327" s="747">
        <f>SUM(Q328:Q347)</f>
        <v>0</v>
      </c>
      <c r="R327" s="750">
        <f t="shared" si="26"/>
        <v>0</v>
      </c>
    </row>
    <row r="328" spans="2:18" s="757" customFormat="1" outlineLevel="2" x14ac:dyDescent="0.2">
      <c r="B328" s="745" t="s">
        <v>3947</v>
      </c>
      <c r="C328" s="751" t="s">
        <v>1664</v>
      </c>
      <c r="D328" s="752" t="s">
        <v>241</v>
      </c>
      <c r="E328" s="753"/>
      <c r="F328" s="753"/>
      <c r="G328" s="753"/>
      <c r="H328" s="753"/>
      <c r="I328" s="754">
        <f t="shared" ref="I328:I389" si="28">SUM(E328:H328)</f>
        <v>0</v>
      </c>
      <c r="J328" s="753"/>
      <c r="K328" s="748">
        <f t="shared" si="27"/>
        <v>0</v>
      </c>
      <c r="L328" s="753"/>
      <c r="M328" s="753"/>
      <c r="N328" s="753"/>
      <c r="O328" s="753"/>
      <c r="P328" s="756">
        <f t="shared" ref="P328:P389" si="29">SUM(L328:O328)</f>
        <v>0</v>
      </c>
      <c r="Q328" s="753"/>
      <c r="R328" s="750">
        <f t="shared" ref="R328:R389" si="30">P328-Q328</f>
        <v>0</v>
      </c>
    </row>
    <row r="329" spans="2:18" s="757" customFormat="1" outlineLevel="2" x14ac:dyDescent="0.2">
      <c r="B329" s="745" t="s">
        <v>3948</v>
      </c>
      <c r="C329" s="751" t="s">
        <v>1665</v>
      </c>
      <c r="D329" s="752" t="s">
        <v>241</v>
      </c>
      <c r="E329" s="753"/>
      <c r="F329" s="753"/>
      <c r="G329" s="753"/>
      <c r="H329" s="753"/>
      <c r="I329" s="754">
        <f t="shared" si="28"/>
        <v>0</v>
      </c>
      <c r="J329" s="753"/>
      <c r="K329" s="748">
        <f t="shared" si="27"/>
        <v>0</v>
      </c>
      <c r="L329" s="753"/>
      <c r="M329" s="753"/>
      <c r="N329" s="753"/>
      <c r="O329" s="753"/>
      <c r="P329" s="756">
        <f t="shared" si="29"/>
        <v>0</v>
      </c>
      <c r="Q329" s="753"/>
      <c r="R329" s="750">
        <f t="shared" si="30"/>
        <v>0</v>
      </c>
    </row>
    <row r="330" spans="2:18" s="757" customFormat="1" outlineLevel="2" x14ac:dyDescent="0.2">
      <c r="B330" s="745" t="s">
        <v>3949</v>
      </c>
      <c r="C330" s="751" t="s">
        <v>1666</v>
      </c>
      <c r="D330" s="752" t="s">
        <v>241</v>
      </c>
      <c r="E330" s="753"/>
      <c r="F330" s="753"/>
      <c r="G330" s="753"/>
      <c r="H330" s="753"/>
      <c r="I330" s="754">
        <f t="shared" si="28"/>
        <v>0</v>
      </c>
      <c r="J330" s="753"/>
      <c r="K330" s="748">
        <f t="shared" si="27"/>
        <v>0</v>
      </c>
      <c r="L330" s="753"/>
      <c r="M330" s="753"/>
      <c r="N330" s="753"/>
      <c r="O330" s="753"/>
      <c r="P330" s="756">
        <f t="shared" si="29"/>
        <v>0</v>
      </c>
      <c r="Q330" s="753"/>
      <c r="R330" s="750">
        <f t="shared" si="30"/>
        <v>0</v>
      </c>
    </row>
    <row r="331" spans="2:18" s="757" customFormat="1" outlineLevel="2" x14ac:dyDescent="0.2">
      <c r="B331" s="745" t="s">
        <v>3950</v>
      </c>
      <c r="C331" s="751" t="s">
        <v>1667</v>
      </c>
      <c r="D331" s="752" t="s">
        <v>241</v>
      </c>
      <c r="E331" s="753"/>
      <c r="F331" s="753"/>
      <c r="G331" s="753"/>
      <c r="H331" s="753"/>
      <c r="I331" s="754">
        <f t="shared" si="28"/>
        <v>0</v>
      </c>
      <c r="J331" s="753"/>
      <c r="K331" s="748">
        <f t="shared" ref="K331:K394" si="31">I331-J331</f>
        <v>0</v>
      </c>
      <c r="L331" s="753"/>
      <c r="M331" s="753"/>
      <c r="N331" s="753"/>
      <c r="O331" s="753"/>
      <c r="P331" s="756">
        <f t="shared" si="29"/>
        <v>0</v>
      </c>
      <c r="Q331" s="753"/>
      <c r="R331" s="750">
        <f t="shared" si="30"/>
        <v>0</v>
      </c>
    </row>
    <row r="332" spans="2:18" s="757" customFormat="1" outlineLevel="2" x14ac:dyDescent="0.2">
      <c r="B332" s="745" t="s">
        <v>3951</v>
      </c>
      <c r="C332" s="751" t="s">
        <v>1668</v>
      </c>
      <c r="D332" s="752" t="s">
        <v>241</v>
      </c>
      <c r="E332" s="753"/>
      <c r="F332" s="753"/>
      <c r="G332" s="753"/>
      <c r="H332" s="753"/>
      <c r="I332" s="754">
        <f t="shared" si="28"/>
        <v>0</v>
      </c>
      <c r="J332" s="753"/>
      <c r="K332" s="748">
        <f t="shared" si="31"/>
        <v>0</v>
      </c>
      <c r="L332" s="753"/>
      <c r="M332" s="753"/>
      <c r="N332" s="753"/>
      <c r="O332" s="753"/>
      <c r="P332" s="756">
        <f t="shared" si="29"/>
        <v>0</v>
      </c>
      <c r="Q332" s="753"/>
      <c r="R332" s="750">
        <f t="shared" si="30"/>
        <v>0</v>
      </c>
    </row>
    <row r="333" spans="2:18" s="757" customFormat="1" outlineLevel="2" x14ac:dyDescent="0.2">
      <c r="B333" s="745" t="s">
        <v>3952</v>
      </c>
      <c r="C333" s="751" t="s">
        <v>1669</v>
      </c>
      <c r="D333" s="752" t="s">
        <v>241</v>
      </c>
      <c r="E333" s="753"/>
      <c r="F333" s="753"/>
      <c r="G333" s="753"/>
      <c r="H333" s="753"/>
      <c r="I333" s="754">
        <f t="shared" si="28"/>
        <v>0</v>
      </c>
      <c r="J333" s="753"/>
      <c r="K333" s="748">
        <f t="shared" si="31"/>
        <v>0</v>
      </c>
      <c r="L333" s="753"/>
      <c r="M333" s="753"/>
      <c r="N333" s="753"/>
      <c r="O333" s="753"/>
      <c r="P333" s="756">
        <f t="shared" si="29"/>
        <v>0</v>
      </c>
      <c r="Q333" s="753"/>
      <c r="R333" s="750">
        <f t="shared" si="30"/>
        <v>0</v>
      </c>
    </row>
    <row r="334" spans="2:18" s="757" customFormat="1" outlineLevel="2" x14ac:dyDescent="0.2">
      <c r="B334" s="745" t="s">
        <v>3953</v>
      </c>
      <c r="C334" s="751" t="s">
        <v>1670</v>
      </c>
      <c r="D334" s="752" t="s">
        <v>241</v>
      </c>
      <c r="E334" s="753"/>
      <c r="F334" s="753"/>
      <c r="G334" s="753"/>
      <c r="H334" s="753"/>
      <c r="I334" s="754">
        <f t="shared" si="28"/>
        <v>0</v>
      </c>
      <c r="J334" s="753"/>
      <c r="K334" s="748">
        <f t="shared" si="31"/>
        <v>0</v>
      </c>
      <c r="L334" s="753"/>
      <c r="M334" s="753"/>
      <c r="N334" s="753"/>
      <c r="O334" s="753"/>
      <c r="P334" s="756">
        <f t="shared" si="29"/>
        <v>0</v>
      </c>
      <c r="Q334" s="753"/>
      <c r="R334" s="750">
        <f t="shared" si="30"/>
        <v>0</v>
      </c>
    </row>
    <row r="335" spans="2:18" s="757" customFormat="1" outlineLevel="2" x14ac:dyDescent="0.2">
      <c r="B335" s="745" t="s">
        <v>3954</v>
      </c>
      <c r="C335" s="751" t="s">
        <v>1671</v>
      </c>
      <c r="D335" s="752" t="s">
        <v>241</v>
      </c>
      <c r="E335" s="753"/>
      <c r="F335" s="753"/>
      <c r="G335" s="753"/>
      <c r="H335" s="753"/>
      <c r="I335" s="754">
        <f t="shared" si="28"/>
        <v>0</v>
      </c>
      <c r="J335" s="753"/>
      <c r="K335" s="748">
        <f t="shared" si="31"/>
        <v>0</v>
      </c>
      <c r="L335" s="753"/>
      <c r="M335" s="753"/>
      <c r="N335" s="753"/>
      <c r="O335" s="753"/>
      <c r="P335" s="756">
        <f t="shared" si="29"/>
        <v>0</v>
      </c>
      <c r="Q335" s="753"/>
      <c r="R335" s="750">
        <f t="shared" si="30"/>
        <v>0</v>
      </c>
    </row>
    <row r="336" spans="2:18" s="757" customFormat="1" outlineLevel="2" x14ac:dyDescent="0.2">
      <c r="B336" s="745" t="s">
        <v>3955</v>
      </c>
      <c r="C336" s="751" t="s">
        <v>1672</v>
      </c>
      <c r="D336" s="752" t="s">
        <v>241</v>
      </c>
      <c r="E336" s="753"/>
      <c r="F336" s="753"/>
      <c r="G336" s="753"/>
      <c r="H336" s="753"/>
      <c r="I336" s="754">
        <f t="shared" si="28"/>
        <v>0</v>
      </c>
      <c r="J336" s="753"/>
      <c r="K336" s="748">
        <f t="shared" si="31"/>
        <v>0</v>
      </c>
      <c r="L336" s="753"/>
      <c r="M336" s="753"/>
      <c r="N336" s="753"/>
      <c r="O336" s="753"/>
      <c r="P336" s="756">
        <f t="shared" si="29"/>
        <v>0</v>
      </c>
      <c r="Q336" s="753"/>
      <c r="R336" s="750">
        <f t="shared" si="30"/>
        <v>0</v>
      </c>
    </row>
    <row r="337" spans="2:18" s="757" customFormat="1" outlineLevel="2" x14ac:dyDescent="0.2">
      <c r="B337" s="745" t="s">
        <v>3956</v>
      </c>
      <c r="C337" s="751" t="s">
        <v>1673</v>
      </c>
      <c r="D337" s="752" t="s">
        <v>241</v>
      </c>
      <c r="E337" s="753"/>
      <c r="F337" s="753"/>
      <c r="G337" s="753"/>
      <c r="H337" s="753"/>
      <c r="I337" s="754">
        <f t="shared" si="28"/>
        <v>0</v>
      </c>
      <c r="J337" s="753"/>
      <c r="K337" s="748">
        <f t="shared" si="31"/>
        <v>0</v>
      </c>
      <c r="L337" s="753"/>
      <c r="M337" s="753"/>
      <c r="N337" s="753"/>
      <c r="O337" s="753"/>
      <c r="P337" s="756">
        <f t="shared" si="29"/>
        <v>0</v>
      </c>
      <c r="Q337" s="753"/>
      <c r="R337" s="750">
        <f t="shared" si="30"/>
        <v>0</v>
      </c>
    </row>
    <row r="338" spans="2:18" s="757" customFormat="1" outlineLevel="2" x14ac:dyDescent="0.2">
      <c r="B338" s="745" t="s">
        <v>3957</v>
      </c>
      <c r="C338" s="751" t="s">
        <v>1674</v>
      </c>
      <c r="D338" s="752" t="s">
        <v>241</v>
      </c>
      <c r="E338" s="753"/>
      <c r="F338" s="753"/>
      <c r="G338" s="753"/>
      <c r="H338" s="753"/>
      <c r="I338" s="754">
        <f t="shared" si="28"/>
        <v>0</v>
      </c>
      <c r="J338" s="753"/>
      <c r="K338" s="748">
        <f t="shared" si="31"/>
        <v>0</v>
      </c>
      <c r="L338" s="753"/>
      <c r="M338" s="753"/>
      <c r="N338" s="753"/>
      <c r="O338" s="753"/>
      <c r="P338" s="756">
        <f t="shared" si="29"/>
        <v>0</v>
      </c>
      <c r="Q338" s="753"/>
      <c r="R338" s="750">
        <f t="shared" si="30"/>
        <v>0</v>
      </c>
    </row>
    <row r="339" spans="2:18" s="757" customFormat="1" outlineLevel="2" x14ac:dyDescent="0.2">
      <c r="B339" s="745" t="s">
        <v>3958</v>
      </c>
      <c r="C339" s="751" t="s">
        <v>1675</v>
      </c>
      <c r="D339" s="752" t="s">
        <v>241</v>
      </c>
      <c r="E339" s="753"/>
      <c r="F339" s="753"/>
      <c r="G339" s="753"/>
      <c r="H339" s="753"/>
      <c r="I339" s="754">
        <f t="shared" si="28"/>
        <v>0</v>
      </c>
      <c r="J339" s="753"/>
      <c r="K339" s="748">
        <f t="shared" si="31"/>
        <v>0</v>
      </c>
      <c r="L339" s="753"/>
      <c r="M339" s="753"/>
      <c r="N339" s="753"/>
      <c r="O339" s="753"/>
      <c r="P339" s="756">
        <f t="shared" si="29"/>
        <v>0</v>
      </c>
      <c r="Q339" s="753"/>
      <c r="R339" s="750">
        <f t="shared" si="30"/>
        <v>0</v>
      </c>
    </row>
    <row r="340" spans="2:18" s="757" customFormat="1" outlineLevel="2" x14ac:dyDescent="0.2">
      <c r="B340" s="745" t="s">
        <v>3959</v>
      </c>
      <c r="C340" s="751" t="s">
        <v>1676</v>
      </c>
      <c r="D340" s="752" t="s">
        <v>241</v>
      </c>
      <c r="E340" s="753"/>
      <c r="F340" s="753"/>
      <c r="G340" s="753"/>
      <c r="H340" s="753"/>
      <c r="I340" s="754">
        <f t="shared" si="28"/>
        <v>0</v>
      </c>
      <c r="J340" s="753"/>
      <c r="K340" s="748">
        <f t="shared" si="31"/>
        <v>0</v>
      </c>
      <c r="L340" s="753"/>
      <c r="M340" s="753"/>
      <c r="N340" s="753"/>
      <c r="O340" s="753"/>
      <c r="P340" s="756">
        <f t="shared" si="29"/>
        <v>0</v>
      </c>
      <c r="Q340" s="753"/>
      <c r="R340" s="750">
        <f t="shared" si="30"/>
        <v>0</v>
      </c>
    </row>
    <row r="341" spans="2:18" s="757" customFormat="1" outlineLevel="2" x14ac:dyDescent="0.2">
      <c r="B341" s="745" t="s">
        <v>3960</v>
      </c>
      <c r="C341" s="751" t="s">
        <v>1677</v>
      </c>
      <c r="D341" s="752" t="s">
        <v>241</v>
      </c>
      <c r="E341" s="753"/>
      <c r="F341" s="753"/>
      <c r="G341" s="753"/>
      <c r="H341" s="753"/>
      <c r="I341" s="754">
        <f t="shared" si="28"/>
        <v>0</v>
      </c>
      <c r="J341" s="753"/>
      <c r="K341" s="748">
        <f t="shared" si="31"/>
        <v>0</v>
      </c>
      <c r="L341" s="753"/>
      <c r="M341" s="753"/>
      <c r="N341" s="753"/>
      <c r="O341" s="753"/>
      <c r="P341" s="756">
        <f t="shared" si="29"/>
        <v>0</v>
      </c>
      <c r="Q341" s="753"/>
      <c r="R341" s="750">
        <f t="shared" si="30"/>
        <v>0</v>
      </c>
    </row>
    <row r="342" spans="2:18" s="757" customFormat="1" outlineLevel="2" x14ac:dyDescent="0.2">
      <c r="B342" s="745" t="s">
        <v>3961</v>
      </c>
      <c r="C342" s="751" t="s">
        <v>1678</v>
      </c>
      <c r="D342" s="752" t="s">
        <v>241</v>
      </c>
      <c r="E342" s="753"/>
      <c r="F342" s="753"/>
      <c r="G342" s="753"/>
      <c r="H342" s="753"/>
      <c r="I342" s="754">
        <f t="shared" si="28"/>
        <v>0</v>
      </c>
      <c r="J342" s="753"/>
      <c r="K342" s="748">
        <f t="shared" si="31"/>
        <v>0</v>
      </c>
      <c r="L342" s="753"/>
      <c r="M342" s="753"/>
      <c r="N342" s="753"/>
      <c r="O342" s="753"/>
      <c r="P342" s="756">
        <f t="shared" si="29"/>
        <v>0</v>
      </c>
      <c r="Q342" s="753"/>
      <c r="R342" s="750">
        <f t="shared" si="30"/>
        <v>0</v>
      </c>
    </row>
    <row r="343" spans="2:18" s="757" customFormat="1" outlineLevel="2" x14ac:dyDescent="0.2">
      <c r="B343" s="745" t="s">
        <v>3962</v>
      </c>
      <c r="C343" s="751" t="s">
        <v>1679</v>
      </c>
      <c r="D343" s="752" t="s">
        <v>241</v>
      </c>
      <c r="E343" s="753"/>
      <c r="F343" s="753"/>
      <c r="G343" s="753"/>
      <c r="H343" s="753"/>
      <c r="I343" s="754">
        <f t="shared" si="28"/>
        <v>0</v>
      </c>
      <c r="J343" s="753"/>
      <c r="K343" s="748">
        <f t="shared" si="31"/>
        <v>0</v>
      </c>
      <c r="L343" s="753"/>
      <c r="M343" s="753"/>
      <c r="N343" s="753"/>
      <c r="O343" s="753"/>
      <c r="P343" s="756">
        <f t="shared" si="29"/>
        <v>0</v>
      </c>
      <c r="Q343" s="753"/>
      <c r="R343" s="750">
        <f t="shared" si="30"/>
        <v>0</v>
      </c>
    </row>
    <row r="344" spans="2:18" s="757" customFormat="1" outlineLevel="2" x14ac:dyDescent="0.2">
      <c r="B344" s="745" t="s">
        <v>3963</v>
      </c>
      <c r="C344" s="751" t="s">
        <v>1680</v>
      </c>
      <c r="D344" s="752" t="s">
        <v>241</v>
      </c>
      <c r="E344" s="753"/>
      <c r="F344" s="753"/>
      <c r="G344" s="753"/>
      <c r="H344" s="753"/>
      <c r="I344" s="754">
        <f t="shared" si="28"/>
        <v>0</v>
      </c>
      <c r="J344" s="753"/>
      <c r="K344" s="748">
        <f t="shared" si="31"/>
        <v>0</v>
      </c>
      <c r="L344" s="753"/>
      <c r="M344" s="753"/>
      <c r="N344" s="753"/>
      <c r="O344" s="753"/>
      <c r="P344" s="756">
        <f t="shared" si="29"/>
        <v>0</v>
      </c>
      <c r="Q344" s="753"/>
      <c r="R344" s="750">
        <f t="shared" si="30"/>
        <v>0</v>
      </c>
    </row>
    <row r="345" spans="2:18" s="757" customFormat="1" outlineLevel="2" x14ac:dyDescent="0.2">
      <c r="B345" s="745" t="s">
        <v>3964</v>
      </c>
      <c r="C345" s="751" t="s">
        <v>1681</v>
      </c>
      <c r="D345" s="752" t="s">
        <v>241</v>
      </c>
      <c r="E345" s="753"/>
      <c r="F345" s="753"/>
      <c r="G345" s="753"/>
      <c r="H345" s="753"/>
      <c r="I345" s="754">
        <f t="shared" si="28"/>
        <v>0</v>
      </c>
      <c r="J345" s="753"/>
      <c r="K345" s="748">
        <f t="shared" si="31"/>
        <v>0</v>
      </c>
      <c r="L345" s="753"/>
      <c r="M345" s="753"/>
      <c r="N345" s="753"/>
      <c r="O345" s="753"/>
      <c r="P345" s="756">
        <f t="shared" si="29"/>
        <v>0</v>
      </c>
      <c r="Q345" s="753"/>
      <c r="R345" s="750">
        <f t="shared" si="30"/>
        <v>0</v>
      </c>
    </row>
    <row r="346" spans="2:18" s="757" customFormat="1" outlineLevel="2" x14ac:dyDescent="0.2">
      <c r="B346" s="745" t="s">
        <v>3965</v>
      </c>
      <c r="C346" s="751" t="s">
        <v>1682</v>
      </c>
      <c r="D346" s="752" t="s">
        <v>241</v>
      </c>
      <c r="E346" s="753"/>
      <c r="F346" s="753"/>
      <c r="G346" s="753"/>
      <c r="H346" s="753"/>
      <c r="I346" s="754">
        <f t="shared" si="28"/>
        <v>0</v>
      </c>
      <c r="J346" s="753"/>
      <c r="K346" s="748">
        <f t="shared" si="31"/>
        <v>0</v>
      </c>
      <c r="L346" s="753"/>
      <c r="M346" s="753"/>
      <c r="N346" s="753"/>
      <c r="O346" s="753"/>
      <c r="P346" s="756">
        <f t="shared" si="29"/>
        <v>0</v>
      </c>
      <c r="Q346" s="753"/>
      <c r="R346" s="750">
        <f t="shared" si="30"/>
        <v>0</v>
      </c>
    </row>
    <row r="347" spans="2:18" s="757" customFormat="1" outlineLevel="2" x14ac:dyDescent="0.2">
      <c r="B347" s="745" t="s">
        <v>3966</v>
      </c>
      <c r="C347" s="751" t="s">
        <v>1683</v>
      </c>
      <c r="D347" s="752" t="s">
        <v>241</v>
      </c>
      <c r="E347" s="753"/>
      <c r="F347" s="753"/>
      <c r="G347" s="753"/>
      <c r="H347" s="753"/>
      <c r="I347" s="754">
        <f t="shared" si="28"/>
        <v>0</v>
      </c>
      <c r="J347" s="753"/>
      <c r="K347" s="748">
        <f t="shared" si="31"/>
        <v>0</v>
      </c>
      <c r="L347" s="753"/>
      <c r="M347" s="753"/>
      <c r="N347" s="753"/>
      <c r="O347" s="753"/>
      <c r="P347" s="756">
        <f t="shared" si="29"/>
        <v>0</v>
      </c>
      <c r="Q347" s="753"/>
      <c r="R347" s="750">
        <f t="shared" si="30"/>
        <v>0</v>
      </c>
    </row>
    <row r="348" spans="2:18" s="734" customFormat="1" outlineLevel="1" x14ac:dyDescent="0.2">
      <c r="B348" s="745" t="s">
        <v>3967</v>
      </c>
      <c r="C348" s="746">
        <v>3.5</v>
      </c>
      <c r="D348" s="131" t="s">
        <v>4799</v>
      </c>
      <c r="E348" s="747">
        <f>SUM(E349:E368)</f>
        <v>0</v>
      </c>
      <c r="F348" s="747">
        <f>SUM(F349:F368)</f>
        <v>0</v>
      </c>
      <c r="G348" s="747">
        <f>SUM(G349:G368)</f>
        <v>0</v>
      </c>
      <c r="H348" s="747">
        <f>SUM(H349:H368)</f>
        <v>0</v>
      </c>
      <c r="I348" s="748">
        <f t="shared" si="28"/>
        <v>0</v>
      </c>
      <c r="J348" s="747">
        <f>SUM(J349:J368)</f>
        <v>0</v>
      </c>
      <c r="K348" s="748">
        <f t="shared" si="31"/>
        <v>0</v>
      </c>
      <c r="L348" s="747">
        <f>SUM(L349:L368)</f>
        <v>0</v>
      </c>
      <c r="M348" s="747">
        <f>SUM(M349:M368)</f>
        <v>0</v>
      </c>
      <c r="N348" s="747">
        <f>SUM(N349:N368)</f>
        <v>0</v>
      </c>
      <c r="O348" s="747">
        <f>SUM(O349:O368)</f>
        <v>0</v>
      </c>
      <c r="P348" s="749">
        <f t="shared" si="29"/>
        <v>0</v>
      </c>
      <c r="Q348" s="747">
        <f>SUM(Q349:Q368)</f>
        <v>0</v>
      </c>
      <c r="R348" s="750">
        <f t="shared" si="30"/>
        <v>0</v>
      </c>
    </row>
    <row r="349" spans="2:18" s="757" customFormat="1" outlineLevel="2" x14ac:dyDescent="0.2">
      <c r="B349" s="745" t="s">
        <v>3968</v>
      </c>
      <c r="C349" s="751" t="s">
        <v>2431</v>
      </c>
      <c r="D349" s="752" t="s">
        <v>242</v>
      </c>
      <c r="E349" s="753"/>
      <c r="F349" s="753"/>
      <c r="G349" s="753"/>
      <c r="H349" s="753"/>
      <c r="I349" s="754">
        <f t="shared" si="28"/>
        <v>0</v>
      </c>
      <c r="J349" s="753"/>
      <c r="K349" s="748">
        <f t="shared" si="31"/>
        <v>0</v>
      </c>
      <c r="L349" s="753"/>
      <c r="M349" s="753"/>
      <c r="N349" s="753"/>
      <c r="O349" s="753"/>
      <c r="P349" s="756">
        <f t="shared" si="29"/>
        <v>0</v>
      </c>
      <c r="Q349" s="753"/>
      <c r="R349" s="750">
        <f t="shared" si="30"/>
        <v>0</v>
      </c>
    </row>
    <row r="350" spans="2:18" s="757" customFormat="1" outlineLevel="2" x14ac:dyDescent="0.2">
      <c r="B350" s="745" t="s">
        <v>3969</v>
      </c>
      <c r="C350" s="751" t="s">
        <v>2432</v>
      </c>
      <c r="D350" s="752" t="s">
        <v>242</v>
      </c>
      <c r="E350" s="753"/>
      <c r="F350" s="753"/>
      <c r="G350" s="753"/>
      <c r="H350" s="753"/>
      <c r="I350" s="754">
        <f t="shared" si="28"/>
        <v>0</v>
      </c>
      <c r="J350" s="753"/>
      <c r="K350" s="748">
        <f t="shared" si="31"/>
        <v>0</v>
      </c>
      <c r="L350" s="753"/>
      <c r="M350" s="753"/>
      <c r="N350" s="753"/>
      <c r="O350" s="753"/>
      <c r="P350" s="756">
        <f t="shared" si="29"/>
        <v>0</v>
      </c>
      <c r="Q350" s="753"/>
      <c r="R350" s="750">
        <f t="shared" si="30"/>
        <v>0</v>
      </c>
    </row>
    <row r="351" spans="2:18" s="757" customFormat="1" outlineLevel="2" x14ac:dyDescent="0.2">
      <c r="B351" s="745" t="s">
        <v>3970</v>
      </c>
      <c r="C351" s="751" t="s">
        <v>2433</v>
      </c>
      <c r="D351" s="752" t="s">
        <v>242</v>
      </c>
      <c r="E351" s="753"/>
      <c r="F351" s="753"/>
      <c r="G351" s="753"/>
      <c r="H351" s="753"/>
      <c r="I351" s="754">
        <f t="shared" si="28"/>
        <v>0</v>
      </c>
      <c r="J351" s="753"/>
      <c r="K351" s="748">
        <f t="shared" si="31"/>
        <v>0</v>
      </c>
      <c r="L351" s="753"/>
      <c r="M351" s="753"/>
      <c r="N351" s="753"/>
      <c r="O351" s="753"/>
      <c r="P351" s="756">
        <f t="shared" si="29"/>
        <v>0</v>
      </c>
      <c r="Q351" s="753"/>
      <c r="R351" s="750">
        <f t="shared" si="30"/>
        <v>0</v>
      </c>
    </row>
    <row r="352" spans="2:18" s="757" customFormat="1" outlineLevel="2" x14ac:dyDescent="0.2">
      <c r="B352" s="745" t="s">
        <v>3971</v>
      </c>
      <c r="C352" s="751" t="s">
        <v>2434</v>
      </c>
      <c r="D352" s="752" t="s">
        <v>242</v>
      </c>
      <c r="E352" s="753"/>
      <c r="F352" s="753"/>
      <c r="G352" s="753"/>
      <c r="H352" s="753"/>
      <c r="I352" s="754">
        <f t="shared" si="28"/>
        <v>0</v>
      </c>
      <c r="J352" s="753"/>
      <c r="K352" s="748">
        <f t="shared" si="31"/>
        <v>0</v>
      </c>
      <c r="L352" s="753"/>
      <c r="M352" s="753"/>
      <c r="N352" s="753"/>
      <c r="O352" s="753"/>
      <c r="P352" s="756">
        <f t="shared" si="29"/>
        <v>0</v>
      </c>
      <c r="Q352" s="753"/>
      <c r="R352" s="750">
        <f t="shared" si="30"/>
        <v>0</v>
      </c>
    </row>
    <row r="353" spans="2:18" s="757" customFormat="1" outlineLevel="2" x14ac:dyDescent="0.2">
      <c r="B353" s="745" t="s">
        <v>3972</v>
      </c>
      <c r="C353" s="751" t="s">
        <v>2435</v>
      </c>
      <c r="D353" s="752" t="s">
        <v>242</v>
      </c>
      <c r="E353" s="753"/>
      <c r="F353" s="753"/>
      <c r="G353" s="753"/>
      <c r="H353" s="753"/>
      <c r="I353" s="754">
        <f t="shared" si="28"/>
        <v>0</v>
      </c>
      <c r="J353" s="753"/>
      <c r="K353" s="748">
        <f t="shared" si="31"/>
        <v>0</v>
      </c>
      <c r="L353" s="753"/>
      <c r="M353" s="753"/>
      <c r="N353" s="753"/>
      <c r="O353" s="753"/>
      <c r="P353" s="756">
        <f t="shared" si="29"/>
        <v>0</v>
      </c>
      <c r="Q353" s="753"/>
      <c r="R353" s="750">
        <f t="shared" si="30"/>
        <v>0</v>
      </c>
    </row>
    <row r="354" spans="2:18" s="757" customFormat="1" outlineLevel="2" x14ac:dyDescent="0.2">
      <c r="B354" s="745" t="s">
        <v>3973</v>
      </c>
      <c r="C354" s="751" t="s">
        <v>2436</v>
      </c>
      <c r="D354" s="752" t="s">
        <v>242</v>
      </c>
      <c r="E354" s="753"/>
      <c r="F354" s="753"/>
      <c r="G354" s="753"/>
      <c r="H354" s="753"/>
      <c r="I354" s="754">
        <f t="shared" si="28"/>
        <v>0</v>
      </c>
      <c r="J354" s="753"/>
      <c r="K354" s="748">
        <f t="shared" si="31"/>
        <v>0</v>
      </c>
      <c r="L354" s="753"/>
      <c r="M354" s="753"/>
      <c r="N354" s="753"/>
      <c r="O354" s="753"/>
      <c r="P354" s="756">
        <f t="shared" si="29"/>
        <v>0</v>
      </c>
      <c r="Q354" s="753"/>
      <c r="R354" s="750">
        <f t="shared" si="30"/>
        <v>0</v>
      </c>
    </row>
    <row r="355" spans="2:18" s="757" customFormat="1" outlineLevel="2" x14ac:dyDescent="0.2">
      <c r="B355" s="745" t="s">
        <v>3974</v>
      </c>
      <c r="C355" s="751" t="s">
        <v>2437</v>
      </c>
      <c r="D355" s="752" t="s">
        <v>242</v>
      </c>
      <c r="E355" s="753"/>
      <c r="F355" s="753"/>
      <c r="G355" s="753"/>
      <c r="H355" s="753"/>
      <c r="I355" s="754">
        <f t="shared" si="28"/>
        <v>0</v>
      </c>
      <c r="J355" s="753"/>
      <c r="K355" s="748">
        <f t="shared" si="31"/>
        <v>0</v>
      </c>
      <c r="L355" s="753"/>
      <c r="M355" s="753"/>
      <c r="N355" s="753"/>
      <c r="O355" s="753"/>
      <c r="P355" s="756">
        <f t="shared" si="29"/>
        <v>0</v>
      </c>
      <c r="Q355" s="753"/>
      <c r="R355" s="750">
        <f t="shared" si="30"/>
        <v>0</v>
      </c>
    </row>
    <row r="356" spans="2:18" s="757" customFormat="1" outlineLevel="2" x14ac:dyDescent="0.2">
      <c r="B356" s="745" t="s">
        <v>3975</v>
      </c>
      <c r="C356" s="751" t="s">
        <v>2438</v>
      </c>
      <c r="D356" s="752" t="s">
        <v>242</v>
      </c>
      <c r="E356" s="753"/>
      <c r="F356" s="753"/>
      <c r="G356" s="753"/>
      <c r="H356" s="753"/>
      <c r="I356" s="754">
        <f t="shared" si="28"/>
        <v>0</v>
      </c>
      <c r="J356" s="753"/>
      <c r="K356" s="748">
        <f t="shared" si="31"/>
        <v>0</v>
      </c>
      <c r="L356" s="753"/>
      <c r="M356" s="753"/>
      <c r="N356" s="753"/>
      <c r="O356" s="753"/>
      <c r="P356" s="756">
        <f t="shared" si="29"/>
        <v>0</v>
      </c>
      <c r="Q356" s="753"/>
      <c r="R356" s="750">
        <f t="shared" si="30"/>
        <v>0</v>
      </c>
    </row>
    <row r="357" spans="2:18" s="757" customFormat="1" outlineLevel="2" x14ac:dyDescent="0.2">
      <c r="B357" s="745" t="s">
        <v>3976</v>
      </c>
      <c r="C357" s="751" t="s">
        <v>2439</v>
      </c>
      <c r="D357" s="752" t="s">
        <v>242</v>
      </c>
      <c r="E357" s="753"/>
      <c r="F357" s="753"/>
      <c r="G357" s="753"/>
      <c r="H357" s="753"/>
      <c r="I357" s="754">
        <f t="shared" si="28"/>
        <v>0</v>
      </c>
      <c r="J357" s="753"/>
      <c r="K357" s="748">
        <f t="shared" si="31"/>
        <v>0</v>
      </c>
      <c r="L357" s="753"/>
      <c r="M357" s="753"/>
      <c r="N357" s="753"/>
      <c r="O357" s="753"/>
      <c r="P357" s="756">
        <f t="shared" si="29"/>
        <v>0</v>
      </c>
      <c r="Q357" s="753"/>
      <c r="R357" s="750">
        <f t="shared" si="30"/>
        <v>0</v>
      </c>
    </row>
    <row r="358" spans="2:18" s="757" customFormat="1" outlineLevel="2" x14ac:dyDescent="0.2">
      <c r="B358" s="745" t="s">
        <v>3977</v>
      </c>
      <c r="C358" s="751" t="s">
        <v>2440</v>
      </c>
      <c r="D358" s="752" t="s">
        <v>242</v>
      </c>
      <c r="E358" s="753"/>
      <c r="F358" s="753"/>
      <c r="G358" s="753"/>
      <c r="H358" s="753"/>
      <c r="I358" s="754">
        <f t="shared" si="28"/>
        <v>0</v>
      </c>
      <c r="J358" s="753"/>
      <c r="K358" s="748">
        <f t="shared" si="31"/>
        <v>0</v>
      </c>
      <c r="L358" s="753"/>
      <c r="M358" s="753"/>
      <c r="N358" s="753"/>
      <c r="O358" s="753"/>
      <c r="P358" s="756">
        <f t="shared" si="29"/>
        <v>0</v>
      </c>
      <c r="Q358" s="753"/>
      <c r="R358" s="750">
        <f t="shared" si="30"/>
        <v>0</v>
      </c>
    </row>
    <row r="359" spans="2:18" s="757" customFormat="1" outlineLevel="2" x14ac:dyDescent="0.2">
      <c r="B359" s="745" t="s">
        <v>3978</v>
      </c>
      <c r="C359" s="751" t="s">
        <v>2441</v>
      </c>
      <c r="D359" s="752" t="s">
        <v>242</v>
      </c>
      <c r="E359" s="753"/>
      <c r="F359" s="753"/>
      <c r="G359" s="753"/>
      <c r="H359" s="753"/>
      <c r="I359" s="754">
        <f t="shared" si="28"/>
        <v>0</v>
      </c>
      <c r="J359" s="753"/>
      <c r="K359" s="748">
        <f t="shared" si="31"/>
        <v>0</v>
      </c>
      <c r="L359" s="753"/>
      <c r="M359" s="753"/>
      <c r="N359" s="753"/>
      <c r="O359" s="753"/>
      <c r="P359" s="756">
        <f t="shared" si="29"/>
        <v>0</v>
      </c>
      <c r="Q359" s="753"/>
      <c r="R359" s="750">
        <f t="shared" si="30"/>
        <v>0</v>
      </c>
    </row>
    <row r="360" spans="2:18" s="757" customFormat="1" outlineLevel="2" x14ac:dyDescent="0.2">
      <c r="B360" s="745" t="s">
        <v>3979</v>
      </c>
      <c r="C360" s="751" t="s">
        <v>2442</v>
      </c>
      <c r="D360" s="752" t="s">
        <v>242</v>
      </c>
      <c r="E360" s="753"/>
      <c r="F360" s="753"/>
      <c r="G360" s="753"/>
      <c r="H360" s="753"/>
      <c r="I360" s="754">
        <f t="shared" si="28"/>
        <v>0</v>
      </c>
      <c r="J360" s="753"/>
      <c r="K360" s="748">
        <f t="shared" si="31"/>
        <v>0</v>
      </c>
      <c r="L360" s="753"/>
      <c r="M360" s="753"/>
      <c r="N360" s="753"/>
      <c r="O360" s="753"/>
      <c r="P360" s="756">
        <f t="shared" si="29"/>
        <v>0</v>
      </c>
      <c r="Q360" s="753"/>
      <c r="R360" s="750">
        <f t="shared" si="30"/>
        <v>0</v>
      </c>
    </row>
    <row r="361" spans="2:18" s="757" customFormat="1" outlineLevel="2" x14ac:dyDescent="0.2">
      <c r="B361" s="745" t="s">
        <v>3980</v>
      </c>
      <c r="C361" s="751" t="s">
        <v>2443</v>
      </c>
      <c r="D361" s="752" t="s">
        <v>242</v>
      </c>
      <c r="E361" s="753"/>
      <c r="F361" s="753"/>
      <c r="G361" s="753"/>
      <c r="H361" s="753"/>
      <c r="I361" s="754">
        <f t="shared" si="28"/>
        <v>0</v>
      </c>
      <c r="J361" s="753"/>
      <c r="K361" s="748">
        <f t="shared" si="31"/>
        <v>0</v>
      </c>
      <c r="L361" s="753"/>
      <c r="M361" s="753"/>
      <c r="N361" s="753"/>
      <c r="O361" s="753"/>
      <c r="P361" s="756">
        <f t="shared" si="29"/>
        <v>0</v>
      </c>
      <c r="Q361" s="753"/>
      <c r="R361" s="750">
        <f t="shared" si="30"/>
        <v>0</v>
      </c>
    </row>
    <row r="362" spans="2:18" s="757" customFormat="1" outlineLevel="2" x14ac:dyDescent="0.2">
      <c r="B362" s="745" t="s">
        <v>3981</v>
      </c>
      <c r="C362" s="751" t="s">
        <v>2444</v>
      </c>
      <c r="D362" s="752" t="s">
        <v>242</v>
      </c>
      <c r="E362" s="753"/>
      <c r="F362" s="753"/>
      <c r="G362" s="753"/>
      <c r="H362" s="753"/>
      <c r="I362" s="754">
        <f t="shared" si="28"/>
        <v>0</v>
      </c>
      <c r="J362" s="753"/>
      <c r="K362" s="748">
        <f t="shared" si="31"/>
        <v>0</v>
      </c>
      <c r="L362" s="753"/>
      <c r="M362" s="753"/>
      <c r="N362" s="753"/>
      <c r="O362" s="753"/>
      <c r="P362" s="756">
        <f t="shared" si="29"/>
        <v>0</v>
      </c>
      <c r="Q362" s="753"/>
      <c r="R362" s="750">
        <f t="shared" si="30"/>
        <v>0</v>
      </c>
    </row>
    <row r="363" spans="2:18" s="757" customFormat="1" outlineLevel="2" x14ac:dyDescent="0.2">
      <c r="B363" s="745" t="s">
        <v>3982</v>
      </c>
      <c r="C363" s="751" t="s">
        <v>2445</v>
      </c>
      <c r="D363" s="752" t="s">
        <v>242</v>
      </c>
      <c r="E363" s="753"/>
      <c r="F363" s="753"/>
      <c r="G363" s="753"/>
      <c r="H363" s="753"/>
      <c r="I363" s="754">
        <f t="shared" si="28"/>
        <v>0</v>
      </c>
      <c r="J363" s="753"/>
      <c r="K363" s="748">
        <f t="shared" si="31"/>
        <v>0</v>
      </c>
      <c r="L363" s="753"/>
      <c r="M363" s="753"/>
      <c r="N363" s="753"/>
      <c r="O363" s="753"/>
      <c r="P363" s="756">
        <f t="shared" si="29"/>
        <v>0</v>
      </c>
      <c r="Q363" s="753"/>
      <c r="R363" s="750">
        <f t="shared" si="30"/>
        <v>0</v>
      </c>
    </row>
    <row r="364" spans="2:18" s="757" customFormat="1" outlineLevel="2" x14ac:dyDescent="0.2">
      <c r="B364" s="745" t="s">
        <v>3983</v>
      </c>
      <c r="C364" s="751" t="s">
        <v>2446</v>
      </c>
      <c r="D364" s="752" t="s">
        <v>242</v>
      </c>
      <c r="E364" s="753"/>
      <c r="F364" s="753"/>
      <c r="G364" s="753"/>
      <c r="H364" s="753"/>
      <c r="I364" s="754">
        <f t="shared" si="28"/>
        <v>0</v>
      </c>
      <c r="J364" s="753"/>
      <c r="K364" s="748">
        <f t="shared" si="31"/>
        <v>0</v>
      </c>
      <c r="L364" s="753"/>
      <c r="M364" s="753"/>
      <c r="N364" s="753"/>
      <c r="O364" s="753"/>
      <c r="P364" s="756">
        <f t="shared" si="29"/>
        <v>0</v>
      </c>
      <c r="Q364" s="753"/>
      <c r="R364" s="750">
        <f t="shared" si="30"/>
        <v>0</v>
      </c>
    </row>
    <row r="365" spans="2:18" s="757" customFormat="1" outlineLevel="2" x14ac:dyDescent="0.2">
      <c r="B365" s="745" t="s">
        <v>3984</v>
      </c>
      <c r="C365" s="751" t="s">
        <v>2447</v>
      </c>
      <c r="D365" s="752" t="s">
        <v>242</v>
      </c>
      <c r="E365" s="753"/>
      <c r="F365" s="753"/>
      <c r="G365" s="753"/>
      <c r="H365" s="753"/>
      <c r="I365" s="754">
        <f t="shared" si="28"/>
        <v>0</v>
      </c>
      <c r="J365" s="753"/>
      <c r="K365" s="748">
        <f t="shared" si="31"/>
        <v>0</v>
      </c>
      <c r="L365" s="753"/>
      <c r="M365" s="753"/>
      <c r="N365" s="753"/>
      <c r="O365" s="753"/>
      <c r="P365" s="756">
        <f t="shared" si="29"/>
        <v>0</v>
      </c>
      <c r="Q365" s="753"/>
      <c r="R365" s="750">
        <f t="shared" si="30"/>
        <v>0</v>
      </c>
    </row>
    <row r="366" spans="2:18" s="757" customFormat="1" outlineLevel="2" x14ac:dyDescent="0.2">
      <c r="B366" s="745" t="s">
        <v>3985</v>
      </c>
      <c r="C366" s="751" t="s">
        <v>2448</v>
      </c>
      <c r="D366" s="752" t="s">
        <v>242</v>
      </c>
      <c r="E366" s="753"/>
      <c r="F366" s="753"/>
      <c r="G366" s="753"/>
      <c r="H366" s="753"/>
      <c r="I366" s="754">
        <f t="shared" si="28"/>
        <v>0</v>
      </c>
      <c r="J366" s="753"/>
      <c r="K366" s="748">
        <f t="shared" si="31"/>
        <v>0</v>
      </c>
      <c r="L366" s="753"/>
      <c r="M366" s="753"/>
      <c r="N366" s="753"/>
      <c r="O366" s="753"/>
      <c r="P366" s="756">
        <f t="shared" si="29"/>
        <v>0</v>
      </c>
      <c r="Q366" s="753"/>
      <c r="R366" s="750">
        <f t="shared" si="30"/>
        <v>0</v>
      </c>
    </row>
    <row r="367" spans="2:18" s="757" customFormat="1" outlineLevel="2" x14ac:dyDescent="0.2">
      <c r="B367" s="745" t="s">
        <v>3986</v>
      </c>
      <c r="C367" s="751" t="s">
        <v>2449</v>
      </c>
      <c r="D367" s="752" t="s">
        <v>242</v>
      </c>
      <c r="E367" s="753"/>
      <c r="F367" s="753"/>
      <c r="G367" s="753"/>
      <c r="H367" s="753"/>
      <c r="I367" s="754">
        <f t="shared" si="28"/>
        <v>0</v>
      </c>
      <c r="J367" s="753"/>
      <c r="K367" s="748">
        <f t="shared" si="31"/>
        <v>0</v>
      </c>
      <c r="L367" s="753"/>
      <c r="M367" s="753"/>
      <c r="N367" s="753"/>
      <c r="O367" s="753"/>
      <c r="P367" s="756">
        <f t="shared" si="29"/>
        <v>0</v>
      </c>
      <c r="Q367" s="753"/>
      <c r="R367" s="750">
        <f t="shared" si="30"/>
        <v>0</v>
      </c>
    </row>
    <row r="368" spans="2:18" s="757" customFormat="1" outlineLevel="2" x14ac:dyDescent="0.2">
      <c r="B368" s="745" t="s">
        <v>3987</v>
      </c>
      <c r="C368" s="751" t="s">
        <v>2450</v>
      </c>
      <c r="D368" s="752" t="s">
        <v>242</v>
      </c>
      <c r="E368" s="753"/>
      <c r="F368" s="753"/>
      <c r="G368" s="753"/>
      <c r="H368" s="753"/>
      <c r="I368" s="754">
        <f t="shared" si="28"/>
        <v>0</v>
      </c>
      <c r="J368" s="753"/>
      <c r="K368" s="748">
        <f t="shared" si="31"/>
        <v>0</v>
      </c>
      <c r="L368" s="753"/>
      <c r="M368" s="753"/>
      <c r="N368" s="753"/>
      <c r="O368" s="753"/>
      <c r="P368" s="756">
        <f t="shared" si="29"/>
        <v>0</v>
      </c>
      <c r="Q368" s="753"/>
      <c r="R368" s="750">
        <f t="shared" si="30"/>
        <v>0</v>
      </c>
    </row>
    <row r="369" spans="2:18" s="734" customFormat="1" outlineLevel="1" x14ac:dyDescent="0.2">
      <c r="B369" s="745" t="s">
        <v>3988</v>
      </c>
      <c r="C369" s="746">
        <v>3.6</v>
      </c>
      <c r="D369" s="131" t="s">
        <v>4800</v>
      </c>
      <c r="E369" s="747">
        <f>SUM(E370:E389)</f>
        <v>0</v>
      </c>
      <c r="F369" s="747">
        <f>SUM(F370:F389)</f>
        <v>0</v>
      </c>
      <c r="G369" s="747">
        <f>SUM(G370:G389)</f>
        <v>0</v>
      </c>
      <c r="H369" s="747">
        <f>SUM(H370:H389)</f>
        <v>0</v>
      </c>
      <c r="I369" s="748">
        <f t="shared" si="28"/>
        <v>0</v>
      </c>
      <c r="J369" s="747">
        <f>SUM(J370:J389)</f>
        <v>0</v>
      </c>
      <c r="K369" s="748">
        <f t="shared" si="31"/>
        <v>0</v>
      </c>
      <c r="L369" s="747">
        <f>SUM(L370:L389)</f>
        <v>0</v>
      </c>
      <c r="M369" s="747">
        <f>SUM(M370:M389)</f>
        <v>0</v>
      </c>
      <c r="N369" s="747">
        <f>SUM(N370:N389)</f>
        <v>0</v>
      </c>
      <c r="O369" s="747">
        <f>SUM(O370:O389)</f>
        <v>0</v>
      </c>
      <c r="P369" s="749">
        <f t="shared" si="29"/>
        <v>0</v>
      </c>
      <c r="Q369" s="747">
        <f>SUM(Q370:Q389)</f>
        <v>0</v>
      </c>
      <c r="R369" s="750">
        <f t="shared" si="30"/>
        <v>0</v>
      </c>
    </row>
    <row r="370" spans="2:18" s="757" customFormat="1" outlineLevel="2" x14ac:dyDescent="0.2">
      <c r="B370" s="745" t="s">
        <v>3989</v>
      </c>
      <c r="C370" s="751" t="s">
        <v>2451</v>
      </c>
      <c r="D370" s="752" t="s">
        <v>242</v>
      </c>
      <c r="E370" s="753"/>
      <c r="F370" s="753"/>
      <c r="G370" s="753"/>
      <c r="H370" s="753"/>
      <c r="I370" s="754">
        <f t="shared" si="28"/>
        <v>0</v>
      </c>
      <c r="J370" s="755"/>
      <c r="K370" s="748">
        <f t="shared" si="31"/>
        <v>0</v>
      </c>
      <c r="L370" s="753"/>
      <c r="M370" s="753"/>
      <c r="N370" s="753"/>
      <c r="O370" s="753"/>
      <c r="P370" s="756">
        <f t="shared" si="29"/>
        <v>0</v>
      </c>
      <c r="Q370" s="755"/>
      <c r="R370" s="750">
        <f t="shared" si="30"/>
        <v>0</v>
      </c>
    </row>
    <row r="371" spans="2:18" s="757" customFormat="1" outlineLevel="2" x14ac:dyDescent="0.2">
      <c r="B371" s="745" t="s">
        <v>3990</v>
      </c>
      <c r="C371" s="751" t="s">
        <v>2452</v>
      </c>
      <c r="D371" s="752" t="s">
        <v>242</v>
      </c>
      <c r="E371" s="753"/>
      <c r="F371" s="753"/>
      <c r="G371" s="753"/>
      <c r="H371" s="753"/>
      <c r="I371" s="754">
        <f t="shared" si="28"/>
        <v>0</v>
      </c>
      <c r="J371" s="755"/>
      <c r="K371" s="748">
        <f t="shared" si="31"/>
        <v>0</v>
      </c>
      <c r="L371" s="753"/>
      <c r="M371" s="753"/>
      <c r="N371" s="753"/>
      <c r="O371" s="753"/>
      <c r="P371" s="756">
        <f t="shared" si="29"/>
        <v>0</v>
      </c>
      <c r="Q371" s="755"/>
      <c r="R371" s="750">
        <f t="shared" si="30"/>
        <v>0</v>
      </c>
    </row>
    <row r="372" spans="2:18" s="757" customFormat="1" outlineLevel="2" x14ac:dyDescent="0.2">
      <c r="B372" s="745" t="s">
        <v>3991</v>
      </c>
      <c r="C372" s="751" t="s">
        <v>2453</v>
      </c>
      <c r="D372" s="752" t="s">
        <v>242</v>
      </c>
      <c r="E372" s="753"/>
      <c r="F372" s="753"/>
      <c r="G372" s="753"/>
      <c r="H372" s="753"/>
      <c r="I372" s="754">
        <f t="shared" si="28"/>
        <v>0</v>
      </c>
      <c r="J372" s="755"/>
      <c r="K372" s="748">
        <f t="shared" si="31"/>
        <v>0</v>
      </c>
      <c r="L372" s="753"/>
      <c r="M372" s="753"/>
      <c r="N372" s="753"/>
      <c r="O372" s="753"/>
      <c r="P372" s="756">
        <f t="shared" si="29"/>
        <v>0</v>
      </c>
      <c r="Q372" s="755"/>
      <c r="R372" s="750">
        <f t="shared" si="30"/>
        <v>0</v>
      </c>
    </row>
    <row r="373" spans="2:18" s="757" customFormat="1" outlineLevel="2" x14ac:dyDescent="0.2">
      <c r="B373" s="745" t="s">
        <v>3992</v>
      </c>
      <c r="C373" s="751" t="s">
        <v>2454</v>
      </c>
      <c r="D373" s="752" t="s">
        <v>242</v>
      </c>
      <c r="E373" s="753"/>
      <c r="F373" s="753"/>
      <c r="G373" s="753"/>
      <c r="H373" s="753"/>
      <c r="I373" s="754">
        <f t="shared" si="28"/>
        <v>0</v>
      </c>
      <c r="J373" s="755"/>
      <c r="K373" s="748">
        <f t="shared" si="31"/>
        <v>0</v>
      </c>
      <c r="L373" s="753"/>
      <c r="M373" s="753"/>
      <c r="N373" s="753"/>
      <c r="O373" s="753"/>
      <c r="P373" s="756">
        <f t="shared" si="29"/>
        <v>0</v>
      </c>
      <c r="Q373" s="755"/>
      <c r="R373" s="750">
        <f t="shared" si="30"/>
        <v>0</v>
      </c>
    </row>
    <row r="374" spans="2:18" s="757" customFormat="1" outlineLevel="2" x14ac:dyDescent="0.2">
      <c r="B374" s="745" t="s">
        <v>3993</v>
      </c>
      <c r="C374" s="751" t="s">
        <v>2455</v>
      </c>
      <c r="D374" s="752" t="s">
        <v>242</v>
      </c>
      <c r="E374" s="753"/>
      <c r="F374" s="753"/>
      <c r="G374" s="753"/>
      <c r="H374" s="753"/>
      <c r="I374" s="754">
        <f t="shared" si="28"/>
        <v>0</v>
      </c>
      <c r="J374" s="755"/>
      <c r="K374" s="748">
        <f t="shared" si="31"/>
        <v>0</v>
      </c>
      <c r="L374" s="753"/>
      <c r="M374" s="753"/>
      <c r="N374" s="753"/>
      <c r="O374" s="753"/>
      <c r="P374" s="756">
        <f t="shared" si="29"/>
        <v>0</v>
      </c>
      <c r="Q374" s="755"/>
      <c r="R374" s="750">
        <f t="shared" si="30"/>
        <v>0</v>
      </c>
    </row>
    <row r="375" spans="2:18" s="757" customFormat="1" outlineLevel="2" x14ac:dyDescent="0.2">
      <c r="B375" s="745" t="s">
        <v>3994</v>
      </c>
      <c r="C375" s="751" t="s">
        <v>2456</v>
      </c>
      <c r="D375" s="752" t="s">
        <v>242</v>
      </c>
      <c r="E375" s="753"/>
      <c r="F375" s="753"/>
      <c r="G375" s="753"/>
      <c r="H375" s="753"/>
      <c r="I375" s="754">
        <f t="shared" si="28"/>
        <v>0</v>
      </c>
      <c r="J375" s="755"/>
      <c r="K375" s="748">
        <f t="shared" si="31"/>
        <v>0</v>
      </c>
      <c r="L375" s="753"/>
      <c r="M375" s="753"/>
      <c r="N375" s="753"/>
      <c r="O375" s="753"/>
      <c r="P375" s="756">
        <f t="shared" si="29"/>
        <v>0</v>
      </c>
      <c r="Q375" s="755"/>
      <c r="R375" s="750">
        <f t="shared" si="30"/>
        <v>0</v>
      </c>
    </row>
    <row r="376" spans="2:18" s="757" customFormat="1" outlineLevel="2" x14ac:dyDescent="0.2">
      <c r="B376" s="745" t="s">
        <v>3995</v>
      </c>
      <c r="C376" s="751" t="s">
        <v>2457</v>
      </c>
      <c r="D376" s="752" t="s">
        <v>242</v>
      </c>
      <c r="E376" s="753"/>
      <c r="F376" s="753"/>
      <c r="G376" s="753"/>
      <c r="H376" s="753"/>
      <c r="I376" s="754">
        <f t="shared" si="28"/>
        <v>0</v>
      </c>
      <c r="J376" s="755"/>
      <c r="K376" s="748">
        <f t="shared" si="31"/>
        <v>0</v>
      </c>
      <c r="L376" s="753"/>
      <c r="M376" s="753"/>
      <c r="N376" s="753"/>
      <c r="O376" s="753"/>
      <c r="P376" s="756">
        <f t="shared" si="29"/>
        <v>0</v>
      </c>
      <c r="Q376" s="755"/>
      <c r="R376" s="750">
        <f t="shared" si="30"/>
        <v>0</v>
      </c>
    </row>
    <row r="377" spans="2:18" s="757" customFormat="1" outlineLevel="2" x14ac:dyDescent="0.2">
      <c r="B377" s="745" t="s">
        <v>3996</v>
      </c>
      <c r="C377" s="751" t="s">
        <v>2458</v>
      </c>
      <c r="D377" s="752" t="s">
        <v>242</v>
      </c>
      <c r="E377" s="753"/>
      <c r="F377" s="753"/>
      <c r="G377" s="753"/>
      <c r="H377" s="753"/>
      <c r="I377" s="754">
        <f t="shared" si="28"/>
        <v>0</v>
      </c>
      <c r="J377" s="755"/>
      <c r="K377" s="748">
        <f t="shared" si="31"/>
        <v>0</v>
      </c>
      <c r="L377" s="753"/>
      <c r="M377" s="753"/>
      <c r="N377" s="753"/>
      <c r="O377" s="753"/>
      <c r="P377" s="756">
        <f t="shared" si="29"/>
        <v>0</v>
      </c>
      <c r="Q377" s="755"/>
      <c r="R377" s="750">
        <f t="shared" si="30"/>
        <v>0</v>
      </c>
    </row>
    <row r="378" spans="2:18" s="757" customFormat="1" outlineLevel="2" x14ac:dyDescent="0.2">
      <c r="B378" s="745" t="s">
        <v>3997</v>
      </c>
      <c r="C378" s="751" t="s">
        <v>2459</v>
      </c>
      <c r="D378" s="752" t="s">
        <v>242</v>
      </c>
      <c r="E378" s="753"/>
      <c r="F378" s="753"/>
      <c r="G378" s="753"/>
      <c r="H378" s="753"/>
      <c r="I378" s="754">
        <f t="shared" si="28"/>
        <v>0</v>
      </c>
      <c r="J378" s="755"/>
      <c r="K378" s="748">
        <f t="shared" si="31"/>
        <v>0</v>
      </c>
      <c r="L378" s="753"/>
      <c r="M378" s="753"/>
      <c r="N378" s="753"/>
      <c r="O378" s="753"/>
      <c r="P378" s="756">
        <f t="shared" si="29"/>
        <v>0</v>
      </c>
      <c r="Q378" s="755"/>
      <c r="R378" s="750">
        <f t="shared" si="30"/>
        <v>0</v>
      </c>
    </row>
    <row r="379" spans="2:18" s="757" customFormat="1" outlineLevel="2" x14ac:dyDescent="0.2">
      <c r="B379" s="745" t="s">
        <v>3998</v>
      </c>
      <c r="C379" s="751" t="s">
        <v>2460</v>
      </c>
      <c r="D379" s="752" t="s">
        <v>242</v>
      </c>
      <c r="E379" s="753"/>
      <c r="F379" s="753"/>
      <c r="G379" s="753"/>
      <c r="H379" s="753"/>
      <c r="I379" s="754">
        <f t="shared" si="28"/>
        <v>0</v>
      </c>
      <c r="J379" s="755"/>
      <c r="K379" s="748">
        <f t="shared" si="31"/>
        <v>0</v>
      </c>
      <c r="L379" s="753"/>
      <c r="M379" s="753"/>
      <c r="N379" s="753"/>
      <c r="O379" s="753"/>
      <c r="P379" s="756">
        <f t="shared" si="29"/>
        <v>0</v>
      </c>
      <c r="Q379" s="755"/>
      <c r="R379" s="750">
        <f t="shared" si="30"/>
        <v>0</v>
      </c>
    </row>
    <row r="380" spans="2:18" s="757" customFormat="1" outlineLevel="2" x14ac:dyDescent="0.2">
      <c r="B380" s="745" t="s">
        <v>3999</v>
      </c>
      <c r="C380" s="751" t="s">
        <v>2461</v>
      </c>
      <c r="D380" s="752" t="s">
        <v>242</v>
      </c>
      <c r="E380" s="753"/>
      <c r="F380" s="753"/>
      <c r="G380" s="753"/>
      <c r="H380" s="753"/>
      <c r="I380" s="754">
        <f t="shared" si="28"/>
        <v>0</v>
      </c>
      <c r="J380" s="755"/>
      <c r="K380" s="748">
        <f t="shared" si="31"/>
        <v>0</v>
      </c>
      <c r="L380" s="753"/>
      <c r="M380" s="753"/>
      <c r="N380" s="753"/>
      <c r="O380" s="753"/>
      <c r="P380" s="756">
        <f t="shared" si="29"/>
        <v>0</v>
      </c>
      <c r="Q380" s="755"/>
      <c r="R380" s="750">
        <f t="shared" si="30"/>
        <v>0</v>
      </c>
    </row>
    <row r="381" spans="2:18" s="757" customFormat="1" outlineLevel="2" x14ac:dyDescent="0.2">
      <c r="B381" s="745" t="s">
        <v>4000</v>
      </c>
      <c r="C381" s="751" t="s">
        <v>2462</v>
      </c>
      <c r="D381" s="752" t="s">
        <v>242</v>
      </c>
      <c r="E381" s="753"/>
      <c r="F381" s="753"/>
      <c r="G381" s="753"/>
      <c r="H381" s="753"/>
      <c r="I381" s="754">
        <f t="shared" si="28"/>
        <v>0</v>
      </c>
      <c r="J381" s="755"/>
      <c r="K381" s="748">
        <f t="shared" si="31"/>
        <v>0</v>
      </c>
      <c r="L381" s="753"/>
      <c r="M381" s="753"/>
      <c r="N381" s="753"/>
      <c r="O381" s="753"/>
      <c r="P381" s="756">
        <f t="shared" si="29"/>
        <v>0</v>
      </c>
      <c r="Q381" s="755"/>
      <c r="R381" s="750">
        <f t="shared" si="30"/>
        <v>0</v>
      </c>
    </row>
    <row r="382" spans="2:18" s="757" customFormat="1" outlineLevel="2" x14ac:dyDescent="0.2">
      <c r="B382" s="745" t="s">
        <v>4001</v>
      </c>
      <c r="C382" s="751" t="s">
        <v>2463</v>
      </c>
      <c r="D382" s="752" t="s">
        <v>242</v>
      </c>
      <c r="E382" s="753"/>
      <c r="F382" s="753"/>
      <c r="G382" s="753"/>
      <c r="H382" s="753"/>
      <c r="I382" s="754">
        <f t="shared" si="28"/>
        <v>0</v>
      </c>
      <c r="J382" s="755"/>
      <c r="K382" s="748">
        <f t="shared" si="31"/>
        <v>0</v>
      </c>
      <c r="L382" s="753"/>
      <c r="M382" s="753"/>
      <c r="N382" s="753"/>
      <c r="O382" s="753"/>
      <c r="P382" s="756">
        <f t="shared" si="29"/>
        <v>0</v>
      </c>
      <c r="Q382" s="755"/>
      <c r="R382" s="750">
        <f t="shared" si="30"/>
        <v>0</v>
      </c>
    </row>
    <row r="383" spans="2:18" s="757" customFormat="1" outlineLevel="2" x14ac:dyDescent="0.2">
      <c r="B383" s="745" t="s">
        <v>4002</v>
      </c>
      <c r="C383" s="751" t="s">
        <v>2464</v>
      </c>
      <c r="D383" s="752" t="s">
        <v>242</v>
      </c>
      <c r="E383" s="753"/>
      <c r="F383" s="753"/>
      <c r="G383" s="753"/>
      <c r="H383" s="753"/>
      <c r="I383" s="754">
        <f t="shared" si="28"/>
        <v>0</v>
      </c>
      <c r="J383" s="755"/>
      <c r="K383" s="748">
        <f t="shared" si="31"/>
        <v>0</v>
      </c>
      <c r="L383" s="753"/>
      <c r="M383" s="753"/>
      <c r="N383" s="753"/>
      <c r="O383" s="753"/>
      <c r="P383" s="756">
        <f t="shared" si="29"/>
        <v>0</v>
      </c>
      <c r="Q383" s="755"/>
      <c r="R383" s="750">
        <f t="shared" si="30"/>
        <v>0</v>
      </c>
    </row>
    <row r="384" spans="2:18" s="757" customFormat="1" outlineLevel="2" x14ac:dyDescent="0.2">
      <c r="B384" s="745" t="s">
        <v>4003</v>
      </c>
      <c r="C384" s="751" t="s">
        <v>2465</v>
      </c>
      <c r="D384" s="752" t="s">
        <v>242</v>
      </c>
      <c r="E384" s="753"/>
      <c r="F384" s="753"/>
      <c r="G384" s="753"/>
      <c r="H384" s="753"/>
      <c r="I384" s="754">
        <f t="shared" si="28"/>
        <v>0</v>
      </c>
      <c r="J384" s="755"/>
      <c r="K384" s="748">
        <f t="shared" si="31"/>
        <v>0</v>
      </c>
      <c r="L384" s="753"/>
      <c r="M384" s="753"/>
      <c r="N384" s="753"/>
      <c r="O384" s="753"/>
      <c r="P384" s="756">
        <f t="shared" si="29"/>
        <v>0</v>
      </c>
      <c r="Q384" s="755"/>
      <c r="R384" s="750">
        <f t="shared" si="30"/>
        <v>0</v>
      </c>
    </row>
    <row r="385" spans="2:18" s="757" customFormat="1" outlineLevel="2" x14ac:dyDescent="0.2">
      <c r="B385" s="745" t="s">
        <v>4004</v>
      </c>
      <c r="C385" s="751" t="s">
        <v>2466</v>
      </c>
      <c r="D385" s="752" t="s">
        <v>242</v>
      </c>
      <c r="E385" s="753"/>
      <c r="F385" s="753"/>
      <c r="G385" s="753"/>
      <c r="H385" s="753"/>
      <c r="I385" s="754">
        <f t="shared" si="28"/>
        <v>0</v>
      </c>
      <c r="J385" s="755"/>
      <c r="K385" s="748">
        <f t="shared" si="31"/>
        <v>0</v>
      </c>
      <c r="L385" s="753"/>
      <c r="M385" s="753"/>
      <c r="N385" s="753"/>
      <c r="O385" s="753"/>
      <c r="P385" s="756">
        <f t="shared" si="29"/>
        <v>0</v>
      </c>
      <c r="Q385" s="755"/>
      <c r="R385" s="750">
        <f t="shared" si="30"/>
        <v>0</v>
      </c>
    </row>
    <row r="386" spans="2:18" s="757" customFormat="1" outlineLevel="2" x14ac:dyDescent="0.2">
      <c r="B386" s="745" t="s">
        <v>4005</v>
      </c>
      <c r="C386" s="751" t="s">
        <v>2467</v>
      </c>
      <c r="D386" s="752" t="s">
        <v>242</v>
      </c>
      <c r="E386" s="753"/>
      <c r="F386" s="753"/>
      <c r="G386" s="753"/>
      <c r="H386" s="753"/>
      <c r="I386" s="754">
        <f t="shared" si="28"/>
        <v>0</v>
      </c>
      <c r="J386" s="755"/>
      <c r="K386" s="748">
        <f t="shared" si="31"/>
        <v>0</v>
      </c>
      <c r="L386" s="753"/>
      <c r="M386" s="753"/>
      <c r="N386" s="753"/>
      <c r="O386" s="753"/>
      <c r="P386" s="756">
        <f t="shared" si="29"/>
        <v>0</v>
      </c>
      <c r="Q386" s="755"/>
      <c r="R386" s="750">
        <f t="shared" si="30"/>
        <v>0</v>
      </c>
    </row>
    <row r="387" spans="2:18" s="757" customFormat="1" outlineLevel="2" x14ac:dyDescent="0.2">
      <c r="B387" s="745" t="s">
        <v>4006</v>
      </c>
      <c r="C387" s="751" t="s">
        <v>2468</v>
      </c>
      <c r="D387" s="752" t="s">
        <v>242</v>
      </c>
      <c r="E387" s="753"/>
      <c r="F387" s="753"/>
      <c r="G387" s="753"/>
      <c r="H387" s="753"/>
      <c r="I387" s="754">
        <f t="shared" si="28"/>
        <v>0</v>
      </c>
      <c r="J387" s="755"/>
      <c r="K387" s="748">
        <f t="shared" si="31"/>
        <v>0</v>
      </c>
      <c r="L387" s="753"/>
      <c r="M387" s="753"/>
      <c r="N387" s="753"/>
      <c r="O387" s="753"/>
      <c r="P387" s="756">
        <f t="shared" si="29"/>
        <v>0</v>
      </c>
      <c r="Q387" s="755"/>
      <c r="R387" s="750">
        <f t="shared" si="30"/>
        <v>0</v>
      </c>
    </row>
    <row r="388" spans="2:18" s="757" customFormat="1" outlineLevel="2" x14ac:dyDescent="0.2">
      <c r="B388" s="745" t="s">
        <v>4007</v>
      </c>
      <c r="C388" s="751" t="s">
        <v>2469</v>
      </c>
      <c r="D388" s="752" t="s">
        <v>242</v>
      </c>
      <c r="E388" s="753"/>
      <c r="F388" s="753"/>
      <c r="G388" s="753"/>
      <c r="H388" s="753"/>
      <c r="I388" s="754">
        <f t="shared" si="28"/>
        <v>0</v>
      </c>
      <c r="J388" s="755"/>
      <c r="K388" s="748">
        <f t="shared" si="31"/>
        <v>0</v>
      </c>
      <c r="L388" s="753"/>
      <c r="M388" s="753"/>
      <c r="N388" s="753"/>
      <c r="O388" s="753"/>
      <c r="P388" s="756">
        <f t="shared" si="29"/>
        <v>0</v>
      </c>
      <c r="Q388" s="755"/>
      <c r="R388" s="750">
        <f t="shared" si="30"/>
        <v>0</v>
      </c>
    </row>
    <row r="389" spans="2:18" s="757" customFormat="1" outlineLevel="2" x14ac:dyDescent="0.2">
      <c r="B389" s="745" t="s">
        <v>4008</v>
      </c>
      <c r="C389" s="751" t="s">
        <v>2470</v>
      </c>
      <c r="D389" s="752" t="s">
        <v>242</v>
      </c>
      <c r="E389" s="753"/>
      <c r="F389" s="753"/>
      <c r="G389" s="753"/>
      <c r="H389" s="753"/>
      <c r="I389" s="754">
        <f t="shared" si="28"/>
        <v>0</v>
      </c>
      <c r="J389" s="755"/>
      <c r="K389" s="748">
        <f t="shared" si="31"/>
        <v>0</v>
      </c>
      <c r="L389" s="753"/>
      <c r="M389" s="753"/>
      <c r="N389" s="753"/>
      <c r="O389" s="753"/>
      <c r="P389" s="756">
        <f t="shared" si="29"/>
        <v>0</v>
      </c>
      <c r="Q389" s="755"/>
      <c r="R389" s="750">
        <f t="shared" si="30"/>
        <v>0</v>
      </c>
    </row>
    <row r="390" spans="2:18" s="744" customFormat="1" x14ac:dyDescent="0.2">
      <c r="B390" s="745" t="s">
        <v>4009</v>
      </c>
      <c r="C390" s="758">
        <v>4</v>
      </c>
      <c r="D390" s="150" t="s">
        <v>245</v>
      </c>
      <c r="E390" s="759">
        <f>E391+E442</f>
        <v>0</v>
      </c>
      <c r="F390" s="759">
        <f t="shared" ref="F390:R390" si="32">F391+F442</f>
        <v>0</v>
      </c>
      <c r="G390" s="759">
        <f t="shared" si="32"/>
        <v>0</v>
      </c>
      <c r="H390" s="759">
        <f t="shared" si="32"/>
        <v>0</v>
      </c>
      <c r="I390" s="760">
        <f t="shared" si="32"/>
        <v>0</v>
      </c>
      <c r="J390" s="761">
        <f t="shared" si="32"/>
        <v>0</v>
      </c>
      <c r="K390" s="760">
        <f t="shared" si="32"/>
        <v>0</v>
      </c>
      <c r="L390" s="759">
        <f t="shared" si="32"/>
        <v>0</v>
      </c>
      <c r="M390" s="759">
        <f t="shared" si="32"/>
        <v>0</v>
      </c>
      <c r="N390" s="759">
        <f t="shared" si="32"/>
        <v>0</v>
      </c>
      <c r="O390" s="759">
        <f t="shared" si="32"/>
        <v>0</v>
      </c>
      <c r="P390" s="762">
        <f t="shared" si="32"/>
        <v>0</v>
      </c>
      <c r="Q390" s="761">
        <f t="shared" si="32"/>
        <v>0</v>
      </c>
      <c r="R390" s="763">
        <f t="shared" si="32"/>
        <v>0</v>
      </c>
    </row>
    <row r="391" spans="2:18" s="734" customFormat="1" outlineLevel="1" x14ac:dyDescent="0.2">
      <c r="B391" s="745" t="s">
        <v>4010</v>
      </c>
      <c r="C391" s="746">
        <v>4.0999999999999996</v>
      </c>
      <c r="D391" s="131" t="s">
        <v>245</v>
      </c>
      <c r="E391" s="747">
        <f>SUM(E392:E441)</f>
        <v>0</v>
      </c>
      <c r="F391" s="747">
        <f t="shared" ref="F391:Q391" si="33">SUM(F392:F441)</f>
        <v>0</v>
      </c>
      <c r="G391" s="747">
        <f t="shared" si="33"/>
        <v>0</v>
      </c>
      <c r="H391" s="747">
        <f t="shared" si="33"/>
        <v>0</v>
      </c>
      <c r="I391" s="748">
        <f t="shared" si="33"/>
        <v>0</v>
      </c>
      <c r="J391" s="747">
        <f t="shared" si="33"/>
        <v>0</v>
      </c>
      <c r="K391" s="748">
        <f t="shared" si="31"/>
        <v>0</v>
      </c>
      <c r="L391" s="747">
        <f t="shared" si="33"/>
        <v>0</v>
      </c>
      <c r="M391" s="747">
        <f t="shared" si="33"/>
        <v>0</v>
      </c>
      <c r="N391" s="747">
        <f t="shared" si="33"/>
        <v>0</v>
      </c>
      <c r="O391" s="747">
        <f t="shared" si="33"/>
        <v>0</v>
      </c>
      <c r="P391" s="749">
        <f t="shared" si="33"/>
        <v>0</v>
      </c>
      <c r="Q391" s="747">
        <f t="shared" si="33"/>
        <v>0</v>
      </c>
      <c r="R391" s="750">
        <f t="shared" ref="R391:R454" si="34">P391-Q391</f>
        <v>0</v>
      </c>
    </row>
    <row r="392" spans="2:18" s="757" customFormat="1" outlineLevel="2" x14ac:dyDescent="0.2">
      <c r="B392" s="745" t="s">
        <v>4011</v>
      </c>
      <c r="C392" s="751" t="s">
        <v>443</v>
      </c>
      <c r="D392" s="752" t="s">
        <v>246</v>
      </c>
      <c r="E392" s="753"/>
      <c r="F392" s="753"/>
      <c r="G392" s="753"/>
      <c r="H392" s="753"/>
      <c r="I392" s="754">
        <f t="shared" ref="I392:I441" si="35">SUM(E392:H392)</f>
        <v>0</v>
      </c>
      <c r="J392" s="753"/>
      <c r="K392" s="748">
        <f t="shared" si="31"/>
        <v>0</v>
      </c>
      <c r="L392" s="753"/>
      <c r="M392" s="753"/>
      <c r="N392" s="753"/>
      <c r="O392" s="753"/>
      <c r="P392" s="756">
        <f t="shared" ref="P392:P455" si="36">SUM(L392:O392)</f>
        <v>0</v>
      </c>
      <c r="Q392" s="753"/>
      <c r="R392" s="750">
        <f t="shared" si="34"/>
        <v>0</v>
      </c>
    </row>
    <row r="393" spans="2:18" s="757" customFormat="1" outlineLevel="2" x14ac:dyDescent="0.2">
      <c r="B393" s="745" t="s">
        <v>4012</v>
      </c>
      <c r="C393" s="751" t="s">
        <v>442</v>
      </c>
      <c r="D393" s="752" t="s">
        <v>246</v>
      </c>
      <c r="E393" s="753"/>
      <c r="F393" s="753"/>
      <c r="G393" s="753"/>
      <c r="H393" s="753"/>
      <c r="I393" s="754">
        <f t="shared" si="35"/>
        <v>0</v>
      </c>
      <c r="J393" s="753"/>
      <c r="K393" s="748">
        <f t="shared" si="31"/>
        <v>0</v>
      </c>
      <c r="L393" s="753"/>
      <c r="M393" s="753"/>
      <c r="N393" s="753"/>
      <c r="O393" s="753"/>
      <c r="P393" s="756">
        <f t="shared" si="36"/>
        <v>0</v>
      </c>
      <c r="Q393" s="753"/>
      <c r="R393" s="750">
        <f t="shared" si="34"/>
        <v>0</v>
      </c>
    </row>
    <row r="394" spans="2:18" s="757" customFormat="1" outlineLevel="2" x14ac:dyDescent="0.2">
      <c r="B394" s="745" t="s">
        <v>4013</v>
      </c>
      <c r="C394" s="751" t="s">
        <v>460</v>
      </c>
      <c r="D394" s="752" t="s">
        <v>246</v>
      </c>
      <c r="E394" s="753"/>
      <c r="F394" s="753"/>
      <c r="G394" s="753"/>
      <c r="H394" s="753"/>
      <c r="I394" s="754">
        <f t="shared" si="35"/>
        <v>0</v>
      </c>
      <c r="J394" s="753"/>
      <c r="K394" s="748">
        <f t="shared" si="31"/>
        <v>0</v>
      </c>
      <c r="L394" s="753"/>
      <c r="M394" s="753"/>
      <c r="N394" s="753"/>
      <c r="O394" s="753"/>
      <c r="P394" s="756">
        <f t="shared" si="36"/>
        <v>0</v>
      </c>
      <c r="Q394" s="753"/>
      <c r="R394" s="750">
        <f t="shared" si="34"/>
        <v>0</v>
      </c>
    </row>
    <row r="395" spans="2:18" s="757" customFormat="1" outlineLevel="2" x14ac:dyDescent="0.2">
      <c r="B395" s="745" t="s">
        <v>4014</v>
      </c>
      <c r="C395" s="751" t="s">
        <v>634</v>
      </c>
      <c r="D395" s="752" t="s">
        <v>246</v>
      </c>
      <c r="E395" s="753"/>
      <c r="F395" s="753"/>
      <c r="G395" s="753"/>
      <c r="H395" s="753"/>
      <c r="I395" s="754">
        <f t="shared" si="35"/>
        <v>0</v>
      </c>
      <c r="J395" s="753"/>
      <c r="K395" s="748">
        <f t="shared" ref="K395:K458" si="37">I395-J395</f>
        <v>0</v>
      </c>
      <c r="L395" s="753"/>
      <c r="M395" s="753"/>
      <c r="N395" s="753"/>
      <c r="O395" s="753"/>
      <c r="P395" s="756">
        <f t="shared" si="36"/>
        <v>0</v>
      </c>
      <c r="Q395" s="753"/>
      <c r="R395" s="750">
        <f t="shared" si="34"/>
        <v>0</v>
      </c>
    </row>
    <row r="396" spans="2:18" s="757" customFormat="1" outlineLevel="2" x14ac:dyDescent="0.2">
      <c r="B396" s="745" t="s">
        <v>4015</v>
      </c>
      <c r="C396" s="751" t="s">
        <v>635</v>
      </c>
      <c r="D396" s="752" t="s">
        <v>246</v>
      </c>
      <c r="E396" s="753"/>
      <c r="F396" s="753"/>
      <c r="G396" s="753"/>
      <c r="H396" s="753"/>
      <c r="I396" s="754">
        <f t="shared" si="35"/>
        <v>0</v>
      </c>
      <c r="J396" s="753"/>
      <c r="K396" s="748">
        <f t="shared" si="37"/>
        <v>0</v>
      </c>
      <c r="L396" s="753"/>
      <c r="M396" s="753"/>
      <c r="N396" s="753"/>
      <c r="O396" s="753"/>
      <c r="P396" s="756">
        <f t="shared" si="36"/>
        <v>0</v>
      </c>
      <c r="Q396" s="753"/>
      <c r="R396" s="750">
        <f t="shared" si="34"/>
        <v>0</v>
      </c>
    </row>
    <row r="397" spans="2:18" s="757" customFormat="1" outlineLevel="2" x14ac:dyDescent="0.2">
      <c r="B397" s="745" t="s">
        <v>4016</v>
      </c>
      <c r="C397" s="751" t="s">
        <v>636</v>
      </c>
      <c r="D397" s="752" t="s">
        <v>246</v>
      </c>
      <c r="E397" s="753"/>
      <c r="F397" s="753"/>
      <c r="G397" s="753"/>
      <c r="H397" s="753"/>
      <c r="I397" s="754">
        <f t="shared" si="35"/>
        <v>0</v>
      </c>
      <c r="J397" s="753"/>
      <c r="K397" s="748">
        <f t="shared" si="37"/>
        <v>0</v>
      </c>
      <c r="L397" s="753"/>
      <c r="M397" s="753"/>
      <c r="N397" s="753"/>
      <c r="O397" s="753"/>
      <c r="P397" s="756">
        <f t="shared" si="36"/>
        <v>0</v>
      </c>
      <c r="Q397" s="753"/>
      <c r="R397" s="750">
        <f t="shared" si="34"/>
        <v>0</v>
      </c>
    </row>
    <row r="398" spans="2:18" s="757" customFormat="1" outlineLevel="2" x14ac:dyDescent="0.2">
      <c r="B398" s="745" t="s">
        <v>4017</v>
      </c>
      <c r="C398" s="751" t="s">
        <v>637</v>
      </c>
      <c r="D398" s="752" t="s">
        <v>246</v>
      </c>
      <c r="E398" s="753"/>
      <c r="F398" s="753"/>
      <c r="G398" s="753"/>
      <c r="H398" s="753"/>
      <c r="I398" s="754">
        <f t="shared" si="35"/>
        <v>0</v>
      </c>
      <c r="J398" s="753"/>
      <c r="K398" s="748">
        <f t="shared" si="37"/>
        <v>0</v>
      </c>
      <c r="L398" s="753"/>
      <c r="M398" s="753"/>
      <c r="N398" s="753"/>
      <c r="O398" s="753"/>
      <c r="P398" s="756">
        <f t="shared" si="36"/>
        <v>0</v>
      </c>
      <c r="Q398" s="753"/>
      <c r="R398" s="750">
        <f t="shared" si="34"/>
        <v>0</v>
      </c>
    </row>
    <row r="399" spans="2:18" s="757" customFormat="1" outlineLevel="2" x14ac:dyDescent="0.2">
      <c r="B399" s="745" t="s">
        <v>4018</v>
      </c>
      <c r="C399" s="751" t="s">
        <v>638</v>
      </c>
      <c r="D399" s="752" t="s">
        <v>246</v>
      </c>
      <c r="E399" s="753"/>
      <c r="F399" s="753"/>
      <c r="G399" s="753"/>
      <c r="H399" s="753"/>
      <c r="I399" s="754">
        <f t="shared" si="35"/>
        <v>0</v>
      </c>
      <c r="J399" s="753"/>
      <c r="K399" s="748">
        <f t="shared" si="37"/>
        <v>0</v>
      </c>
      <c r="L399" s="753"/>
      <c r="M399" s="753"/>
      <c r="N399" s="753"/>
      <c r="O399" s="753"/>
      <c r="P399" s="756">
        <f t="shared" si="36"/>
        <v>0</v>
      </c>
      <c r="Q399" s="753"/>
      <c r="R399" s="750">
        <f t="shared" si="34"/>
        <v>0</v>
      </c>
    </row>
    <row r="400" spans="2:18" s="757" customFormat="1" outlineLevel="2" x14ac:dyDescent="0.2">
      <c r="B400" s="745" t="s">
        <v>4019</v>
      </c>
      <c r="C400" s="751" t="s">
        <v>639</v>
      </c>
      <c r="D400" s="752" t="s">
        <v>246</v>
      </c>
      <c r="E400" s="753"/>
      <c r="F400" s="753"/>
      <c r="G400" s="753"/>
      <c r="H400" s="753"/>
      <c r="I400" s="754">
        <f t="shared" si="35"/>
        <v>0</v>
      </c>
      <c r="J400" s="753"/>
      <c r="K400" s="748">
        <f t="shared" si="37"/>
        <v>0</v>
      </c>
      <c r="L400" s="753"/>
      <c r="M400" s="753"/>
      <c r="N400" s="753"/>
      <c r="O400" s="753"/>
      <c r="P400" s="756">
        <f t="shared" si="36"/>
        <v>0</v>
      </c>
      <c r="Q400" s="753"/>
      <c r="R400" s="750">
        <f t="shared" si="34"/>
        <v>0</v>
      </c>
    </row>
    <row r="401" spans="2:18" s="757" customFormat="1" outlineLevel="2" x14ac:dyDescent="0.2">
      <c r="B401" s="745" t="s">
        <v>4020</v>
      </c>
      <c r="C401" s="751" t="s">
        <v>640</v>
      </c>
      <c r="D401" s="752" t="s">
        <v>246</v>
      </c>
      <c r="E401" s="753"/>
      <c r="F401" s="753"/>
      <c r="G401" s="753"/>
      <c r="H401" s="753"/>
      <c r="I401" s="754">
        <f t="shared" si="35"/>
        <v>0</v>
      </c>
      <c r="J401" s="753"/>
      <c r="K401" s="748">
        <f t="shared" si="37"/>
        <v>0</v>
      </c>
      <c r="L401" s="753"/>
      <c r="M401" s="753"/>
      <c r="N401" s="753"/>
      <c r="O401" s="753"/>
      <c r="P401" s="756">
        <f t="shared" si="36"/>
        <v>0</v>
      </c>
      <c r="Q401" s="753"/>
      <c r="R401" s="750">
        <f t="shared" si="34"/>
        <v>0</v>
      </c>
    </row>
    <row r="402" spans="2:18" s="757" customFormat="1" outlineLevel="2" x14ac:dyDescent="0.2">
      <c r="B402" s="745" t="s">
        <v>4021</v>
      </c>
      <c r="C402" s="751" t="s">
        <v>641</v>
      </c>
      <c r="D402" s="752" t="s">
        <v>246</v>
      </c>
      <c r="E402" s="753"/>
      <c r="F402" s="753"/>
      <c r="G402" s="753"/>
      <c r="H402" s="753"/>
      <c r="I402" s="754">
        <f t="shared" si="35"/>
        <v>0</v>
      </c>
      <c r="J402" s="753"/>
      <c r="K402" s="748">
        <f t="shared" si="37"/>
        <v>0</v>
      </c>
      <c r="L402" s="753"/>
      <c r="M402" s="753"/>
      <c r="N402" s="753"/>
      <c r="O402" s="753"/>
      <c r="P402" s="756">
        <f t="shared" si="36"/>
        <v>0</v>
      </c>
      <c r="Q402" s="753"/>
      <c r="R402" s="750">
        <f t="shared" si="34"/>
        <v>0</v>
      </c>
    </row>
    <row r="403" spans="2:18" s="757" customFormat="1" outlineLevel="2" x14ac:dyDescent="0.2">
      <c r="B403" s="745" t="s">
        <v>4022</v>
      </c>
      <c r="C403" s="751" t="s">
        <v>642</v>
      </c>
      <c r="D403" s="752" t="s">
        <v>246</v>
      </c>
      <c r="E403" s="753"/>
      <c r="F403" s="753"/>
      <c r="G403" s="753"/>
      <c r="H403" s="753"/>
      <c r="I403" s="754">
        <f t="shared" si="35"/>
        <v>0</v>
      </c>
      <c r="J403" s="753"/>
      <c r="K403" s="748">
        <f t="shared" si="37"/>
        <v>0</v>
      </c>
      <c r="L403" s="753"/>
      <c r="M403" s="753"/>
      <c r="N403" s="753"/>
      <c r="O403" s="753"/>
      <c r="P403" s="756">
        <f t="shared" si="36"/>
        <v>0</v>
      </c>
      <c r="Q403" s="753"/>
      <c r="R403" s="750">
        <f t="shared" si="34"/>
        <v>0</v>
      </c>
    </row>
    <row r="404" spans="2:18" s="757" customFormat="1" outlineLevel="2" x14ac:dyDescent="0.2">
      <c r="B404" s="745" t="s">
        <v>4023</v>
      </c>
      <c r="C404" s="751" t="s">
        <v>643</v>
      </c>
      <c r="D404" s="752" t="s">
        <v>246</v>
      </c>
      <c r="E404" s="753"/>
      <c r="F404" s="753"/>
      <c r="G404" s="753"/>
      <c r="H404" s="753"/>
      <c r="I404" s="754">
        <f t="shared" si="35"/>
        <v>0</v>
      </c>
      <c r="J404" s="753"/>
      <c r="K404" s="748">
        <f t="shared" si="37"/>
        <v>0</v>
      </c>
      <c r="L404" s="753"/>
      <c r="M404" s="753"/>
      <c r="N404" s="753"/>
      <c r="O404" s="753"/>
      <c r="P404" s="756">
        <f t="shared" si="36"/>
        <v>0</v>
      </c>
      <c r="Q404" s="753"/>
      <c r="R404" s="750">
        <f t="shared" si="34"/>
        <v>0</v>
      </c>
    </row>
    <row r="405" spans="2:18" s="757" customFormat="1" outlineLevel="2" x14ac:dyDescent="0.2">
      <c r="B405" s="745" t="s">
        <v>4024</v>
      </c>
      <c r="C405" s="751" t="s">
        <v>644</v>
      </c>
      <c r="D405" s="752" t="s">
        <v>246</v>
      </c>
      <c r="E405" s="753"/>
      <c r="F405" s="753"/>
      <c r="G405" s="753"/>
      <c r="H405" s="753"/>
      <c r="I405" s="754">
        <f t="shared" si="35"/>
        <v>0</v>
      </c>
      <c r="J405" s="753"/>
      <c r="K405" s="748">
        <f t="shared" si="37"/>
        <v>0</v>
      </c>
      <c r="L405" s="753"/>
      <c r="M405" s="753"/>
      <c r="N405" s="753"/>
      <c r="O405" s="753"/>
      <c r="P405" s="756">
        <f t="shared" si="36"/>
        <v>0</v>
      </c>
      <c r="Q405" s="753"/>
      <c r="R405" s="750">
        <f t="shared" si="34"/>
        <v>0</v>
      </c>
    </row>
    <row r="406" spans="2:18" s="757" customFormat="1" outlineLevel="2" x14ac:dyDescent="0.2">
      <c r="B406" s="745" t="s">
        <v>4025</v>
      </c>
      <c r="C406" s="751" t="s">
        <v>645</v>
      </c>
      <c r="D406" s="752" t="s">
        <v>246</v>
      </c>
      <c r="E406" s="753"/>
      <c r="F406" s="753"/>
      <c r="G406" s="753"/>
      <c r="H406" s="753"/>
      <c r="I406" s="754">
        <f t="shared" si="35"/>
        <v>0</v>
      </c>
      <c r="J406" s="753"/>
      <c r="K406" s="748">
        <f t="shared" si="37"/>
        <v>0</v>
      </c>
      <c r="L406" s="753"/>
      <c r="M406" s="753"/>
      <c r="N406" s="753"/>
      <c r="O406" s="753"/>
      <c r="P406" s="756">
        <f t="shared" si="36"/>
        <v>0</v>
      </c>
      <c r="Q406" s="753"/>
      <c r="R406" s="750">
        <f t="shared" si="34"/>
        <v>0</v>
      </c>
    </row>
    <row r="407" spans="2:18" s="757" customFormat="1" outlineLevel="2" x14ac:dyDescent="0.2">
      <c r="B407" s="745" t="s">
        <v>4026</v>
      </c>
      <c r="C407" s="751" t="s">
        <v>646</v>
      </c>
      <c r="D407" s="752" t="s">
        <v>246</v>
      </c>
      <c r="E407" s="753"/>
      <c r="F407" s="753"/>
      <c r="G407" s="753"/>
      <c r="H407" s="753"/>
      <c r="I407" s="754">
        <f t="shared" si="35"/>
        <v>0</v>
      </c>
      <c r="J407" s="753"/>
      <c r="K407" s="748">
        <f t="shared" si="37"/>
        <v>0</v>
      </c>
      <c r="L407" s="753"/>
      <c r="M407" s="753"/>
      <c r="N407" s="753"/>
      <c r="O407" s="753"/>
      <c r="P407" s="756">
        <f t="shared" si="36"/>
        <v>0</v>
      </c>
      <c r="Q407" s="753"/>
      <c r="R407" s="750">
        <f t="shared" si="34"/>
        <v>0</v>
      </c>
    </row>
    <row r="408" spans="2:18" s="757" customFormat="1" outlineLevel="2" x14ac:dyDescent="0.2">
      <c r="B408" s="745" t="s">
        <v>4027</v>
      </c>
      <c r="C408" s="751" t="s">
        <v>647</v>
      </c>
      <c r="D408" s="752" t="s">
        <v>246</v>
      </c>
      <c r="E408" s="753"/>
      <c r="F408" s="753"/>
      <c r="G408" s="753"/>
      <c r="H408" s="753"/>
      <c r="I408" s="754">
        <f t="shared" si="35"/>
        <v>0</v>
      </c>
      <c r="J408" s="753"/>
      <c r="K408" s="748">
        <f t="shared" si="37"/>
        <v>0</v>
      </c>
      <c r="L408" s="753"/>
      <c r="M408" s="753"/>
      <c r="N408" s="753"/>
      <c r="O408" s="753"/>
      <c r="P408" s="756">
        <f t="shared" si="36"/>
        <v>0</v>
      </c>
      <c r="Q408" s="753"/>
      <c r="R408" s="750">
        <f t="shared" si="34"/>
        <v>0</v>
      </c>
    </row>
    <row r="409" spans="2:18" s="757" customFormat="1" outlineLevel="2" x14ac:dyDescent="0.2">
      <c r="B409" s="745" t="s">
        <v>4028</v>
      </c>
      <c r="C409" s="751" t="s">
        <v>648</v>
      </c>
      <c r="D409" s="752" t="s">
        <v>246</v>
      </c>
      <c r="E409" s="753"/>
      <c r="F409" s="753"/>
      <c r="G409" s="753"/>
      <c r="H409" s="753"/>
      <c r="I409" s="754">
        <f t="shared" si="35"/>
        <v>0</v>
      </c>
      <c r="J409" s="753"/>
      <c r="K409" s="748">
        <f t="shared" si="37"/>
        <v>0</v>
      </c>
      <c r="L409" s="753"/>
      <c r="M409" s="753"/>
      <c r="N409" s="753"/>
      <c r="O409" s="753"/>
      <c r="P409" s="756">
        <f t="shared" si="36"/>
        <v>0</v>
      </c>
      <c r="Q409" s="753"/>
      <c r="R409" s="750">
        <f t="shared" si="34"/>
        <v>0</v>
      </c>
    </row>
    <row r="410" spans="2:18" s="757" customFormat="1" outlineLevel="2" x14ac:dyDescent="0.2">
      <c r="B410" s="745" t="s">
        <v>4029</v>
      </c>
      <c r="C410" s="751" t="s">
        <v>649</v>
      </c>
      <c r="D410" s="752" t="s">
        <v>246</v>
      </c>
      <c r="E410" s="753"/>
      <c r="F410" s="753"/>
      <c r="G410" s="753"/>
      <c r="H410" s="753"/>
      <c r="I410" s="754">
        <f t="shared" si="35"/>
        <v>0</v>
      </c>
      <c r="J410" s="753"/>
      <c r="K410" s="748">
        <f t="shared" si="37"/>
        <v>0</v>
      </c>
      <c r="L410" s="753"/>
      <c r="M410" s="753"/>
      <c r="N410" s="753"/>
      <c r="O410" s="753"/>
      <c r="P410" s="756">
        <f t="shared" si="36"/>
        <v>0</v>
      </c>
      <c r="Q410" s="753"/>
      <c r="R410" s="750">
        <f t="shared" si="34"/>
        <v>0</v>
      </c>
    </row>
    <row r="411" spans="2:18" s="757" customFormat="1" outlineLevel="2" x14ac:dyDescent="0.2">
      <c r="B411" s="745" t="s">
        <v>4030</v>
      </c>
      <c r="C411" s="751" t="s">
        <v>650</v>
      </c>
      <c r="D411" s="752" t="s">
        <v>246</v>
      </c>
      <c r="E411" s="753"/>
      <c r="F411" s="753"/>
      <c r="G411" s="753"/>
      <c r="H411" s="753"/>
      <c r="I411" s="754">
        <f t="shared" si="35"/>
        <v>0</v>
      </c>
      <c r="J411" s="753"/>
      <c r="K411" s="748">
        <f t="shared" si="37"/>
        <v>0</v>
      </c>
      <c r="L411" s="753"/>
      <c r="M411" s="753"/>
      <c r="N411" s="753"/>
      <c r="O411" s="753"/>
      <c r="P411" s="756">
        <f t="shared" si="36"/>
        <v>0</v>
      </c>
      <c r="Q411" s="753"/>
      <c r="R411" s="750">
        <f t="shared" si="34"/>
        <v>0</v>
      </c>
    </row>
    <row r="412" spans="2:18" s="757" customFormat="1" outlineLevel="2" x14ac:dyDescent="0.2">
      <c r="B412" s="745" t="s">
        <v>4031</v>
      </c>
      <c r="C412" s="751" t="s">
        <v>2560</v>
      </c>
      <c r="D412" s="752" t="s">
        <v>246</v>
      </c>
      <c r="E412" s="753"/>
      <c r="F412" s="753"/>
      <c r="G412" s="753"/>
      <c r="H412" s="753"/>
      <c r="I412" s="754">
        <f t="shared" si="35"/>
        <v>0</v>
      </c>
      <c r="J412" s="753"/>
      <c r="K412" s="748">
        <f t="shared" si="37"/>
        <v>0</v>
      </c>
      <c r="L412" s="753"/>
      <c r="M412" s="753"/>
      <c r="N412" s="753"/>
      <c r="O412" s="753"/>
      <c r="P412" s="756">
        <f t="shared" si="36"/>
        <v>0</v>
      </c>
      <c r="Q412" s="753"/>
      <c r="R412" s="750">
        <f t="shared" si="34"/>
        <v>0</v>
      </c>
    </row>
    <row r="413" spans="2:18" s="757" customFormat="1" outlineLevel="2" x14ac:dyDescent="0.2">
      <c r="B413" s="745" t="s">
        <v>4032</v>
      </c>
      <c r="C413" s="751" t="s">
        <v>2561</v>
      </c>
      <c r="D413" s="752" t="s">
        <v>246</v>
      </c>
      <c r="E413" s="753"/>
      <c r="F413" s="753"/>
      <c r="G413" s="753"/>
      <c r="H413" s="753"/>
      <c r="I413" s="754">
        <f t="shared" si="35"/>
        <v>0</v>
      </c>
      <c r="J413" s="753"/>
      <c r="K413" s="748">
        <f t="shared" si="37"/>
        <v>0</v>
      </c>
      <c r="L413" s="753"/>
      <c r="M413" s="753"/>
      <c r="N413" s="753"/>
      <c r="O413" s="753"/>
      <c r="P413" s="756">
        <f t="shared" si="36"/>
        <v>0</v>
      </c>
      <c r="Q413" s="753"/>
      <c r="R413" s="750">
        <f t="shared" si="34"/>
        <v>0</v>
      </c>
    </row>
    <row r="414" spans="2:18" s="757" customFormat="1" outlineLevel="2" x14ac:dyDescent="0.2">
      <c r="B414" s="745" t="s">
        <v>4033</v>
      </c>
      <c r="C414" s="751" t="s">
        <v>2562</v>
      </c>
      <c r="D414" s="752" t="s">
        <v>246</v>
      </c>
      <c r="E414" s="753"/>
      <c r="F414" s="753"/>
      <c r="G414" s="753"/>
      <c r="H414" s="753"/>
      <c r="I414" s="754">
        <f t="shared" si="35"/>
        <v>0</v>
      </c>
      <c r="J414" s="753"/>
      <c r="K414" s="748">
        <f t="shared" si="37"/>
        <v>0</v>
      </c>
      <c r="L414" s="753"/>
      <c r="M414" s="753"/>
      <c r="N414" s="753"/>
      <c r="O414" s="753"/>
      <c r="P414" s="756">
        <f t="shared" si="36"/>
        <v>0</v>
      </c>
      <c r="Q414" s="753"/>
      <c r="R414" s="750">
        <f t="shared" si="34"/>
        <v>0</v>
      </c>
    </row>
    <row r="415" spans="2:18" s="757" customFormat="1" outlineLevel="2" x14ac:dyDescent="0.2">
      <c r="B415" s="745" t="s">
        <v>4034</v>
      </c>
      <c r="C415" s="751" t="s">
        <v>2563</v>
      </c>
      <c r="D415" s="752" t="s">
        <v>246</v>
      </c>
      <c r="E415" s="753"/>
      <c r="F415" s="753"/>
      <c r="G415" s="753"/>
      <c r="H415" s="753"/>
      <c r="I415" s="754">
        <f t="shared" si="35"/>
        <v>0</v>
      </c>
      <c r="J415" s="753"/>
      <c r="K415" s="748">
        <f t="shared" si="37"/>
        <v>0</v>
      </c>
      <c r="L415" s="753"/>
      <c r="M415" s="753"/>
      <c r="N415" s="753"/>
      <c r="O415" s="753"/>
      <c r="P415" s="756">
        <f t="shared" si="36"/>
        <v>0</v>
      </c>
      <c r="Q415" s="753"/>
      <c r="R415" s="750">
        <f t="shared" si="34"/>
        <v>0</v>
      </c>
    </row>
    <row r="416" spans="2:18" s="757" customFormat="1" outlineLevel="2" x14ac:dyDescent="0.2">
      <c r="B416" s="745" t="s">
        <v>4035</v>
      </c>
      <c r="C416" s="751" t="s">
        <v>2564</v>
      </c>
      <c r="D416" s="752" t="s">
        <v>246</v>
      </c>
      <c r="E416" s="753"/>
      <c r="F416" s="753"/>
      <c r="G416" s="753"/>
      <c r="H416" s="753"/>
      <c r="I416" s="754">
        <f t="shared" si="35"/>
        <v>0</v>
      </c>
      <c r="J416" s="753"/>
      <c r="K416" s="748">
        <f t="shared" si="37"/>
        <v>0</v>
      </c>
      <c r="L416" s="753"/>
      <c r="M416" s="753"/>
      <c r="N416" s="753"/>
      <c r="O416" s="753"/>
      <c r="P416" s="756">
        <f t="shared" si="36"/>
        <v>0</v>
      </c>
      <c r="Q416" s="753"/>
      <c r="R416" s="750">
        <f t="shared" si="34"/>
        <v>0</v>
      </c>
    </row>
    <row r="417" spans="2:18" s="757" customFormat="1" outlineLevel="2" x14ac:dyDescent="0.2">
      <c r="B417" s="745" t="s">
        <v>4036</v>
      </c>
      <c r="C417" s="751" t="s">
        <v>2565</v>
      </c>
      <c r="D417" s="752" t="s">
        <v>246</v>
      </c>
      <c r="E417" s="753"/>
      <c r="F417" s="753"/>
      <c r="G417" s="753"/>
      <c r="H417" s="753"/>
      <c r="I417" s="754">
        <f t="shared" si="35"/>
        <v>0</v>
      </c>
      <c r="J417" s="753"/>
      <c r="K417" s="748">
        <f t="shared" si="37"/>
        <v>0</v>
      </c>
      <c r="L417" s="753"/>
      <c r="M417" s="753"/>
      <c r="N417" s="753"/>
      <c r="O417" s="753"/>
      <c r="P417" s="756">
        <f t="shared" si="36"/>
        <v>0</v>
      </c>
      <c r="Q417" s="753"/>
      <c r="R417" s="750">
        <f t="shared" si="34"/>
        <v>0</v>
      </c>
    </row>
    <row r="418" spans="2:18" s="757" customFormat="1" outlineLevel="2" x14ac:dyDescent="0.2">
      <c r="B418" s="745" t="s">
        <v>4037</v>
      </c>
      <c r="C418" s="751" t="s">
        <v>2566</v>
      </c>
      <c r="D418" s="752" t="s">
        <v>246</v>
      </c>
      <c r="E418" s="753"/>
      <c r="F418" s="753"/>
      <c r="G418" s="753"/>
      <c r="H418" s="753"/>
      <c r="I418" s="754">
        <f t="shared" si="35"/>
        <v>0</v>
      </c>
      <c r="J418" s="753"/>
      <c r="K418" s="748">
        <f t="shared" si="37"/>
        <v>0</v>
      </c>
      <c r="L418" s="753"/>
      <c r="M418" s="753"/>
      <c r="N418" s="753"/>
      <c r="O418" s="753"/>
      <c r="P418" s="756">
        <f t="shared" si="36"/>
        <v>0</v>
      </c>
      <c r="Q418" s="753"/>
      <c r="R418" s="750">
        <f t="shared" si="34"/>
        <v>0</v>
      </c>
    </row>
    <row r="419" spans="2:18" s="757" customFormat="1" outlineLevel="2" x14ac:dyDescent="0.2">
      <c r="B419" s="745" t="s">
        <v>4038</v>
      </c>
      <c r="C419" s="751" t="s">
        <v>2567</v>
      </c>
      <c r="D419" s="752" t="s">
        <v>246</v>
      </c>
      <c r="E419" s="753"/>
      <c r="F419" s="753"/>
      <c r="G419" s="753"/>
      <c r="H419" s="753"/>
      <c r="I419" s="754">
        <f t="shared" si="35"/>
        <v>0</v>
      </c>
      <c r="J419" s="753"/>
      <c r="K419" s="748">
        <f t="shared" si="37"/>
        <v>0</v>
      </c>
      <c r="L419" s="753"/>
      <c r="M419" s="753"/>
      <c r="N419" s="753"/>
      <c r="O419" s="753"/>
      <c r="P419" s="756">
        <f t="shared" si="36"/>
        <v>0</v>
      </c>
      <c r="Q419" s="753"/>
      <c r="R419" s="750">
        <f t="shared" si="34"/>
        <v>0</v>
      </c>
    </row>
    <row r="420" spans="2:18" s="757" customFormat="1" outlineLevel="2" x14ac:dyDescent="0.2">
      <c r="B420" s="745" t="s">
        <v>4039</v>
      </c>
      <c r="C420" s="751" t="s">
        <v>2568</v>
      </c>
      <c r="D420" s="752" t="s">
        <v>246</v>
      </c>
      <c r="E420" s="753"/>
      <c r="F420" s="753"/>
      <c r="G420" s="753"/>
      <c r="H420" s="753"/>
      <c r="I420" s="754">
        <f t="shared" si="35"/>
        <v>0</v>
      </c>
      <c r="J420" s="753"/>
      <c r="K420" s="748">
        <f t="shared" si="37"/>
        <v>0</v>
      </c>
      <c r="L420" s="753"/>
      <c r="M420" s="753"/>
      <c r="N420" s="753"/>
      <c r="O420" s="753"/>
      <c r="P420" s="756">
        <f t="shared" si="36"/>
        <v>0</v>
      </c>
      <c r="Q420" s="753"/>
      <c r="R420" s="750">
        <f t="shared" si="34"/>
        <v>0</v>
      </c>
    </row>
    <row r="421" spans="2:18" s="757" customFormat="1" outlineLevel="2" x14ac:dyDescent="0.2">
      <c r="B421" s="745" t="s">
        <v>4040</v>
      </c>
      <c r="C421" s="751" t="s">
        <v>2569</v>
      </c>
      <c r="D421" s="752" t="s">
        <v>246</v>
      </c>
      <c r="E421" s="753"/>
      <c r="F421" s="753"/>
      <c r="G421" s="753"/>
      <c r="H421" s="753"/>
      <c r="I421" s="754">
        <f t="shared" si="35"/>
        <v>0</v>
      </c>
      <c r="J421" s="753"/>
      <c r="K421" s="748">
        <f t="shared" si="37"/>
        <v>0</v>
      </c>
      <c r="L421" s="753"/>
      <c r="M421" s="753"/>
      <c r="N421" s="753"/>
      <c r="O421" s="753"/>
      <c r="P421" s="756">
        <f t="shared" si="36"/>
        <v>0</v>
      </c>
      <c r="Q421" s="753"/>
      <c r="R421" s="750">
        <f t="shared" si="34"/>
        <v>0</v>
      </c>
    </row>
    <row r="422" spans="2:18" s="757" customFormat="1" outlineLevel="2" x14ac:dyDescent="0.2">
      <c r="B422" s="745" t="s">
        <v>4041</v>
      </c>
      <c r="C422" s="751" t="s">
        <v>2570</v>
      </c>
      <c r="D422" s="752" t="s">
        <v>246</v>
      </c>
      <c r="E422" s="753"/>
      <c r="F422" s="753"/>
      <c r="G422" s="753"/>
      <c r="H422" s="753"/>
      <c r="I422" s="754">
        <f t="shared" si="35"/>
        <v>0</v>
      </c>
      <c r="J422" s="753"/>
      <c r="K422" s="748">
        <f t="shared" si="37"/>
        <v>0</v>
      </c>
      <c r="L422" s="753"/>
      <c r="M422" s="753"/>
      <c r="N422" s="753"/>
      <c r="O422" s="753"/>
      <c r="P422" s="756">
        <f t="shared" si="36"/>
        <v>0</v>
      </c>
      <c r="Q422" s="753"/>
      <c r="R422" s="750">
        <f t="shared" si="34"/>
        <v>0</v>
      </c>
    </row>
    <row r="423" spans="2:18" s="757" customFormat="1" outlineLevel="2" x14ac:dyDescent="0.2">
      <c r="B423" s="745" t="s">
        <v>4042</v>
      </c>
      <c r="C423" s="751" t="s">
        <v>2571</v>
      </c>
      <c r="D423" s="752" t="s">
        <v>246</v>
      </c>
      <c r="E423" s="753"/>
      <c r="F423" s="753"/>
      <c r="G423" s="753"/>
      <c r="H423" s="753"/>
      <c r="I423" s="754">
        <f t="shared" si="35"/>
        <v>0</v>
      </c>
      <c r="J423" s="753"/>
      <c r="K423" s="748">
        <f t="shared" si="37"/>
        <v>0</v>
      </c>
      <c r="L423" s="753"/>
      <c r="M423" s="753"/>
      <c r="N423" s="753"/>
      <c r="O423" s="753"/>
      <c r="P423" s="756">
        <f t="shared" si="36"/>
        <v>0</v>
      </c>
      <c r="Q423" s="753"/>
      <c r="R423" s="750">
        <f t="shared" si="34"/>
        <v>0</v>
      </c>
    </row>
    <row r="424" spans="2:18" s="757" customFormat="1" outlineLevel="2" x14ac:dyDescent="0.2">
      <c r="B424" s="745" t="s">
        <v>4043</v>
      </c>
      <c r="C424" s="751" t="s">
        <v>2572</v>
      </c>
      <c r="D424" s="752" t="s">
        <v>246</v>
      </c>
      <c r="E424" s="753"/>
      <c r="F424" s="753"/>
      <c r="G424" s="753"/>
      <c r="H424" s="753"/>
      <c r="I424" s="754">
        <f t="shared" si="35"/>
        <v>0</v>
      </c>
      <c r="J424" s="753"/>
      <c r="K424" s="748">
        <f t="shared" si="37"/>
        <v>0</v>
      </c>
      <c r="L424" s="753"/>
      <c r="M424" s="753"/>
      <c r="N424" s="753"/>
      <c r="O424" s="753"/>
      <c r="P424" s="756">
        <f t="shared" si="36"/>
        <v>0</v>
      </c>
      <c r="Q424" s="753"/>
      <c r="R424" s="750">
        <f t="shared" si="34"/>
        <v>0</v>
      </c>
    </row>
    <row r="425" spans="2:18" s="757" customFormat="1" outlineLevel="2" x14ac:dyDescent="0.2">
      <c r="B425" s="745" t="s">
        <v>4044</v>
      </c>
      <c r="C425" s="751" t="s">
        <v>2573</v>
      </c>
      <c r="D425" s="752" t="s">
        <v>246</v>
      </c>
      <c r="E425" s="753"/>
      <c r="F425" s="753"/>
      <c r="G425" s="753"/>
      <c r="H425" s="753"/>
      <c r="I425" s="754">
        <f t="shared" si="35"/>
        <v>0</v>
      </c>
      <c r="J425" s="753"/>
      <c r="K425" s="748">
        <f t="shared" si="37"/>
        <v>0</v>
      </c>
      <c r="L425" s="753"/>
      <c r="M425" s="753"/>
      <c r="N425" s="753"/>
      <c r="O425" s="753"/>
      <c r="P425" s="756">
        <f t="shared" si="36"/>
        <v>0</v>
      </c>
      <c r="Q425" s="753"/>
      <c r="R425" s="750">
        <f t="shared" si="34"/>
        <v>0</v>
      </c>
    </row>
    <row r="426" spans="2:18" s="757" customFormat="1" outlineLevel="2" x14ac:dyDescent="0.2">
      <c r="B426" s="745" t="s">
        <v>4045</v>
      </c>
      <c r="C426" s="751" t="s">
        <v>2574</v>
      </c>
      <c r="D426" s="752" t="s">
        <v>246</v>
      </c>
      <c r="E426" s="753"/>
      <c r="F426" s="753"/>
      <c r="G426" s="753"/>
      <c r="H426" s="753"/>
      <c r="I426" s="754">
        <f t="shared" si="35"/>
        <v>0</v>
      </c>
      <c r="J426" s="753"/>
      <c r="K426" s="748">
        <f t="shared" si="37"/>
        <v>0</v>
      </c>
      <c r="L426" s="753"/>
      <c r="M426" s="753"/>
      <c r="N426" s="753"/>
      <c r="O426" s="753"/>
      <c r="P426" s="756">
        <f t="shared" si="36"/>
        <v>0</v>
      </c>
      <c r="Q426" s="753"/>
      <c r="R426" s="750">
        <f t="shared" si="34"/>
        <v>0</v>
      </c>
    </row>
    <row r="427" spans="2:18" s="757" customFormat="1" outlineLevel="2" x14ac:dyDescent="0.2">
      <c r="B427" s="745" t="s">
        <v>4046</v>
      </c>
      <c r="C427" s="751" t="s">
        <v>2575</v>
      </c>
      <c r="D427" s="752" t="s">
        <v>246</v>
      </c>
      <c r="E427" s="753"/>
      <c r="F427" s="753"/>
      <c r="G427" s="753"/>
      <c r="H427" s="753"/>
      <c r="I427" s="754">
        <f t="shared" si="35"/>
        <v>0</v>
      </c>
      <c r="J427" s="753"/>
      <c r="K427" s="748">
        <f t="shared" si="37"/>
        <v>0</v>
      </c>
      <c r="L427" s="753"/>
      <c r="M427" s="753"/>
      <c r="N427" s="753"/>
      <c r="O427" s="753"/>
      <c r="P427" s="756">
        <f t="shared" si="36"/>
        <v>0</v>
      </c>
      <c r="Q427" s="753"/>
      <c r="R427" s="750">
        <f t="shared" si="34"/>
        <v>0</v>
      </c>
    </row>
    <row r="428" spans="2:18" s="757" customFormat="1" outlineLevel="2" x14ac:dyDescent="0.2">
      <c r="B428" s="745" t="s">
        <v>4047</v>
      </c>
      <c r="C428" s="751" t="s">
        <v>2576</v>
      </c>
      <c r="D428" s="752" t="s">
        <v>246</v>
      </c>
      <c r="E428" s="753"/>
      <c r="F428" s="753"/>
      <c r="G428" s="753"/>
      <c r="H428" s="753"/>
      <c r="I428" s="754">
        <f t="shared" si="35"/>
        <v>0</v>
      </c>
      <c r="J428" s="753"/>
      <c r="K428" s="748">
        <f t="shared" si="37"/>
        <v>0</v>
      </c>
      <c r="L428" s="753"/>
      <c r="M428" s="753"/>
      <c r="N428" s="753"/>
      <c r="O428" s="753"/>
      <c r="P428" s="756">
        <f t="shared" si="36"/>
        <v>0</v>
      </c>
      <c r="Q428" s="753"/>
      <c r="R428" s="750">
        <f t="shared" si="34"/>
        <v>0</v>
      </c>
    </row>
    <row r="429" spans="2:18" s="757" customFormat="1" outlineLevel="2" x14ac:dyDescent="0.2">
      <c r="B429" s="745" t="s">
        <v>4048</v>
      </c>
      <c r="C429" s="751" t="s">
        <v>2577</v>
      </c>
      <c r="D429" s="752" t="s">
        <v>246</v>
      </c>
      <c r="E429" s="753"/>
      <c r="F429" s="753"/>
      <c r="G429" s="753"/>
      <c r="H429" s="753"/>
      <c r="I429" s="754">
        <f t="shared" si="35"/>
        <v>0</v>
      </c>
      <c r="J429" s="753"/>
      <c r="K429" s="748">
        <f t="shared" si="37"/>
        <v>0</v>
      </c>
      <c r="L429" s="753"/>
      <c r="M429" s="753"/>
      <c r="N429" s="753"/>
      <c r="O429" s="753"/>
      <c r="P429" s="756">
        <f t="shared" si="36"/>
        <v>0</v>
      </c>
      <c r="Q429" s="753"/>
      <c r="R429" s="750">
        <f t="shared" si="34"/>
        <v>0</v>
      </c>
    </row>
    <row r="430" spans="2:18" s="757" customFormat="1" outlineLevel="2" x14ac:dyDescent="0.2">
      <c r="B430" s="745" t="s">
        <v>4049</v>
      </c>
      <c r="C430" s="751" t="s">
        <v>2578</v>
      </c>
      <c r="D430" s="752" t="s">
        <v>246</v>
      </c>
      <c r="E430" s="753"/>
      <c r="F430" s="753"/>
      <c r="G430" s="753"/>
      <c r="H430" s="753"/>
      <c r="I430" s="754">
        <f t="shared" si="35"/>
        <v>0</v>
      </c>
      <c r="J430" s="753"/>
      <c r="K430" s="748">
        <f t="shared" si="37"/>
        <v>0</v>
      </c>
      <c r="L430" s="753"/>
      <c r="M430" s="753"/>
      <c r="N430" s="753"/>
      <c r="O430" s="753"/>
      <c r="P430" s="756">
        <f t="shared" si="36"/>
        <v>0</v>
      </c>
      <c r="Q430" s="753"/>
      <c r="R430" s="750">
        <f t="shared" si="34"/>
        <v>0</v>
      </c>
    </row>
    <row r="431" spans="2:18" s="757" customFormat="1" outlineLevel="2" x14ac:dyDescent="0.2">
      <c r="B431" s="745" t="s">
        <v>4050</v>
      </c>
      <c r="C431" s="751" t="s">
        <v>2579</v>
      </c>
      <c r="D431" s="752" t="s">
        <v>246</v>
      </c>
      <c r="E431" s="753"/>
      <c r="F431" s="753"/>
      <c r="G431" s="753"/>
      <c r="H431" s="753"/>
      <c r="I431" s="754">
        <f t="shared" si="35"/>
        <v>0</v>
      </c>
      <c r="J431" s="753"/>
      <c r="K431" s="748">
        <f t="shared" si="37"/>
        <v>0</v>
      </c>
      <c r="L431" s="753"/>
      <c r="M431" s="753"/>
      <c r="N431" s="753"/>
      <c r="O431" s="753"/>
      <c r="P431" s="756">
        <f t="shared" si="36"/>
        <v>0</v>
      </c>
      <c r="Q431" s="753"/>
      <c r="R431" s="750">
        <f t="shared" si="34"/>
        <v>0</v>
      </c>
    </row>
    <row r="432" spans="2:18" s="757" customFormat="1" outlineLevel="2" x14ac:dyDescent="0.2">
      <c r="B432" s="745" t="s">
        <v>4051</v>
      </c>
      <c r="C432" s="751" t="s">
        <v>2580</v>
      </c>
      <c r="D432" s="752" t="s">
        <v>246</v>
      </c>
      <c r="E432" s="753"/>
      <c r="F432" s="753"/>
      <c r="G432" s="753"/>
      <c r="H432" s="753"/>
      <c r="I432" s="754">
        <f t="shared" si="35"/>
        <v>0</v>
      </c>
      <c r="J432" s="753"/>
      <c r="K432" s="748">
        <f t="shared" si="37"/>
        <v>0</v>
      </c>
      <c r="L432" s="753"/>
      <c r="M432" s="753"/>
      <c r="N432" s="753"/>
      <c r="O432" s="753"/>
      <c r="P432" s="756">
        <f t="shared" si="36"/>
        <v>0</v>
      </c>
      <c r="Q432" s="753"/>
      <c r="R432" s="750">
        <f t="shared" si="34"/>
        <v>0</v>
      </c>
    </row>
    <row r="433" spans="2:18" s="757" customFormat="1" outlineLevel="2" x14ac:dyDescent="0.2">
      <c r="B433" s="745" t="s">
        <v>4052</v>
      </c>
      <c r="C433" s="751" t="s">
        <v>2581</v>
      </c>
      <c r="D433" s="752" t="s">
        <v>246</v>
      </c>
      <c r="E433" s="753"/>
      <c r="F433" s="753"/>
      <c r="G433" s="753"/>
      <c r="H433" s="753"/>
      <c r="I433" s="754">
        <f t="shared" si="35"/>
        <v>0</v>
      </c>
      <c r="J433" s="753"/>
      <c r="K433" s="748">
        <f t="shared" si="37"/>
        <v>0</v>
      </c>
      <c r="L433" s="753"/>
      <c r="M433" s="753"/>
      <c r="N433" s="753"/>
      <c r="O433" s="753"/>
      <c r="P433" s="756">
        <f t="shared" si="36"/>
        <v>0</v>
      </c>
      <c r="Q433" s="753"/>
      <c r="R433" s="750">
        <f t="shared" si="34"/>
        <v>0</v>
      </c>
    </row>
    <row r="434" spans="2:18" s="757" customFormat="1" outlineLevel="2" x14ac:dyDescent="0.2">
      <c r="B434" s="745" t="s">
        <v>4053</v>
      </c>
      <c r="C434" s="751" t="s">
        <v>2582</v>
      </c>
      <c r="D434" s="752" t="s">
        <v>246</v>
      </c>
      <c r="E434" s="753"/>
      <c r="F434" s="753"/>
      <c r="G434" s="753"/>
      <c r="H434" s="753"/>
      <c r="I434" s="754">
        <f t="shared" si="35"/>
        <v>0</v>
      </c>
      <c r="J434" s="753"/>
      <c r="K434" s="748">
        <f t="shared" si="37"/>
        <v>0</v>
      </c>
      <c r="L434" s="753"/>
      <c r="M434" s="753"/>
      <c r="N434" s="753"/>
      <c r="O434" s="753"/>
      <c r="P434" s="756">
        <f t="shared" si="36"/>
        <v>0</v>
      </c>
      <c r="Q434" s="753"/>
      <c r="R434" s="750">
        <f t="shared" si="34"/>
        <v>0</v>
      </c>
    </row>
    <row r="435" spans="2:18" s="757" customFormat="1" outlineLevel="2" x14ac:dyDescent="0.2">
      <c r="B435" s="745" t="s">
        <v>4054</v>
      </c>
      <c r="C435" s="751" t="s">
        <v>2583</v>
      </c>
      <c r="D435" s="752" t="s">
        <v>246</v>
      </c>
      <c r="E435" s="753"/>
      <c r="F435" s="753"/>
      <c r="G435" s="753"/>
      <c r="H435" s="753"/>
      <c r="I435" s="754">
        <f t="shared" si="35"/>
        <v>0</v>
      </c>
      <c r="J435" s="753"/>
      <c r="K435" s="748">
        <f t="shared" si="37"/>
        <v>0</v>
      </c>
      <c r="L435" s="753"/>
      <c r="M435" s="753"/>
      <c r="N435" s="753"/>
      <c r="O435" s="753"/>
      <c r="P435" s="756">
        <f t="shared" si="36"/>
        <v>0</v>
      </c>
      <c r="Q435" s="753"/>
      <c r="R435" s="750">
        <f t="shared" si="34"/>
        <v>0</v>
      </c>
    </row>
    <row r="436" spans="2:18" s="757" customFormat="1" outlineLevel="2" x14ac:dyDescent="0.2">
      <c r="B436" s="745" t="s">
        <v>4055</v>
      </c>
      <c r="C436" s="751" t="s">
        <v>2584</v>
      </c>
      <c r="D436" s="752" t="s">
        <v>246</v>
      </c>
      <c r="E436" s="753"/>
      <c r="F436" s="753"/>
      <c r="G436" s="753"/>
      <c r="H436" s="753"/>
      <c r="I436" s="754">
        <f t="shared" si="35"/>
        <v>0</v>
      </c>
      <c r="J436" s="753"/>
      <c r="K436" s="748">
        <f t="shared" si="37"/>
        <v>0</v>
      </c>
      <c r="L436" s="753"/>
      <c r="M436" s="753"/>
      <c r="N436" s="753"/>
      <c r="O436" s="753"/>
      <c r="P436" s="756">
        <f t="shared" si="36"/>
        <v>0</v>
      </c>
      <c r="Q436" s="753"/>
      <c r="R436" s="750">
        <f t="shared" si="34"/>
        <v>0</v>
      </c>
    </row>
    <row r="437" spans="2:18" s="757" customFormat="1" outlineLevel="2" x14ac:dyDescent="0.2">
      <c r="B437" s="745" t="s">
        <v>4056</v>
      </c>
      <c r="C437" s="751" t="s">
        <v>2585</v>
      </c>
      <c r="D437" s="752" t="s">
        <v>246</v>
      </c>
      <c r="E437" s="753"/>
      <c r="F437" s="753"/>
      <c r="G437" s="753"/>
      <c r="H437" s="753"/>
      <c r="I437" s="754">
        <f t="shared" si="35"/>
        <v>0</v>
      </c>
      <c r="J437" s="753"/>
      <c r="K437" s="748">
        <f t="shared" si="37"/>
        <v>0</v>
      </c>
      <c r="L437" s="753"/>
      <c r="M437" s="753"/>
      <c r="N437" s="753"/>
      <c r="O437" s="753"/>
      <c r="P437" s="756">
        <f t="shared" si="36"/>
        <v>0</v>
      </c>
      <c r="Q437" s="753"/>
      <c r="R437" s="750">
        <f t="shared" si="34"/>
        <v>0</v>
      </c>
    </row>
    <row r="438" spans="2:18" s="757" customFormat="1" outlineLevel="2" x14ac:dyDescent="0.2">
      <c r="B438" s="745" t="s">
        <v>4057</v>
      </c>
      <c r="C438" s="751" t="s">
        <v>2586</v>
      </c>
      <c r="D438" s="752" t="s">
        <v>246</v>
      </c>
      <c r="E438" s="753"/>
      <c r="F438" s="753"/>
      <c r="G438" s="753"/>
      <c r="H438" s="753"/>
      <c r="I438" s="754">
        <f t="shared" si="35"/>
        <v>0</v>
      </c>
      <c r="J438" s="753"/>
      <c r="K438" s="748">
        <f t="shared" si="37"/>
        <v>0</v>
      </c>
      <c r="L438" s="753"/>
      <c r="M438" s="753"/>
      <c r="N438" s="753"/>
      <c r="O438" s="753"/>
      <c r="P438" s="756">
        <f t="shared" si="36"/>
        <v>0</v>
      </c>
      <c r="Q438" s="753"/>
      <c r="R438" s="750">
        <f t="shared" si="34"/>
        <v>0</v>
      </c>
    </row>
    <row r="439" spans="2:18" s="757" customFormat="1" outlineLevel="2" x14ac:dyDescent="0.2">
      <c r="B439" s="745" t="s">
        <v>4058</v>
      </c>
      <c r="C439" s="751" t="s">
        <v>2587</v>
      </c>
      <c r="D439" s="752" t="s">
        <v>246</v>
      </c>
      <c r="E439" s="753"/>
      <c r="F439" s="753"/>
      <c r="G439" s="753"/>
      <c r="H439" s="753"/>
      <c r="I439" s="754">
        <f t="shared" si="35"/>
        <v>0</v>
      </c>
      <c r="J439" s="753"/>
      <c r="K439" s="748">
        <f t="shared" si="37"/>
        <v>0</v>
      </c>
      <c r="L439" s="753"/>
      <c r="M439" s="753"/>
      <c r="N439" s="753"/>
      <c r="O439" s="753"/>
      <c r="P439" s="756">
        <f t="shared" si="36"/>
        <v>0</v>
      </c>
      <c r="Q439" s="753"/>
      <c r="R439" s="750">
        <f t="shared" si="34"/>
        <v>0</v>
      </c>
    </row>
    <row r="440" spans="2:18" s="757" customFormat="1" outlineLevel="2" x14ac:dyDescent="0.2">
      <c r="B440" s="745" t="s">
        <v>4059</v>
      </c>
      <c r="C440" s="751" t="s">
        <v>2588</v>
      </c>
      <c r="D440" s="752" t="s">
        <v>246</v>
      </c>
      <c r="E440" s="753"/>
      <c r="F440" s="753"/>
      <c r="G440" s="753"/>
      <c r="H440" s="753"/>
      <c r="I440" s="754">
        <f t="shared" si="35"/>
        <v>0</v>
      </c>
      <c r="J440" s="753"/>
      <c r="K440" s="748">
        <f t="shared" si="37"/>
        <v>0</v>
      </c>
      <c r="L440" s="753"/>
      <c r="M440" s="753"/>
      <c r="N440" s="753"/>
      <c r="O440" s="753"/>
      <c r="P440" s="756">
        <f t="shared" si="36"/>
        <v>0</v>
      </c>
      <c r="Q440" s="753"/>
      <c r="R440" s="750">
        <f t="shared" si="34"/>
        <v>0</v>
      </c>
    </row>
    <row r="441" spans="2:18" s="757" customFormat="1" outlineLevel="2" x14ac:dyDescent="0.2">
      <c r="B441" s="745" t="s">
        <v>4060</v>
      </c>
      <c r="C441" s="751" t="s">
        <v>2589</v>
      </c>
      <c r="D441" s="752" t="s">
        <v>246</v>
      </c>
      <c r="E441" s="753"/>
      <c r="F441" s="753"/>
      <c r="G441" s="753"/>
      <c r="H441" s="753"/>
      <c r="I441" s="754">
        <f t="shared" si="35"/>
        <v>0</v>
      </c>
      <c r="J441" s="753"/>
      <c r="K441" s="748">
        <f t="shared" si="37"/>
        <v>0</v>
      </c>
      <c r="L441" s="753"/>
      <c r="M441" s="753"/>
      <c r="N441" s="753"/>
      <c r="O441" s="753"/>
      <c r="P441" s="756">
        <f t="shared" si="36"/>
        <v>0</v>
      </c>
      <c r="Q441" s="753"/>
      <c r="R441" s="750">
        <f t="shared" si="34"/>
        <v>0</v>
      </c>
    </row>
    <row r="442" spans="2:18" s="734" customFormat="1" outlineLevel="1" x14ac:dyDescent="0.2">
      <c r="B442" s="745" t="s">
        <v>4061</v>
      </c>
      <c r="C442" s="746">
        <v>4.2</v>
      </c>
      <c r="D442" s="131" t="s">
        <v>2781</v>
      </c>
      <c r="E442" s="747">
        <f t="shared" ref="E442:Q442" si="38">SUM(E443:E492)</f>
        <v>0</v>
      </c>
      <c r="F442" s="747">
        <f t="shared" si="38"/>
        <v>0</v>
      </c>
      <c r="G442" s="747">
        <f t="shared" si="38"/>
        <v>0</v>
      </c>
      <c r="H442" s="747">
        <f t="shared" si="38"/>
        <v>0</v>
      </c>
      <c r="I442" s="748">
        <f t="shared" si="38"/>
        <v>0</v>
      </c>
      <c r="J442" s="747">
        <f t="shared" si="38"/>
        <v>0</v>
      </c>
      <c r="K442" s="748">
        <f t="shared" si="37"/>
        <v>0</v>
      </c>
      <c r="L442" s="747">
        <f t="shared" si="38"/>
        <v>0</v>
      </c>
      <c r="M442" s="747">
        <f t="shared" si="38"/>
        <v>0</v>
      </c>
      <c r="N442" s="747">
        <f t="shared" si="38"/>
        <v>0</v>
      </c>
      <c r="O442" s="747">
        <f t="shared" si="38"/>
        <v>0</v>
      </c>
      <c r="P442" s="749">
        <f t="shared" si="38"/>
        <v>0</v>
      </c>
      <c r="Q442" s="747">
        <f t="shared" si="38"/>
        <v>0</v>
      </c>
      <c r="R442" s="750">
        <f t="shared" si="34"/>
        <v>0</v>
      </c>
    </row>
    <row r="443" spans="2:18" s="757" customFormat="1" outlineLevel="2" x14ac:dyDescent="0.2">
      <c r="B443" s="745" t="s">
        <v>4062</v>
      </c>
      <c r="C443" s="751" t="s">
        <v>444</v>
      </c>
      <c r="D443" s="752" t="s">
        <v>246</v>
      </c>
      <c r="E443" s="753"/>
      <c r="F443" s="753"/>
      <c r="G443" s="753"/>
      <c r="H443" s="753"/>
      <c r="I443" s="754">
        <f t="shared" ref="I443:I492" si="39">SUM(E443:H443)</f>
        <v>0</v>
      </c>
      <c r="J443" s="755"/>
      <c r="K443" s="748">
        <f t="shared" si="37"/>
        <v>0</v>
      </c>
      <c r="L443" s="753"/>
      <c r="M443" s="753"/>
      <c r="N443" s="753"/>
      <c r="O443" s="753"/>
      <c r="P443" s="756">
        <f t="shared" si="36"/>
        <v>0</v>
      </c>
      <c r="Q443" s="755"/>
      <c r="R443" s="750">
        <f t="shared" si="34"/>
        <v>0</v>
      </c>
    </row>
    <row r="444" spans="2:18" s="757" customFormat="1" outlineLevel="2" x14ac:dyDescent="0.2">
      <c r="B444" s="745" t="s">
        <v>4063</v>
      </c>
      <c r="C444" s="751" t="s">
        <v>445</v>
      </c>
      <c r="D444" s="752" t="s">
        <v>246</v>
      </c>
      <c r="E444" s="753"/>
      <c r="F444" s="753"/>
      <c r="G444" s="753"/>
      <c r="H444" s="753"/>
      <c r="I444" s="754">
        <f t="shared" si="39"/>
        <v>0</v>
      </c>
      <c r="J444" s="755"/>
      <c r="K444" s="748">
        <f t="shared" si="37"/>
        <v>0</v>
      </c>
      <c r="L444" s="753"/>
      <c r="M444" s="753"/>
      <c r="N444" s="753"/>
      <c r="O444" s="753"/>
      <c r="P444" s="756">
        <f t="shared" si="36"/>
        <v>0</v>
      </c>
      <c r="Q444" s="755"/>
      <c r="R444" s="750">
        <f t="shared" si="34"/>
        <v>0</v>
      </c>
    </row>
    <row r="445" spans="2:18" s="757" customFormat="1" outlineLevel="2" x14ac:dyDescent="0.2">
      <c r="B445" s="745" t="s">
        <v>4064</v>
      </c>
      <c r="C445" s="751" t="s">
        <v>461</v>
      </c>
      <c r="D445" s="752" t="s">
        <v>246</v>
      </c>
      <c r="E445" s="753"/>
      <c r="F445" s="753"/>
      <c r="G445" s="753"/>
      <c r="H445" s="753"/>
      <c r="I445" s="754">
        <f t="shared" si="39"/>
        <v>0</v>
      </c>
      <c r="J445" s="755"/>
      <c r="K445" s="748">
        <f t="shared" si="37"/>
        <v>0</v>
      </c>
      <c r="L445" s="753"/>
      <c r="M445" s="753"/>
      <c r="N445" s="753"/>
      <c r="O445" s="753"/>
      <c r="P445" s="756">
        <f t="shared" si="36"/>
        <v>0</v>
      </c>
      <c r="Q445" s="755"/>
      <c r="R445" s="750">
        <f t="shared" si="34"/>
        <v>0</v>
      </c>
    </row>
    <row r="446" spans="2:18" s="757" customFormat="1" outlineLevel="2" x14ac:dyDescent="0.2">
      <c r="B446" s="745" t="s">
        <v>4065</v>
      </c>
      <c r="C446" s="751" t="s">
        <v>651</v>
      </c>
      <c r="D446" s="752" t="s">
        <v>246</v>
      </c>
      <c r="E446" s="753"/>
      <c r="F446" s="753"/>
      <c r="G446" s="753"/>
      <c r="H446" s="753"/>
      <c r="I446" s="754">
        <f t="shared" si="39"/>
        <v>0</v>
      </c>
      <c r="J446" s="755"/>
      <c r="K446" s="748">
        <f t="shared" si="37"/>
        <v>0</v>
      </c>
      <c r="L446" s="753"/>
      <c r="M446" s="753"/>
      <c r="N446" s="753"/>
      <c r="O446" s="753"/>
      <c r="P446" s="756">
        <f t="shared" si="36"/>
        <v>0</v>
      </c>
      <c r="Q446" s="755"/>
      <c r="R446" s="750">
        <f t="shared" si="34"/>
        <v>0</v>
      </c>
    </row>
    <row r="447" spans="2:18" s="757" customFormat="1" outlineLevel="2" x14ac:dyDescent="0.2">
      <c r="B447" s="745" t="s">
        <v>4066</v>
      </c>
      <c r="C447" s="751" t="s">
        <v>652</v>
      </c>
      <c r="D447" s="752" t="s">
        <v>246</v>
      </c>
      <c r="E447" s="753"/>
      <c r="F447" s="753"/>
      <c r="G447" s="753"/>
      <c r="H447" s="753"/>
      <c r="I447" s="754">
        <f t="shared" si="39"/>
        <v>0</v>
      </c>
      <c r="J447" s="755"/>
      <c r="K447" s="748">
        <f t="shared" si="37"/>
        <v>0</v>
      </c>
      <c r="L447" s="753"/>
      <c r="M447" s="753"/>
      <c r="N447" s="753"/>
      <c r="O447" s="753"/>
      <c r="P447" s="756">
        <f t="shared" si="36"/>
        <v>0</v>
      </c>
      <c r="Q447" s="755"/>
      <c r="R447" s="750">
        <f t="shared" si="34"/>
        <v>0</v>
      </c>
    </row>
    <row r="448" spans="2:18" s="757" customFormat="1" outlineLevel="2" x14ac:dyDescent="0.2">
      <c r="B448" s="745" t="s">
        <v>4067</v>
      </c>
      <c r="C448" s="751" t="s">
        <v>653</v>
      </c>
      <c r="D448" s="752" t="s">
        <v>246</v>
      </c>
      <c r="E448" s="753"/>
      <c r="F448" s="753"/>
      <c r="G448" s="753"/>
      <c r="H448" s="753"/>
      <c r="I448" s="754">
        <f t="shared" si="39"/>
        <v>0</v>
      </c>
      <c r="J448" s="755"/>
      <c r="K448" s="748">
        <f t="shared" si="37"/>
        <v>0</v>
      </c>
      <c r="L448" s="753"/>
      <c r="M448" s="753"/>
      <c r="N448" s="753"/>
      <c r="O448" s="753"/>
      <c r="P448" s="756">
        <f t="shared" si="36"/>
        <v>0</v>
      </c>
      <c r="Q448" s="755"/>
      <c r="R448" s="750">
        <f t="shared" si="34"/>
        <v>0</v>
      </c>
    </row>
    <row r="449" spans="2:18" s="757" customFormat="1" outlineLevel="2" x14ac:dyDescent="0.2">
      <c r="B449" s="745" t="s">
        <v>4068</v>
      </c>
      <c r="C449" s="751" t="s">
        <v>654</v>
      </c>
      <c r="D449" s="752" t="s">
        <v>246</v>
      </c>
      <c r="E449" s="753"/>
      <c r="F449" s="753"/>
      <c r="G449" s="753"/>
      <c r="H449" s="753"/>
      <c r="I449" s="754">
        <f t="shared" si="39"/>
        <v>0</v>
      </c>
      <c r="J449" s="755"/>
      <c r="K449" s="748">
        <f t="shared" si="37"/>
        <v>0</v>
      </c>
      <c r="L449" s="753"/>
      <c r="M449" s="753"/>
      <c r="N449" s="753"/>
      <c r="O449" s="753"/>
      <c r="P449" s="756">
        <f t="shared" si="36"/>
        <v>0</v>
      </c>
      <c r="Q449" s="755"/>
      <c r="R449" s="750">
        <f t="shared" si="34"/>
        <v>0</v>
      </c>
    </row>
    <row r="450" spans="2:18" s="757" customFormat="1" outlineLevel="2" x14ac:dyDescent="0.2">
      <c r="B450" s="745" t="s">
        <v>4069</v>
      </c>
      <c r="C450" s="751" t="s">
        <v>655</v>
      </c>
      <c r="D450" s="752" t="s">
        <v>246</v>
      </c>
      <c r="E450" s="753"/>
      <c r="F450" s="753"/>
      <c r="G450" s="753"/>
      <c r="H450" s="753"/>
      <c r="I450" s="754">
        <f t="shared" si="39"/>
        <v>0</v>
      </c>
      <c r="J450" s="755"/>
      <c r="K450" s="748">
        <f t="shared" si="37"/>
        <v>0</v>
      </c>
      <c r="L450" s="753"/>
      <c r="M450" s="753"/>
      <c r="N450" s="753"/>
      <c r="O450" s="753"/>
      <c r="P450" s="756">
        <f t="shared" si="36"/>
        <v>0</v>
      </c>
      <c r="Q450" s="755"/>
      <c r="R450" s="750">
        <f t="shared" si="34"/>
        <v>0</v>
      </c>
    </row>
    <row r="451" spans="2:18" s="757" customFormat="1" outlineLevel="2" x14ac:dyDescent="0.2">
      <c r="B451" s="745" t="s">
        <v>4070</v>
      </c>
      <c r="C451" s="751" t="s">
        <v>656</v>
      </c>
      <c r="D451" s="752" t="s">
        <v>246</v>
      </c>
      <c r="E451" s="753"/>
      <c r="F451" s="753"/>
      <c r="G451" s="753"/>
      <c r="H451" s="753"/>
      <c r="I451" s="754">
        <f t="shared" si="39"/>
        <v>0</v>
      </c>
      <c r="J451" s="755"/>
      <c r="K451" s="748">
        <f t="shared" si="37"/>
        <v>0</v>
      </c>
      <c r="L451" s="753"/>
      <c r="M451" s="753"/>
      <c r="N451" s="753"/>
      <c r="O451" s="753"/>
      <c r="P451" s="756">
        <f t="shared" si="36"/>
        <v>0</v>
      </c>
      <c r="Q451" s="755"/>
      <c r="R451" s="750">
        <f t="shared" si="34"/>
        <v>0</v>
      </c>
    </row>
    <row r="452" spans="2:18" s="757" customFormat="1" outlineLevel="2" x14ac:dyDescent="0.2">
      <c r="B452" s="745" t="s">
        <v>4071</v>
      </c>
      <c r="C452" s="751" t="s">
        <v>657</v>
      </c>
      <c r="D452" s="752" t="s">
        <v>246</v>
      </c>
      <c r="E452" s="753"/>
      <c r="F452" s="753"/>
      <c r="G452" s="753"/>
      <c r="H452" s="753"/>
      <c r="I452" s="754">
        <f t="shared" si="39"/>
        <v>0</v>
      </c>
      <c r="J452" s="755"/>
      <c r="K452" s="748">
        <f t="shared" si="37"/>
        <v>0</v>
      </c>
      <c r="L452" s="753"/>
      <c r="M452" s="753"/>
      <c r="N452" s="753"/>
      <c r="O452" s="753"/>
      <c r="P452" s="756">
        <f t="shared" si="36"/>
        <v>0</v>
      </c>
      <c r="Q452" s="755"/>
      <c r="R452" s="750">
        <f t="shared" si="34"/>
        <v>0</v>
      </c>
    </row>
    <row r="453" spans="2:18" s="757" customFormat="1" outlineLevel="2" x14ac:dyDescent="0.2">
      <c r="B453" s="745" t="s">
        <v>4072</v>
      </c>
      <c r="C453" s="751" t="s">
        <v>658</v>
      </c>
      <c r="D453" s="752" t="s">
        <v>246</v>
      </c>
      <c r="E453" s="753"/>
      <c r="F453" s="753"/>
      <c r="G453" s="753"/>
      <c r="H453" s="753"/>
      <c r="I453" s="754">
        <f t="shared" si="39"/>
        <v>0</v>
      </c>
      <c r="J453" s="755"/>
      <c r="K453" s="748">
        <f t="shared" si="37"/>
        <v>0</v>
      </c>
      <c r="L453" s="753"/>
      <c r="M453" s="753"/>
      <c r="N453" s="753"/>
      <c r="O453" s="753"/>
      <c r="P453" s="756">
        <f t="shared" si="36"/>
        <v>0</v>
      </c>
      <c r="Q453" s="755"/>
      <c r="R453" s="750">
        <f t="shared" si="34"/>
        <v>0</v>
      </c>
    </row>
    <row r="454" spans="2:18" s="757" customFormat="1" outlineLevel="2" x14ac:dyDescent="0.2">
      <c r="B454" s="745" t="s">
        <v>4073</v>
      </c>
      <c r="C454" s="751" t="s">
        <v>659</v>
      </c>
      <c r="D454" s="752" t="s">
        <v>246</v>
      </c>
      <c r="E454" s="753"/>
      <c r="F454" s="753"/>
      <c r="G454" s="753"/>
      <c r="H454" s="753"/>
      <c r="I454" s="754">
        <f t="shared" si="39"/>
        <v>0</v>
      </c>
      <c r="J454" s="755"/>
      <c r="K454" s="748">
        <f t="shared" si="37"/>
        <v>0</v>
      </c>
      <c r="L454" s="753"/>
      <c r="M454" s="753"/>
      <c r="N454" s="753"/>
      <c r="O454" s="753"/>
      <c r="P454" s="756">
        <f t="shared" si="36"/>
        <v>0</v>
      </c>
      <c r="Q454" s="755"/>
      <c r="R454" s="750">
        <f t="shared" si="34"/>
        <v>0</v>
      </c>
    </row>
    <row r="455" spans="2:18" s="757" customFormat="1" outlineLevel="2" x14ac:dyDescent="0.2">
      <c r="B455" s="745" t="s">
        <v>4074</v>
      </c>
      <c r="C455" s="751" t="s">
        <v>660</v>
      </c>
      <c r="D455" s="752" t="s">
        <v>246</v>
      </c>
      <c r="E455" s="753"/>
      <c r="F455" s="753"/>
      <c r="G455" s="753"/>
      <c r="H455" s="753"/>
      <c r="I455" s="754">
        <f t="shared" si="39"/>
        <v>0</v>
      </c>
      <c r="J455" s="755"/>
      <c r="K455" s="748">
        <f t="shared" si="37"/>
        <v>0</v>
      </c>
      <c r="L455" s="753"/>
      <c r="M455" s="753"/>
      <c r="N455" s="753"/>
      <c r="O455" s="753"/>
      <c r="P455" s="756">
        <f t="shared" si="36"/>
        <v>0</v>
      </c>
      <c r="Q455" s="755"/>
      <c r="R455" s="750">
        <f t="shared" ref="R455:R492" si="40">P455-Q455</f>
        <v>0</v>
      </c>
    </row>
    <row r="456" spans="2:18" s="757" customFormat="1" outlineLevel="2" x14ac:dyDescent="0.2">
      <c r="B456" s="745" t="s">
        <v>4075</v>
      </c>
      <c r="C456" s="751" t="s">
        <v>661</v>
      </c>
      <c r="D456" s="752" t="s">
        <v>246</v>
      </c>
      <c r="E456" s="753"/>
      <c r="F456" s="753"/>
      <c r="G456" s="753"/>
      <c r="H456" s="753"/>
      <c r="I456" s="754">
        <f t="shared" si="39"/>
        <v>0</v>
      </c>
      <c r="J456" s="755"/>
      <c r="K456" s="748">
        <f t="shared" si="37"/>
        <v>0</v>
      </c>
      <c r="L456" s="753"/>
      <c r="M456" s="753"/>
      <c r="N456" s="753"/>
      <c r="O456" s="753"/>
      <c r="P456" s="756">
        <f t="shared" ref="P456:P492" si="41">SUM(L456:O456)</f>
        <v>0</v>
      </c>
      <c r="Q456" s="755"/>
      <c r="R456" s="750">
        <f t="shared" si="40"/>
        <v>0</v>
      </c>
    </row>
    <row r="457" spans="2:18" s="757" customFormat="1" outlineLevel="2" x14ac:dyDescent="0.2">
      <c r="B457" s="745" t="s">
        <v>4076</v>
      </c>
      <c r="C457" s="751" t="s">
        <v>662</v>
      </c>
      <c r="D457" s="752" t="s">
        <v>246</v>
      </c>
      <c r="E457" s="753"/>
      <c r="F457" s="753"/>
      <c r="G457" s="753"/>
      <c r="H457" s="753"/>
      <c r="I457" s="754">
        <f t="shared" si="39"/>
        <v>0</v>
      </c>
      <c r="J457" s="755"/>
      <c r="K457" s="748">
        <f t="shared" si="37"/>
        <v>0</v>
      </c>
      <c r="L457" s="753"/>
      <c r="M457" s="753"/>
      <c r="N457" s="753"/>
      <c r="O457" s="753"/>
      <c r="P457" s="756">
        <f t="shared" si="41"/>
        <v>0</v>
      </c>
      <c r="Q457" s="755"/>
      <c r="R457" s="750">
        <f t="shared" si="40"/>
        <v>0</v>
      </c>
    </row>
    <row r="458" spans="2:18" s="757" customFormat="1" outlineLevel="2" x14ac:dyDescent="0.2">
      <c r="B458" s="745" t="s">
        <v>4077</v>
      </c>
      <c r="C458" s="751" t="s">
        <v>663</v>
      </c>
      <c r="D458" s="752" t="s">
        <v>246</v>
      </c>
      <c r="E458" s="753"/>
      <c r="F458" s="753"/>
      <c r="G458" s="753"/>
      <c r="H458" s="753"/>
      <c r="I458" s="754">
        <f t="shared" si="39"/>
        <v>0</v>
      </c>
      <c r="J458" s="755"/>
      <c r="K458" s="748">
        <f t="shared" si="37"/>
        <v>0</v>
      </c>
      <c r="L458" s="753"/>
      <c r="M458" s="753"/>
      <c r="N458" s="753"/>
      <c r="O458" s="753"/>
      <c r="P458" s="756">
        <f t="shared" si="41"/>
        <v>0</v>
      </c>
      <c r="Q458" s="755"/>
      <c r="R458" s="750">
        <f t="shared" si="40"/>
        <v>0</v>
      </c>
    </row>
    <row r="459" spans="2:18" s="757" customFormat="1" outlineLevel="2" x14ac:dyDescent="0.2">
      <c r="B459" s="745" t="s">
        <v>4078</v>
      </c>
      <c r="C459" s="751" t="s">
        <v>664</v>
      </c>
      <c r="D459" s="752" t="s">
        <v>246</v>
      </c>
      <c r="E459" s="753"/>
      <c r="F459" s="753"/>
      <c r="G459" s="753"/>
      <c r="H459" s="753"/>
      <c r="I459" s="754">
        <f t="shared" si="39"/>
        <v>0</v>
      </c>
      <c r="J459" s="755"/>
      <c r="K459" s="748">
        <f t="shared" ref="K459:K522" si="42">I459-J459</f>
        <v>0</v>
      </c>
      <c r="L459" s="753"/>
      <c r="M459" s="753"/>
      <c r="N459" s="753"/>
      <c r="O459" s="753"/>
      <c r="P459" s="756">
        <f t="shared" si="41"/>
        <v>0</v>
      </c>
      <c r="Q459" s="755"/>
      <c r="R459" s="750">
        <f t="shared" si="40"/>
        <v>0</v>
      </c>
    </row>
    <row r="460" spans="2:18" s="757" customFormat="1" outlineLevel="2" x14ac:dyDescent="0.2">
      <c r="B460" s="745" t="s">
        <v>4079</v>
      </c>
      <c r="C460" s="751" t="s">
        <v>665</v>
      </c>
      <c r="D460" s="752" t="s">
        <v>246</v>
      </c>
      <c r="E460" s="753"/>
      <c r="F460" s="753"/>
      <c r="G460" s="753"/>
      <c r="H460" s="753"/>
      <c r="I460" s="754">
        <f t="shared" si="39"/>
        <v>0</v>
      </c>
      <c r="J460" s="755"/>
      <c r="K460" s="748">
        <f t="shared" si="42"/>
        <v>0</v>
      </c>
      <c r="L460" s="753"/>
      <c r="M460" s="753"/>
      <c r="N460" s="753"/>
      <c r="O460" s="753"/>
      <c r="P460" s="756">
        <f t="shared" si="41"/>
        <v>0</v>
      </c>
      <c r="Q460" s="755"/>
      <c r="R460" s="750">
        <f t="shared" si="40"/>
        <v>0</v>
      </c>
    </row>
    <row r="461" spans="2:18" s="757" customFormat="1" outlineLevel="2" x14ac:dyDescent="0.2">
      <c r="B461" s="745" t="s">
        <v>4080</v>
      </c>
      <c r="C461" s="751" t="s">
        <v>666</v>
      </c>
      <c r="D461" s="752" t="s">
        <v>246</v>
      </c>
      <c r="E461" s="753"/>
      <c r="F461" s="753"/>
      <c r="G461" s="753"/>
      <c r="H461" s="753"/>
      <c r="I461" s="754">
        <f t="shared" si="39"/>
        <v>0</v>
      </c>
      <c r="J461" s="755"/>
      <c r="K461" s="748">
        <f t="shared" si="42"/>
        <v>0</v>
      </c>
      <c r="L461" s="753"/>
      <c r="M461" s="753"/>
      <c r="N461" s="753"/>
      <c r="O461" s="753"/>
      <c r="P461" s="756">
        <f t="shared" si="41"/>
        <v>0</v>
      </c>
      <c r="Q461" s="755"/>
      <c r="R461" s="750">
        <f t="shared" si="40"/>
        <v>0</v>
      </c>
    </row>
    <row r="462" spans="2:18" s="757" customFormat="1" outlineLevel="2" x14ac:dyDescent="0.2">
      <c r="B462" s="745" t="s">
        <v>4081</v>
      </c>
      <c r="C462" s="751" t="s">
        <v>667</v>
      </c>
      <c r="D462" s="752" t="s">
        <v>246</v>
      </c>
      <c r="E462" s="753"/>
      <c r="F462" s="753"/>
      <c r="G462" s="753"/>
      <c r="H462" s="753"/>
      <c r="I462" s="754">
        <f t="shared" si="39"/>
        <v>0</v>
      </c>
      <c r="J462" s="755"/>
      <c r="K462" s="748">
        <f t="shared" si="42"/>
        <v>0</v>
      </c>
      <c r="L462" s="753"/>
      <c r="M462" s="753"/>
      <c r="N462" s="753"/>
      <c r="O462" s="753"/>
      <c r="P462" s="756">
        <f t="shared" si="41"/>
        <v>0</v>
      </c>
      <c r="Q462" s="755"/>
      <c r="R462" s="750">
        <f t="shared" si="40"/>
        <v>0</v>
      </c>
    </row>
    <row r="463" spans="2:18" s="757" customFormat="1" outlineLevel="2" x14ac:dyDescent="0.2">
      <c r="B463" s="745" t="s">
        <v>4082</v>
      </c>
      <c r="C463" s="751" t="s">
        <v>2590</v>
      </c>
      <c r="D463" s="752" t="s">
        <v>246</v>
      </c>
      <c r="E463" s="753"/>
      <c r="F463" s="753"/>
      <c r="G463" s="753"/>
      <c r="H463" s="753"/>
      <c r="I463" s="754">
        <f t="shared" si="39"/>
        <v>0</v>
      </c>
      <c r="J463" s="755"/>
      <c r="K463" s="748">
        <f t="shared" si="42"/>
        <v>0</v>
      </c>
      <c r="L463" s="753"/>
      <c r="M463" s="753"/>
      <c r="N463" s="753"/>
      <c r="O463" s="753"/>
      <c r="P463" s="756">
        <f t="shared" si="41"/>
        <v>0</v>
      </c>
      <c r="Q463" s="755"/>
      <c r="R463" s="750">
        <f t="shared" si="40"/>
        <v>0</v>
      </c>
    </row>
    <row r="464" spans="2:18" s="757" customFormat="1" outlineLevel="2" x14ac:dyDescent="0.2">
      <c r="B464" s="745" t="s">
        <v>4083</v>
      </c>
      <c r="C464" s="751" t="s">
        <v>2591</v>
      </c>
      <c r="D464" s="752" t="s">
        <v>246</v>
      </c>
      <c r="E464" s="753"/>
      <c r="F464" s="753"/>
      <c r="G464" s="753"/>
      <c r="H464" s="753"/>
      <c r="I464" s="754">
        <f t="shared" si="39"/>
        <v>0</v>
      </c>
      <c r="J464" s="755"/>
      <c r="K464" s="748">
        <f t="shared" si="42"/>
        <v>0</v>
      </c>
      <c r="L464" s="753"/>
      <c r="M464" s="753"/>
      <c r="N464" s="753"/>
      <c r="O464" s="753"/>
      <c r="P464" s="756">
        <f t="shared" si="41"/>
        <v>0</v>
      </c>
      <c r="Q464" s="755"/>
      <c r="R464" s="750">
        <f t="shared" si="40"/>
        <v>0</v>
      </c>
    </row>
    <row r="465" spans="2:18" s="757" customFormat="1" outlineLevel="2" x14ac:dyDescent="0.2">
      <c r="B465" s="745" t="s">
        <v>4084</v>
      </c>
      <c r="C465" s="751" t="s">
        <v>2592</v>
      </c>
      <c r="D465" s="752" t="s">
        <v>246</v>
      </c>
      <c r="E465" s="753"/>
      <c r="F465" s="753"/>
      <c r="G465" s="753"/>
      <c r="H465" s="753"/>
      <c r="I465" s="754">
        <f t="shared" si="39"/>
        <v>0</v>
      </c>
      <c r="J465" s="755"/>
      <c r="K465" s="748">
        <f t="shared" si="42"/>
        <v>0</v>
      </c>
      <c r="L465" s="753"/>
      <c r="M465" s="753"/>
      <c r="N465" s="753"/>
      <c r="O465" s="753"/>
      <c r="P465" s="756">
        <f t="shared" si="41"/>
        <v>0</v>
      </c>
      <c r="Q465" s="755"/>
      <c r="R465" s="750">
        <f t="shared" si="40"/>
        <v>0</v>
      </c>
    </row>
    <row r="466" spans="2:18" s="757" customFormat="1" outlineLevel="2" x14ac:dyDescent="0.2">
      <c r="B466" s="745" t="s">
        <v>4085</v>
      </c>
      <c r="C466" s="751" t="s">
        <v>2593</v>
      </c>
      <c r="D466" s="752" t="s">
        <v>246</v>
      </c>
      <c r="E466" s="753"/>
      <c r="F466" s="753"/>
      <c r="G466" s="753"/>
      <c r="H466" s="753"/>
      <c r="I466" s="754">
        <f t="shared" si="39"/>
        <v>0</v>
      </c>
      <c r="J466" s="755"/>
      <c r="K466" s="748">
        <f t="shared" si="42"/>
        <v>0</v>
      </c>
      <c r="L466" s="753"/>
      <c r="M466" s="753"/>
      <c r="N466" s="753"/>
      <c r="O466" s="753"/>
      <c r="P466" s="756">
        <f t="shared" si="41"/>
        <v>0</v>
      </c>
      <c r="Q466" s="755"/>
      <c r="R466" s="750">
        <f t="shared" si="40"/>
        <v>0</v>
      </c>
    </row>
    <row r="467" spans="2:18" s="757" customFormat="1" outlineLevel="2" x14ac:dyDescent="0.2">
      <c r="B467" s="745" t="s">
        <v>4086</v>
      </c>
      <c r="C467" s="751" t="s">
        <v>2594</v>
      </c>
      <c r="D467" s="752" t="s">
        <v>246</v>
      </c>
      <c r="E467" s="753"/>
      <c r="F467" s="753"/>
      <c r="G467" s="753"/>
      <c r="H467" s="753"/>
      <c r="I467" s="754">
        <f t="shared" si="39"/>
        <v>0</v>
      </c>
      <c r="J467" s="755"/>
      <c r="K467" s="748">
        <f t="shared" si="42"/>
        <v>0</v>
      </c>
      <c r="L467" s="753"/>
      <c r="M467" s="753"/>
      <c r="N467" s="753"/>
      <c r="O467" s="753"/>
      <c r="P467" s="756">
        <f t="shared" si="41"/>
        <v>0</v>
      </c>
      <c r="Q467" s="755"/>
      <c r="R467" s="750">
        <f t="shared" si="40"/>
        <v>0</v>
      </c>
    </row>
    <row r="468" spans="2:18" s="757" customFormat="1" outlineLevel="2" x14ac:dyDescent="0.2">
      <c r="B468" s="745" t="s">
        <v>4087</v>
      </c>
      <c r="C468" s="751" t="s">
        <v>2595</v>
      </c>
      <c r="D468" s="752" t="s">
        <v>246</v>
      </c>
      <c r="E468" s="753"/>
      <c r="F468" s="753"/>
      <c r="G468" s="753"/>
      <c r="H468" s="753"/>
      <c r="I468" s="754">
        <f t="shared" si="39"/>
        <v>0</v>
      </c>
      <c r="J468" s="755"/>
      <c r="K468" s="748">
        <f t="shared" si="42"/>
        <v>0</v>
      </c>
      <c r="L468" s="753"/>
      <c r="M468" s="753"/>
      <c r="N468" s="753"/>
      <c r="O468" s="753"/>
      <c r="P468" s="756">
        <f t="shared" si="41"/>
        <v>0</v>
      </c>
      <c r="Q468" s="755"/>
      <c r="R468" s="750">
        <f t="shared" si="40"/>
        <v>0</v>
      </c>
    </row>
    <row r="469" spans="2:18" s="757" customFormat="1" outlineLevel="2" x14ac:dyDescent="0.2">
      <c r="B469" s="745" t="s">
        <v>4088</v>
      </c>
      <c r="C469" s="751" t="s">
        <v>2596</v>
      </c>
      <c r="D469" s="752" t="s">
        <v>246</v>
      </c>
      <c r="E469" s="753"/>
      <c r="F469" s="753"/>
      <c r="G469" s="753"/>
      <c r="H469" s="753"/>
      <c r="I469" s="754">
        <f t="shared" si="39"/>
        <v>0</v>
      </c>
      <c r="J469" s="755"/>
      <c r="K469" s="748">
        <f t="shared" si="42"/>
        <v>0</v>
      </c>
      <c r="L469" s="753"/>
      <c r="M469" s="753"/>
      <c r="N469" s="753"/>
      <c r="O469" s="753"/>
      <c r="P469" s="756">
        <f t="shared" si="41"/>
        <v>0</v>
      </c>
      <c r="Q469" s="755"/>
      <c r="R469" s="750">
        <f t="shared" si="40"/>
        <v>0</v>
      </c>
    </row>
    <row r="470" spans="2:18" s="757" customFormat="1" outlineLevel="2" x14ac:dyDescent="0.2">
      <c r="B470" s="745" t="s">
        <v>4089</v>
      </c>
      <c r="C470" s="751" t="s">
        <v>2597</v>
      </c>
      <c r="D470" s="752" t="s">
        <v>246</v>
      </c>
      <c r="E470" s="753"/>
      <c r="F470" s="753"/>
      <c r="G470" s="753"/>
      <c r="H470" s="753"/>
      <c r="I470" s="754">
        <f t="shared" si="39"/>
        <v>0</v>
      </c>
      <c r="J470" s="755"/>
      <c r="K470" s="748">
        <f t="shared" si="42"/>
        <v>0</v>
      </c>
      <c r="L470" s="753"/>
      <c r="M470" s="753"/>
      <c r="N470" s="753"/>
      <c r="O470" s="753"/>
      <c r="P470" s="756">
        <f t="shared" si="41"/>
        <v>0</v>
      </c>
      <c r="Q470" s="755"/>
      <c r="R470" s="750">
        <f t="shared" si="40"/>
        <v>0</v>
      </c>
    </row>
    <row r="471" spans="2:18" s="757" customFormat="1" outlineLevel="2" x14ac:dyDescent="0.2">
      <c r="B471" s="745" t="s">
        <v>4090</v>
      </c>
      <c r="C471" s="751" t="s">
        <v>2598</v>
      </c>
      <c r="D471" s="752" t="s">
        <v>246</v>
      </c>
      <c r="E471" s="753"/>
      <c r="F471" s="753"/>
      <c r="G471" s="753"/>
      <c r="H471" s="753"/>
      <c r="I471" s="754">
        <f t="shared" si="39"/>
        <v>0</v>
      </c>
      <c r="J471" s="755"/>
      <c r="K471" s="748">
        <f t="shared" si="42"/>
        <v>0</v>
      </c>
      <c r="L471" s="753"/>
      <c r="M471" s="753"/>
      <c r="N471" s="753"/>
      <c r="O471" s="753"/>
      <c r="P471" s="756">
        <f t="shared" si="41"/>
        <v>0</v>
      </c>
      <c r="Q471" s="755"/>
      <c r="R471" s="750">
        <f t="shared" si="40"/>
        <v>0</v>
      </c>
    </row>
    <row r="472" spans="2:18" s="757" customFormat="1" outlineLevel="2" x14ac:dyDescent="0.2">
      <c r="B472" s="745" t="s">
        <v>4091</v>
      </c>
      <c r="C472" s="751" t="s">
        <v>2599</v>
      </c>
      <c r="D472" s="752" t="s">
        <v>246</v>
      </c>
      <c r="E472" s="753"/>
      <c r="F472" s="753"/>
      <c r="G472" s="753"/>
      <c r="H472" s="753"/>
      <c r="I472" s="754">
        <f t="shared" si="39"/>
        <v>0</v>
      </c>
      <c r="J472" s="755"/>
      <c r="K472" s="748">
        <f t="shared" si="42"/>
        <v>0</v>
      </c>
      <c r="L472" s="753"/>
      <c r="M472" s="753"/>
      <c r="N472" s="753"/>
      <c r="O472" s="753"/>
      <c r="P472" s="756">
        <f t="shared" si="41"/>
        <v>0</v>
      </c>
      <c r="Q472" s="755"/>
      <c r="R472" s="750">
        <f t="shared" si="40"/>
        <v>0</v>
      </c>
    </row>
    <row r="473" spans="2:18" s="757" customFormat="1" outlineLevel="2" x14ac:dyDescent="0.2">
      <c r="B473" s="745" t="s">
        <v>4092</v>
      </c>
      <c r="C473" s="751" t="s">
        <v>2600</v>
      </c>
      <c r="D473" s="752" t="s">
        <v>246</v>
      </c>
      <c r="E473" s="753"/>
      <c r="F473" s="753"/>
      <c r="G473" s="753"/>
      <c r="H473" s="753"/>
      <c r="I473" s="754">
        <f t="shared" si="39"/>
        <v>0</v>
      </c>
      <c r="J473" s="755"/>
      <c r="K473" s="748">
        <f t="shared" si="42"/>
        <v>0</v>
      </c>
      <c r="L473" s="753"/>
      <c r="M473" s="753"/>
      <c r="N473" s="753"/>
      <c r="O473" s="753"/>
      <c r="P473" s="756">
        <f t="shared" si="41"/>
        <v>0</v>
      </c>
      <c r="Q473" s="755"/>
      <c r="R473" s="750">
        <f t="shared" si="40"/>
        <v>0</v>
      </c>
    </row>
    <row r="474" spans="2:18" s="757" customFormat="1" outlineLevel="2" x14ac:dyDescent="0.2">
      <c r="B474" s="745" t="s">
        <v>4093</v>
      </c>
      <c r="C474" s="751" t="s">
        <v>2601</v>
      </c>
      <c r="D474" s="752" t="s">
        <v>246</v>
      </c>
      <c r="E474" s="753"/>
      <c r="F474" s="753"/>
      <c r="G474" s="753"/>
      <c r="H474" s="753"/>
      <c r="I474" s="754">
        <f t="shared" si="39"/>
        <v>0</v>
      </c>
      <c r="J474" s="755"/>
      <c r="K474" s="748">
        <f t="shared" si="42"/>
        <v>0</v>
      </c>
      <c r="L474" s="753"/>
      <c r="M474" s="753"/>
      <c r="N474" s="753"/>
      <c r="O474" s="753"/>
      <c r="P474" s="756">
        <f t="shared" si="41"/>
        <v>0</v>
      </c>
      <c r="Q474" s="755"/>
      <c r="R474" s="750">
        <f t="shared" si="40"/>
        <v>0</v>
      </c>
    </row>
    <row r="475" spans="2:18" s="757" customFormat="1" outlineLevel="2" x14ac:dyDescent="0.2">
      <c r="B475" s="745" t="s">
        <v>4094</v>
      </c>
      <c r="C475" s="751" t="s">
        <v>2602</v>
      </c>
      <c r="D475" s="752" t="s">
        <v>246</v>
      </c>
      <c r="E475" s="753"/>
      <c r="F475" s="753"/>
      <c r="G475" s="753"/>
      <c r="H475" s="753"/>
      <c r="I475" s="754">
        <f t="shared" si="39"/>
        <v>0</v>
      </c>
      <c r="J475" s="755"/>
      <c r="K475" s="748">
        <f t="shared" si="42"/>
        <v>0</v>
      </c>
      <c r="L475" s="753"/>
      <c r="M475" s="753"/>
      <c r="N475" s="753"/>
      <c r="O475" s="753"/>
      <c r="P475" s="756">
        <f t="shared" si="41"/>
        <v>0</v>
      </c>
      <c r="Q475" s="755"/>
      <c r="R475" s="750">
        <f t="shared" si="40"/>
        <v>0</v>
      </c>
    </row>
    <row r="476" spans="2:18" s="757" customFormat="1" outlineLevel="2" x14ac:dyDescent="0.2">
      <c r="B476" s="745" t="s">
        <v>4095</v>
      </c>
      <c r="C476" s="751" t="s">
        <v>2603</v>
      </c>
      <c r="D476" s="752" t="s">
        <v>246</v>
      </c>
      <c r="E476" s="753"/>
      <c r="F476" s="753"/>
      <c r="G476" s="753"/>
      <c r="H476" s="753"/>
      <c r="I476" s="754">
        <f t="shared" si="39"/>
        <v>0</v>
      </c>
      <c r="J476" s="755"/>
      <c r="K476" s="748">
        <f t="shared" si="42"/>
        <v>0</v>
      </c>
      <c r="L476" s="753"/>
      <c r="M476" s="753"/>
      <c r="N476" s="753"/>
      <c r="O476" s="753"/>
      <c r="P476" s="756">
        <f t="shared" si="41"/>
        <v>0</v>
      </c>
      <c r="Q476" s="755"/>
      <c r="R476" s="750">
        <f t="shared" si="40"/>
        <v>0</v>
      </c>
    </row>
    <row r="477" spans="2:18" s="757" customFormat="1" outlineLevel="2" x14ac:dyDescent="0.2">
      <c r="B477" s="745" t="s">
        <v>4096</v>
      </c>
      <c r="C477" s="751" t="s">
        <v>2604</v>
      </c>
      <c r="D477" s="752" t="s">
        <v>246</v>
      </c>
      <c r="E477" s="753"/>
      <c r="F477" s="753"/>
      <c r="G477" s="753"/>
      <c r="H477" s="753"/>
      <c r="I477" s="754">
        <f t="shared" si="39"/>
        <v>0</v>
      </c>
      <c r="J477" s="755"/>
      <c r="K477" s="748">
        <f t="shared" si="42"/>
        <v>0</v>
      </c>
      <c r="L477" s="753"/>
      <c r="M477" s="753"/>
      <c r="N477" s="753"/>
      <c r="O477" s="753"/>
      <c r="P477" s="756">
        <f t="shared" si="41"/>
        <v>0</v>
      </c>
      <c r="Q477" s="755"/>
      <c r="R477" s="750">
        <f t="shared" si="40"/>
        <v>0</v>
      </c>
    </row>
    <row r="478" spans="2:18" s="757" customFormat="1" outlineLevel="2" x14ac:dyDescent="0.2">
      <c r="B478" s="745" t="s">
        <v>4097</v>
      </c>
      <c r="C478" s="751" t="s">
        <v>2605</v>
      </c>
      <c r="D478" s="752" t="s">
        <v>246</v>
      </c>
      <c r="E478" s="753"/>
      <c r="F478" s="753"/>
      <c r="G478" s="753"/>
      <c r="H478" s="753"/>
      <c r="I478" s="754">
        <f t="shared" si="39"/>
        <v>0</v>
      </c>
      <c r="J478" s="755"/>
      <c r="K478" s="748">
        <f t="shared" si="42"/>
        <v>0</v>
      </c>
      <c r="L478" s="753"/>
      <c r="M478" s="753"/>
      <c r="N478" s="753"/>
      <c r="O478" s="753"/>
      <c r="P478" s="756">
        <f t="shared" si="41"/>
        <v>0</v>
      </c>
      <c r="Q478" s="755"/>
      <c r="R478" s="750">
        <f t="shared" si="40"/>
        <v>0</v>
      </c>
    </row>
    <row r="479" spans="2:18" s="757" customFormat="1" outlineLevel="2" x14ac:dyDescent="0.2">
      <c r="B479" s="745" t="s">
        <v>4098</v>
      </c>
      <c r="C479" s="751" t="s">
        <v>2606</v>
      </c>
      <c r="D479" s="752" t="s">
        <v>246</v>
      </c>
      <c r="E479" s="753"/>
      <c r="F479" s="753"/>
      <c r="G479" s="753"/>
      <c r="H479" s="753"/>
      <c r="I479" s="754">
        <f t="shared" si="39"/>
        <v>0</v>
      </c>
      <c r="J479" s="755"/>
      <c r="K479" s="748">
        <f t="shared" si="42"/>
        <v>0</v>
      </c>
      <c r="L479" s="753"/>
      <c r="M479" s="753"/>
      <c r="N479" s="753"/>
      <c r="O479" s="753"/>
      <c r="P479" s="756">
        <f t="shared" si="41"/>
        <v>0</v>
      </c>
      <c r="Q479" s="755"/>
      <c r="R479" s="750">
        <f t="shared" si="40"/>
        <v>0</v>
      </c>
    </row>
    <row r="480" spans="2:18" s="757" customFormat="1" outlineLevel="2" x14ac:dyDescent="0.2">
      <c r="B480" s="745" t="s">
        <v>4099</v>
      </c>
      <c r="C480" s="751" t="s">
        <v>2607</v>
      </c>
      <c r="D480" s="752" t="s">
        <v>246</v>
      </c>
      <c r="E480" s="753"/>
      <c r="F480" s="753"/>
      <c r="G480" s="753"/>
      <c r="H480" s="753"/>
      <c r="I480" s="754">
        <f t="shared" si="39"/>
        <v>0</v>
      </c>
      <c r="J480" s="755"/>
      <c r="K480" s="748">
        <f t="shared" si="42"/>
        <v>0</v>
      </c>
      <c r="L480" s="753"/>
      <c r="M480" s="753"/>
      <c r="N480" s="753"/>
      <c r="O480" s="753"/>
      <c r="P480" s="756">
        <f t="shared" si="41"/>
        <v>0</v>
      </c>
      <c r="Q480" s="755"/>
      <c r="R480" s="750">
        <f t="shared" si="40"/>
        <v>0</v>
      </c>
    </row>
    <row r="481" spans="2:18" s="757" customFormat="1" outlineLevel="2" x14ac:dyDescent="0.2">
      <c r="B481" s="745" t="s">
        <v>4100</v>
      </c>
      <c r="C481" s="751" t="s">
        <v>2608</v>
      </c>
      <c r="D481" s="752" t="s">
        <v>246</v>
      </c>
      <c r="E481" s="753"/>
      <c r="F481" s="753"/>
      <c r="G481" s="753"/>
      <c r="H481" s="753"/>
      <c r="I481" s="754">
        <f t="shared" si="39"/>
        <v>0</v>
      </c>
      <c r="J481" s="755"/>
      <c r="K481" s="748">
        <f t="shared" si="42"/>
        <v>0</v>
      </c>
      <c r="L481" s="753"/>
      <c r="M481" s="753"/>
      <c r="N481" s="753"/>
      <c r="O481" s="753"/>
      <c r="P481" s="756">
        <f t="shared" si="41"/>
        <v>0</v>
      </c>
      <c r="Q481" s="755"/>
      <c r="R481" s="750">
        <f t="shared" si="40"/>
        <v>0</v>
      </c>
    </row>
    <row r="482" spans="2:18" s="757" customFormat="1" outlineLevel="2" x14ac:dyDescent="0.2">
      <c r="B482" s="745" t="s">
        <v>4101</v>
      </c>
      <c r="C482" s="751" t="s">
        <v>2609</v>
      </c>
      <c r="D482" s="752" t="s">
        <v>246</v>
      </c>
      <c r="E482" s="753"/>
      <c r="F482" s="753"/>
      <c r="G482" s="753"/>
      <c r="H482" s="753"/>
      <c r="I482" s="754">
        <f t="shared" si="39"/>
        <v>0</v>
      </c>
      <c r="J482" s="755"/>
      <c r="K482" s="748">
        <f t="shared" si="42"/>
        <v>0</v>
      </c>
      <c r="L482" s="753"/>
      <c r="M482" s="753"/>
      <c r="N482" s="753"/>
      <c r="O482" s="753"/>
      <c r="P482" s="756">
        <f t="shared" si="41"/>
        <v>0</v>
      </c>
      <c r="Q482" s="755"/>
      <c r="R482" s="750">
        <f t="shared" si="40"/>
        <v>0</v>
      </c>
    </row>
    <row r="483" spans="2:18" s="757" customFormat="1" outlineLevel="2" x14ac:dyDescent="0.2">
      <c r="B483" s="745" t="s">
        <v>4102</v>
      </c>
      <c r="C483" s="751" t="s">
        <v>2610</v>
      </c>
      <c r="D483" s="752" t="s">
        <v>246</v>
      </c>
      <c r="E483" s="753"/>
      <c r="F483" s="753"/>
      <c r="G483" s="753"/>
      <c r="H483" s="753"/>
      <c r="I483" s="754">
        <f t="shared" si="39"/>
        <v>0</v>
      </c>
      <c r="J483" s="755"/>
      <c r="K483" s="748">
        <f t="shared" si="42"/>
        <v>0</v>
      </c>
      <c r="L483" s="753"/>
      <c r="M483" s="753"/>
      <c r="N483" s="753"/>
      <c r="O483" s="753"/>
      <c r="P483" s="756">
        <f t="shared" si="41"/>
        <v>0</v>
      </c>
      <c r="Q483" s="755"/>
      <c r="R483" s="750">
        <f t="shared" si="40"/>
        <v>0</v>
      </c>
    </row>
    <row r="484" spans="2:18" s="757" customFormat="1" outlineLevel="2" x14ac:dyDescent="0.2">
      <c r="B484" s="745" t="s">
        <v>4103</v>
      </c>
      <c r="C484" s="751" t="s">
        <v>2611</v>
      </c>
      <c r="D484" s="752" t="s">
        <v>246</v>
      </c>
      <c r="E484" s="753"/>
      <c r="F484" s="753"/>
      <c r="G484" s="753"/>
      <c r="H484" s="753"/>
      <c r="I484" s="754">
        <f t="shared" si="39"/>
        <v>0</v>
      </c>
      <c r="J484" s="755"/>
      <c r="K484" s="748">
        <f t="shared" si="42"/>
        <v>0</v>
      </c>
      <c r="L484" s="753"/>
      <c r="M484" s="753"/>
      <c r="N484" s="753"/>
      <c r="O484" s="753"/>
      <c r="P484" s="756">
        <f t="shared" si="41"/>
        <v>0</v>
      </c>
      <c r="Q484" s="755"/>
      <c r="R484" s="750">
        <f t="shared" si="40"/>
        <v>0</v>
      </c>
    </row>
    <row r="485" spans="2:18" s="757" customFormat="1" outlineLevel="2" x14ac:dyDescent="0.2">
      <c r="B485" s="745" t="s">
        <v>4104</v>
      </c>
      <c r="C485" s="751" t="s">
        <v>2612</v>
      </c>
      <c r="D485" s="752" t="s">
        <v>246</v>
      </c>
      <c r="E485" s="753"/>
      <c r="F485" s="753"/>
      <c r="G485" s="753"/>
      <c r="H485" s="753"/>
      <c r="I485" s="754">
        <f t="shared" si="39"/>
        <v>0</v>
      </c>
      <c r="J485" s="755"/>
      <c r="K485" s="748">
        <f t="shared" si="42"/>
        <v>0</v>
      </c>
      <c r="L485" s="753"/>
      <c r="M485" s="753"/>
      <c r="N485" s="753"/>
      <c r="O485" s="753"/>
      <c r="P485" s="756">
        <f t="shared" si="41"/>
        <v>0</v>
      </c>
      <c r="Q485" s="755"/>
      <c r="R485" s="750">
        <f t="shared" si="40"/>
        <v>0</v>
      </c>
    </row>
    <row r="486" spans="2:18" s="757" customFormat="1" outlineLevel="2" x14ac:dyDescent="0.2">
      <c r="B486" s="745" t="s">
        <v>4105</v>
      </c>
      <c r="C486" s="751" t="s">
        <v>2613</v>
      </c>
      <c r="D486" s="752" t="s">
        <v>246</v>
      </c>
      <c r="E486" s="753"/>
      <c r="F486" s="753"/>
      <c r="G486" s="753"/>
      <c r="H486" s="753"/>
      <c r="I486" s="754">
        <f t="shared" si="39"/>
        <v>0</v>
      </c>
      <c r="J486" s="755"/>
      <c r="K486" s="748">
        <f t="shared" si="42"/>
        <v>0</v>
      </c>
      <c r="L486" s="753"/>
      <c r="M486" s="753"/>
      <c r="N486" s="753"/>
      <c r="O486" s="753"/>
      <c r="P486" s="756">
        <f t="shared" si="41"/>
        <v>0</v>
      </c>
      <c r="Q486" s="755"/>
      <c r="R486" s="750">
        <f t="shared" si="40"/>
        <v>0</v>
      </c>
    </row>
    <row r="487" spans="2:18" s="757" customFormat="1" outlineLevel="2" x14ac:dyDescent="0.2">
      <c r="B487" s="745" t="s">
        <v>4106</v>
      </c>
      <c r="C487" s="751" t="s">
        <v>2614</v>
      </c>
      <c r="D487" s="752" t="s">
        <v>246</v>
      </c>
      <c r="E487" s="753"/>
      <c r="F487" s="753"/>
      <c r="G487" s="753"/>
      <c r="H487" s="753"/>
      <c r="I487" s="754">
        <f t="shared" si="39"/>
        <v>0</v>
      </c>
      <c r="J487" s="755"/>
      <c r="K487" s="748">
        <f t="shared" si="42"/>
        <v>0</v>
      </c>
      <c r="L487" s="753"/>
      <c r="M487" s="753"/>
      <c r="N487" s="753"/>
      <c r="O487" s="753"/>
      <c r="P487" s="756">
        <f t="shared" si="41"/>
        <v>0</v>
      </c>
      <c r="Q487" s="755"/>
      <c r="R487" s="750">
        <f t="shared" si="40"/>
        <v>0</v>
      </c>
    </row>
    <row r="488" spans="2:18" s="757" customFormat="1" outlineLevel="2" x14ac:dyDescent="0.2">
      <c r="B488" s="745" t="s">
        <v>4107</v>
      </c>
      <c r="C488" s="751" t="s">
        <v>2615</v>
      </c>
      <c r="D488" s="752" t="s">
        <v>246</v>
      </c>
      <c r="E488" s="753"/>
      <c r="F488" s="753"/>
      <c r="G488" s="753"/>
      <c r="H488" s="753"/>
      <c r="I488" s="754">
        <f t="shared" si="39"/>
        <v>0</v>
      </c>
      <c r="J488" s="755"/>
      <c r="K488" s="748">
        <f t="shared" si="42"/>
        <v>0</v>
      </c>
      <c r="L488" s="753"/>
      <c r="M488" s="753"/>
      <c r="N488" s="753"/>
      <c r="O488" s="753"/>
      <c r="P488" s="756">
        <f t="shared" si="41"/>
        <v>0</v>
      </c>
      <c r="Q488" s="755"/>
      <c r="R488" s="750">
        <f t="shared" si="40"/>
        <v>0</v>
      </c>
    </row>
    <row r="489" spans="2:18" s="757" customFormat="1" outlineLevel="2" x14ac:dyDescent="0.2">
      <c r="B489" s="745" t="s">
        <v>4108</v>
      </c>
      <c r="C489" s="751" t="s">
        <v>2616</v>
      </c>
      <c r="D489" s="752" t="s">
        <v>246</v>
      </c>
      <c r="E489" s="753"/>
      <c r="F489" s="753"/>
      <c r="G489" s="753"/>
      <c r="H489" s="753"/>
      <c r="I489" s="754">
        <f t="shared" si="39"/>
        <v>0</v>
      </c>
      <c r="J489" s="755"/>
      <c r="K489" s="748">
        <f t="shared" si="42"/>
        <v>0</v>
      </c>
      <c r="L489" s="753"/>
      <c r="M489" s="753"/>
      <c r="N489" s="753"/>
      <c r="O489" s="753"/>
      <c r="P489" s="756">
        <f t="shared" si="41"/>
        <v>0</v>
      </c>
      <c r="Q489" s="755"/>
      <c r="R489" s="750">
        <f t="shared" si="40"/>
        <v>0</v>
      </c>
    </row>
    <row r="490" spans="2:18" s="757" customFormat="1" outlineLevel="2" x14ac:dyDescent="0.2">
      <c r="B490" s="745" t="s">
        <v>4109</v>
      </c>
      <c r="C490" s="751" t="s">
        <v>2617</v>
      </c>
      <c r="D490" s="752" t="s">
        <v>246</v>
      </c>
      <c r="E490" s="753"/>
      <c r="F490" s="753"/>
      <c r="G490" s="753"/>
      <c r="H490" s="753"/>
      <c r="I490" s="754">
        <f t="shared" si="39"/>
        <v>0</v>
      </c>
      <c r="J490" s="755"/>
      <c r="K490" s="748">
        <f t="shared" si="42"/>
        <v>0</v>
      </c>
      <c r="L490" s="753"/>
      <c r="M490" s="753"/>
      <c r="N490" s="753"/>
      <c r="O490" s="753"/>
      <c r="P490" s="756">
        <f t="shared" si="41"/>
        <v>0</v>
      </c>
      <c r="Q490" s="755"/>
      <c r="R490" s="750">
        <f t="shared" si="40"/>
        <v>0</v>
      </c>
    </row>
    <row r="491" spans="2:18" s="757" customFormat="1" outlineLevel="2" x14ac:dyDescent="0.2">
      <c r="B491" s="745" t="s">
        <v>4110</v>
      </c>
      <c r="C491" s="751" t="s">
        <v>2618</v>
      </c>
      <c r="D491" s="752" t="s">
        <v>246</v>
      </c>
      <c r="E491" s="753"/>
      <c r="F491" s="753"/>
      <c r="G491" s="753"/>
      <c r="H491" s="753"/>
      <c r="I491" s="754">
        <f t="shared" si="39"/>
        <v>0</v>
      </c>
      <c r="J491" s="755"/>
      <c r="K491" s="748">
        <f t="shared" si="42"/>
        <v>0</v>
      </c>
      <c r="L491" s="753"/>
      <c r="M491" s="753"/>
      <c r="N491" s="753"/>
      <c r="O491" s="753"/>
      <c r="P491" s="756">
        <f t="shared" si="41"/>
        <v>0</v>
      </c>
      <c r="Q491" s="755"/>
      <c r="R491" s="750">
        <f t="shared" si="40"/>
        <v>0</v>
      </c>
    </row>
    <row r="492" spans="2:18" s="757" customFormat="1" outlineLevel="2" x14ac:dyDescent="0.2">
      <c r="B492" s="745" t="s">
        <v>4111</v>
      </c>
      <c r="C492" s="751" t="s">
        <v>2619</v>
      </c>
      <c r="D492" s="752" t="s">
        <v>246</v>
      </c>
      <c r="E492" s="753"/>
      <c r="F492" s="753"/>
      <c r="G492" s="753"/>
      <c r="H492" s="753"/>
      <c r="I492" s="754">
        <f t="shared" si="39"/>
        <v>0</v>
      </c>
      <c r="J492" s="755"/>
      <c r="K492" s="748">
        <f t="shared" si="42"/>
        <v>0</v>
      </c>
      <c r="L492" s="753"/>
      <c r="M492" s="753"/>
      <c r="N492" s="753"/>
      <c r="O492" s="753"/>
      <c r="P492" s="756">
        <f t="shared" si="41"/>
        <v>0</v>
      </c>
      <c r="Q492" s="755"/>
      <c r="R492" s="750">
        <f t="shared" si="40"/>
        <v>0</v>
      </c>
    </row>
    <row r="493" spans="2:18" s="744" customFormat="1" x14ac:dyDescent="0.2">
      <c r="B493" s="745" t="s">
        <v>4112</v>
      </c>
      <c r="C493" s="758">
        <v>5</v>
      </c>
      <c r="D493" s="150" t="s">
        <v>247</v>
      </c>
      <c r="E493" s="759">
        <f t="shared" ref="E493:R493" si="43">E494+E545</f>
        <v>0</v>
      </c>
      <c r="F493" s="759">
        <f t="shared" si="43"/>
        <v>0</v>
      </c>
      <c r="G493" s="759">
        <f t="shared" si="43"/>
        <v>0</v>
      </c>
      <c r="H493" s="759">
        <f t="shared" si="43"/>
        <v>0</v>
      </c>
      <c r="I493" s="760">
        <f t="shared" si="43"/>
        <v>0</v>
      </c>
      <c r="J493" s="761">
        <f t="shared" si="43"/>
        <v>0</v>
      </c>
      <c r="K493" s="760">
        <f t="shared" si="43"/>
        <v>0</v>
      </c>
      <c r="L493" s="759">
        <f t="shared" si="43"/>
        <v>0</v>
      </c>
      <c r="M493" s="759">
        <f t="shared" si="43"/>
        <v>0</v>
      </c>
      <c r="N493" s="759">
        <f t="shared" si="43"/>
        <v>0</v>
      </c>
      <c r="O493" s="759">
        <f t="shared" si="43"/>
        <v>0</v>
      </c>
      <c r="P493" s="762">
        <f t="shared" si="43"/>
        <v>0</v>
      </c>
      <c r="Q493" s="761">
        <f t="shared" si="43"/>
        <v>0</v>
      </c>
      <c r="R493" s="763">
        <f t="shared" si="43"/>
        <v>0</v>
      </c>
    </row>
    <row r="494" spans="2:18" s="734" customFormat="1" outlineLevel="1" x14ac:dyDescent="0.2">
      <c r="B494" s="745" t="s">
        <v>4113</v>
      </c>
      <c r="C494" s="746">
        <v>5.0999999999999996</v>
      </c>
      <c r="D494" s="131" t="s">
        <v>247</v>
      </c>
      <c r="E494" s="747">
        <f t="shared" ref="E494:Q494" si="44">SUM(E495:E544)</f>
        <v>0</v>
      </c>
      <c r="F494" s="747">
        <f t="shared" si="44"/>
        <v>0</v>
      </c>
      <c r="G494" s="747">
        <f t="shared" si="44"/>
        <v>0</v>
      </c>
      <c r="H494" s="747">
        <f t="shared" si="44"/>
        <v>0</v>
      </c>
      <c r="I494" s="748">
        <f t="shared" si="44"/>
        <v>0</v>
      </c>
      <c r="J494" s="747">
        <f t="shared" si="44"/>
        <v>0</v>
      </c>
      <c r="K494" s="748">
        <f t="shared" si="42"/>
        <v>0</v>
      </c>
      <c r="L494" s="747">
        <f t="shared" si="44"/>
        <v>0</v>
      </c>
      <c r="M494" s="747">
        <f t="shared" si="44"/>
        <v>0</v>
      </c>
      <c r="N494" s="747">
        <f t="shared" si="44"/>
        <v>0</v>
      </c>
      <c r="O494" s="747">
        <f t="shared" si="44"/>
        <v>0</v>
      </c>
      <c r="P494" s="749">
        <f t="shared" si="44"/>
        <v>0</v>
      </c>
      <c r="Q494" s="747">
        <f t="shared" si="44"/>
        <v>0</v>
      </c>
      <c r="R494" s="750">
        <f t="shared" ref="R494:R557" si="45">P494-Q494</f>
        <v>0</v>
      </c>
    </row>
    <row r="495" spans="2:18" s="757" customFormat="1" outlineLevel="2" x14ac:dyDescent="0.2">
      <c r="B495" s="745" t="s">
        <v>4114</v>
      </c>
      <c r="C495" s="751" t="s">
        <v>1724</v>
      </c>
      <c r="D495" s="752" t="s">
        <v>246</v>
      </c>
      <c r="E495" s="753"/>
      <c r="F495" s="753"/>
      <c r="G495" s="753"/>
      <c r="H495" s="753"/>
      <c r="I495" s="754">
        <f t="shared" ref="I495:I544" si="46">SUM(E495:H495)</f>
        <v>0</v>
      </c>
      <c r="J495" s="753"/>
      <c r="K495" s="748">
        <f t="shared" si="42"/>
        <v>0</v>
      </c>
      <c r="L495" s="753"/>
      <c r="M495" s="753"/>
      <c r="N495" s="753"/>
      <c r="O495" s="753"/>
      <c r="P495" s="756">
        <f t="shared" ref="P495:P544" si="47">SUM(L495:O495)</f>
        <v>0</v>
      </c>
      <c r="Q495" s="753"/>
      <c r="R495" s="750">
        <f t="shared" si="45"/>
        <v>0</v>
      </c>
    </row>
    <row r="496" spans="2:18" s="757" customFormat="1" outlineLevel="2" x14ac:dyDescent="0.2">
      <c r="B496" s="745" t="s">
        <v>4115</v>
      </c>
      <c r="C496" s="751" t="s">
        <v>1725</v>
      </c>
      <c r="D496" s="752" t="s">
        <v>246</v>
      </c>
      <c r="E496" s="753"/>
      <c r="F496" s="753"/>
      <c r="G496" s="753"/>
      <c r="H496" s="753"/>
      <c r="I496" s="754">
        <f t="shared" si="46"/>
        <v>0</v>
      </c>
      <c r="J496" s="753"/>
      <c r="K496" s="748">
        <f t="shared" si="42"/>
        <v>0</v>
      </c>
      <c r="L496" s="753"/>
      <c r="M496" s="753"/>
      <c r="N496" s="753"/>
      <c r="O496" s="753"/>
      <c r="P496" s="756">
        <f t="shared" si="47"/>
        <v>0</v>
      </c>
      <c r="Q496" s="753"/>
      <c r="R496" s="750">
        <f t="shared" si="45"/>
        <v>0</v>
      </c>
    </row>
    <row r="497" spans="2:18" s="757" customFormat="1" outlineLevel="2" x14ac:dyDescent="0.2">
      <c r="B497" s="745" t="s">
        <v>4116</v>
      </c>
      <c r="C497" s="751" t="s">
        <v>1726</v>
      </c>
      <c r="D497" s="752" t="s">
        <v>246</v>
      </c>
      <c r="E497" s="753"/>
      <c r="F497" s="753"/>
      <c r="G497" s="753"/>
      <c r="H497" s="753"/>
      <c r="I497" s="754">
        <f t="shared" si="46"/>
        <v>0</v>
      </c>
      <c r="J497" s="753"/>
      <c r="K497" s="748">
        <f t="shared" si="42"/>
        <v>0</v>
      </c>
      <c r="L497" s="753"/>
      <c r="M497" s="753"/>
      <c r="N497" s="753"/>
      <c r="O497" s="753"/>
      <c r="P497" s="756">
        <f t="shared" si="47"/>
        <v>0</v>
      </c>
      <c r="Q497" s="753"/>
      <c r="R497" s="750">
        <f t="shared" si="45"/>
        <v>0</v>
      </c>
    </row>
    <row r="498" spans="2:18" s="757" customFormat="1" outlineLevel="2" x14ac:dyDescent="0.2">
      <c r="B498" s="745" t="s">
        <v>4117</v>
      </c>
      <c r="C498" s="751" t="s">
        <v>1727</v>
      </c>
      <c r="D498" s="752" t="s">
        <v>246</v>
      </c>
      <c r="E498" s="753"/>
      <c r="F498" s="753"/>
      <c r="G498" s="753"/>
      <c r="H498" s="753"/>
      <c r="I498" s="754">
        <f t="shared" si="46"/>
        <v>0</v>
      </c>
      <c r="J498" s="753"/>
      <c r="K498" s="748">
        <f t="shared" si="42"/>
        <v>0</v>
      </c>
      <c r="L498" s="753"/>
      <c r="M498" s="753"/>
      <c r="N498" s="753"/>
      <c r="O498" s="753"/>
      <c r="P498" s="756">
        <f t="shared" si="47"/>
        <v>0</v>
      </c>
      <c r="Q498" s="753"/>
      <c r="R498" s="750">
        <f t="shared" si="45"/>
        <v>0</v>
      </c>
    </row>
    <row r="499" spans="2:18" s="757" customFormat="1" outlineLevel="2" x14ac:dyDescent="0.2">
      <c r="B499" s="745" t="s">
        <v>4118</v>
      </c>
      <c r="C499" s="751" t="s">
        <v>1728</v>
      </c>
      <c r="D499" s="752" t="s">
        <v>246</v>
      </c>
      <c r="E499" s="753"/>
      <c r="F499" s="753"/>
      <c r="G499" s="753"/>
      <c r="H499" s="753"/>
      <c r="I499" s="754">
        <f t="shared" si="46"/>
        <v>0</v>
      </c>
      <c r="J499" s="753"/>
      <c r="K499" s="748">
        <f t="shared" si="42"/>
        <v>0</v>
      </c>
      <c r="L499" s="753"/>
      <c r="M499" s="753"/>
      <c r="N499" s="753"/>
      <c r="O499" s="753"/>
      <c r="P499" s="756">
        <f t="shared" si="47"/>
        <v>0</v>
      </c>
      <c r="Q499" s="753"/>
      <c r="R499" s="750">
        <f t="shared" si="45"/>
        <v>0</v>
      </c>
    </row>
    <row r="500" spans="2:18" s="757" customFormat="1" outlineLevel="2" x14ac:dyDescent="0.2">
      <c r="B500" s="745" t="s">
        <v>4119</v>
      </c>
      <c r="C500" s="751" t="s">
        <v>1729</v>
      </c>
      <c r="D500" s="752" t="s">
        <v>246</v>
      </c>
      <c r="E500" s="753"/>
      <c r="F500" s="753"/>
      <c r="G500" s="753"/>
      <c r="H500" s="753"/>
      <c r="I500" s="754">
        <f t="shared" si="46"/>
        <v>0</v>
      </c>
      <c r="J500" s="753"/>
      <c r="K500" s="748">
        <f t="shared" si="42"/>
        <v>0</v>
      </c>
      <c r="L500" s="753"/>
      <c r="M500" s="753"/>
      <c r="N500" s="753"/>
      <c r="O500" s="753"/>
      <c r="P500" s="756">
        <f t="shared" si="47"/>
        <v>0</v>
      </c>
      <c r="Q500" s="753"/>
      <c r="R500" s="750">
        <f t="shared" si="45"/>
        <v>0</v>
      </c>
    </row>
    <row r="501" spans="2:18" s="757" customFormat="1" outlineLevel="2" x14ac:dyDescent="0.2">
      <c r="B501" s="745" t="s">
        <v>4120</v>
      </c>
      <c r="C501" s="751" t="s">
        <v>1730</v>
      </c>
      <c r="D501" s="752" t="s">
        <v>246</v>
      </c>
      <c r="E501" s="753"/>
      <c r="F501" s="753"/>
      <c r="G501" s="753"/>
      <c r="H501" s="753"/>
      <c r="I501" s="754">
        <f t="shared" si="46"/>
        <v>0</v>
      </c>
      <c r="J501" s="753"/>
      <c r="K501" s="748">
        <f t="shared" si="42"/>
        <v>0</v>
      </c>
      <c r="L501" s="753"/>
      <c r="M501" s="753"/>
      <c r="N501" s="753"/>
      <c r="O501" s="753"/>
      <c r="P501" s="756">
        <f t="shared" si="47"/>
        <v>0</v>
      </c>
      <c r="Q501" s="753"/>
      <c r="R501" s="750">
        <f t="shared" si="45"/>
        <v>0</v>
      </c>
    </row>
    <row r="502" spans="2:18" s="757" customFormat="1" outlineLevel="2" x14ac:dyDescent="0.2">
      <c r="B502" s="745" t="s">
        <v>4121</v>
      </c>
      <c r="C502" s="751" t="s">
        <v>1731</v>
      </c>
      <c r="D502" s="752" t="s">
        <v>246</v>
      </c>
      <c r="E502" s="753"/>
      <c r="F502" s="753"/>
      <c r="G502" s="753"/>
      <c r="H502" s="753"/>
      <c r="I502" s="754">
        <f t="shared" si="46"/>
        <v>0</v>
      </c>
      <c r="J502" s="753"/>
      <c r="K502" s="748">
        <f t="shared" si="42"/>
        <v>0</v>
      </c>
      <c r="L502" s="753"/>
      <c r="M502" s="753"/>
      <c r="N502" s="753"/>
      <c r="O502" s="753"/>
      <c r="P502" s="756">
        <f t="shared" si="47"/>
        <v>0</v>
      </c>
      <c r="Q502" s="753"/>
      <c r="R502" s="750">
        <f t="shared" si="45"/>
        <v>0</v>
      </c>
    </row>
    <row r="503" spans="2:18" s="757" customFormat="1" outlineLevel="2" x14ac:dyDescent="0.2">
      <c r="B503" s="745" t="s">
        <v>4122</v>
      </c>
      <c r="C503" s="751" t="s">
        <v>1732</v>
      </c>
      <c r="D503" s="752" t="s">
        <v>246</v>
      </c>
      <c r="E503" s="753"/>
      <c r="F503" s="753"/>
      <c r="G503" s="753"/>
      <c r="H503" s="753"/>
      <c r="I503" s="754">
        <f t="shared" si="46"/>
        <v>0</v>
      </c>
      <c r="J503" s="753"/>
      <c r="K503" s="748">
        <f t="shared" si="42"/>
        <v>0</v>
      </c>
      <c r="L503" s="753"/>
      <c r="M503" s="753"/>
      <c r="N503" s="753"/>
      <c r="O503" s="753"/>
      <c r="P503" s="756">
        <f t="shared" si="47"/>
        <v>0</v>
      </c>
      <c r="Q503" s="753"/>
      <c r="R503" s="750">
        <f t="shared" si="45"/>
        <v>0</v>
      </c>
    </row>
    <row r="504" spans="2:18" s="757" customFormat="1" outlineLevel="2" x14ac:dyDescent="0.2">
      <c r="B504" s="745" t="s">
        <v>4123</v>
      </c>
      <c r="C504" s="751" t="s">
        <v>1733</v>
      </c>
      <c r="D504" s="752" t="s">
        <v>246</v>
      </c>
      <c r="E504" s="753"/>
      <c r="F504" s="753"/>
      <c r="G504" s="753"/>
      <c r="H504" s="753"/>
      <c r="I504" s="754">
        <f t="shared" si="46"/>
        <v>0</v>
      </c>
      <c r="J504" s="753"/>
      <c r="K504" s="748">
        <f t="shared" si="42"/>
        <v>0</v>
      </c>
      <c r="L504" s="753"/>
      <c r="M504" s="753"/>
      <c r="N504" s="753"/>
      <c r="O504" s="753"/>
      <c r="P504" s="756">
        <f t="shared" si="47"/>
        <v>0</v>
      </c>
      <c r="Q504" s="753"/>
      <c r="R504" s="750">
        <f t="shared" si="45"/>
        <v>0</v>
      </c>
    </row>
    <row r="505" spans="2:18" s="757" customFormat="1" outlineLevel="2" x14ac:dyDescent="0.2">
      <c r="B505" s="745" t="s">
        <v>4124</v>
      </c>
      <c r="C505" s="751" t="s">
        <v>1734</v>
      </c>
      <c r="D505" s="752" t="s">
        <v>246</v>
      </c>
      <c r="E505" s="753"/>
      <c r="F505" s="753"/>
      <c r="G505" s="753"/>
      <c r="H505" s="753"/>
      <c r="I505" s="754">
        <f t="shared" si="46"/>
        <v>0</v>
      </c>
      <c r="J505" s="753"/>
      <c r="K505" s="748">
        <f t="shared" si="42"/>
        <v>0</v>
      </c>
      <c r="L505" s="753"/>
      <c r="M505" s="753"/>
      <c r="N505" s="753"/>
      <c r="O505" s="753"/>
      <c r="P505" s="756">
        <f t="shared" si="47"/>
        <v>0</v>
      </c>
      <c r="Q505" s="753"/>
      <c r="R505" s="750">
        <f t="shared" si="45"/>
        <v>0</v>
      </c>
    </row>
    <row r="506" spans="2:18" s="757" customFormat="1" outlineLevel="2" x14ac:dyDescent="0.2">
      <c r="B506" s="745" t="s">
        <v>4125</v>
      </c>
      <c r="C506" s="751" t="s">
        <v>1735</v>
      </c>
      <c r="D506" s="752" t="s">
        <v>246</v>
      </c>
      <c r="E506" s="753"/>
      <c r="F506" s="753"/>
      <c r="G506" s="753"/>
      <c r="H506" s="753"/>
      <c r="I506" s="754">
        <f t="shared" si="46"/>
        <v>0</v>
      </c>
      <c r="J506" s="753"/>
      <c r="K506" s="748">
        <f t="shared" si="42"/>
        <v>0</v>
      </c>
      <c r="L506" s="753"/>
      <c r="M506" s="753"/>
      <c r="N506" s="753"/>
      <c r="O506" s="753"/>
      <c r="P506" s="756">
        <f t="shared" si="47"/>
        <v>0</v>
      </c>
      <c r="Q506" s="753"/>
      <c r="R506" s="750">
        <f t="shared" si="45"/>
        <v>0</v>
      </c>
    </row>
    <row r="507" spans="2:18" s="757" customFormat="1" outlineLevel="2" x14ac:dyDescent="0.2">
      <c r="B507" s="745" t="s">
        <v>4126</v>
      </c>
      <c r="C507" s="751" t="s">
        <v>1736</v>
      </c>
      <c r="D507" s="752" t="s">
        <v>246</v>
      </c>
      <c r="E507" s="753"/>
      <c r="F507" s="753"/>
      <c r="G507" s="753"/>
      <c r="H507" s="753"/>
      <c r="I507" s="754">
        <f t="shared" si="46"/>
        <v>0</v>
      </c>
      <c r="J507" s="753"/>
      <c r="K507" s="748">
        <f t="shared" si="42"/>
        <v>0</v>
      </c>
      <c r="L507" s="753"/>
      <c r="M507" s="753"/>
      <c r="N507" s="753"/>
      <c r="O507" s="753"/>
      <c r="P507" s="756">
        <f t="shared" si="47"/>
        <v>0</v>
      </c>
      <c r="Q507" s="753"/>
      <c r="R507" s="750">
        <f t="shared" si="45"/>
        <v>0</v>
      </c>
    </row>
    <row r="508" spans="2:18" s="757" customFormat="1" outlineLevel="2" x14ac:dyDescent="0.2">
      <c r="B508" s="745" t="s">
        <v>4127</v>
      </c>
      <c r="C508" s="751" t="s">
        <v>1737</v>
      </c>
      <c r="D508" s="752" t="s">
        <v>246</v>
      </c>
      <c r="E508" s="753"/>
      <c r="F508" s="753"/>
      <c r="G508" s="753"/>
      <c r="H508" s="753"/>
      <c r="I508" s="754">
        <f t="shared" si="46"/>
        <v>0</v>
      </c>
      <c r="J508" s="753"/>
      <c r="K508" s="748">
        <f t="shared" si="42"/>
        <v>0</v>
      </c>
      <c r="L508" s="753"/>
      <c r="M508" s="753"/>
      <c r="N508" s="753"/>
      <c r="O508" s="753"/>
      <c r="P508" s="756">
        <f t="shared" si="47"/>
        <v>0</v>
      </c>
      <c r="Q508" s="753"/>
      <c r="R508" s="750">
        <f t="shared" si="45"/>
        <v>0</v>
      </c>
    </row>
    <row r="509" spans="2:18" s="757" customFormat="1" outlineLevel="2" x14ac:dyDescent="0.2">
      <c r="B509" s="745" t="s">
        <v>4128</v>
      </c>
      <c r="C509" s="751" t="s">
        <v>1738</v>
      </c>
      <c r="D509" s="752" t="s">
        <v>246</v>
      </c>
      <c r="E509" s="753"/>
      <c r="F509" s="753"/>
      <c r="G509" s="753"/>
      <c r="H509" s="753"/>
      <c r="I509" s="754">
        <f t="shared" si="46"/>
        <v>0</v>
      </c>
      <c r="J509" s="753"/>
      <c r="K509" s="748">
        <f t="shared" si="42"/>
        <v>0</v>
      </c>
      <c r="L509" s="753"/>
      <c r="M509" s="753"/>
      <c r="N509" s="753"/>
      <c r="O509" s="753"/>
      <c r="P509" s="756">
        <f t="shared" si="47"/>
        <v>0</v>
      </c>
      <c r="Q509" s="753"/>
      <c r="R509" s="750">
        <f t="shared" si="45"/>
        <v>0</v>
      </c>
    </row>
    <row r="510" spans="2:18" s="757" customFormat="1" outlineLevel="2" x14ac:dyDescent="0.2">
      <c r="B510" s="745" t="s">
        <v>4129</v>
      </c>
      <c r="C510" s="751" t="s">
        <v>1739</v>
      </c>
      <c r="D510" s="752" t="s">
        <v>246</v>
      </c>
      <c r="E510" s="753"/>
      <c r="F510" s="753"/>
      <c r="G510" s="753"/>
      <c r="H510" s="753"/>
      <c r="I510" s="754">
        <f t="shared" si="46"/>
        <v>0</v>
      </c>
      <c r="J510" s="753"/>
      <c r="K510" s="748">
        <f t="shared" si="42"/>
        <v>0</v>
      </c>
      <c r="L510" s="753"/>
      <c r="M510" s="753"/>
      <c r="N510" s="753"/>
      <c r="O510" s="753"/>
      <c r="P510" s="756">
        <f t="shared" si="47"/>
        <v>0</v>
      </c>
      <c r="Q510" s="753"/>
      <c r="R510" s="750">
        <f t="shared" si="45"/>
        <v>0</v>
      </c>
    </row>
    <row r="511" spans="2:18" s="757" customFormat="1" outlineLevel="2" x14ac:dyDescent="0.2">
      <c r="B511" s="745" t="s">
        <v>4130</v>
      </c>
      <c r="C511" s="751" t="s">
        <v>1740</v>
      </c>
      <c r="D511" s="752" t="s">
        <v>246</v>
      </c>
      <c r="E511" s="753"/>
      <c r="F511" s="753"/>
      <c r="G511" s="753"/>
      <c r="H511" s="753"/>
      <c r="I511" s="754">
        <f t="shared" si="46"/>
        <v>0</v>
      </c>
      <c r="J511" s="753"/>
      <c r="K511" s="748">
        <f t="shared" si="42"/>
        <v>0</v>
      </c>
      <c r="L511" s="753"/>
      <c r="M511" s="753"/>
      <c r="N511" s="753"/>
      <c r="O511" s="753"/>
      <c r="P511" s="756">
        <f t="shared" si="47"/>
        <v>0</v>
      </c>
      <c r="Q511" s="753"/>
      <c r="R511" s="750">
        <f t="shared" si="45"/>
        <v>0</v>
      </c>
    </row>
    <row r="512" spans="2:18" s="757" customFormat="1" outlineLevel="2" x14ac:dyDescent="0.2">
      <c r="B512" s="745" t="s">
        <v>4131</v>
      </c>
      <c r="C512" s="751" t="s">
        <v>1741</v>
      </c>
      <c r="D512" s="752" t="s">
        <v>246</v>
      </c>
      <c r="E512" s="753"/>
      <c r="F512" s="753"/>
      <c r="G512" s="753"/>
      <c r="H512" s="753"/>
      <c r="I512" s="754">
        <f t="shared" si="46"/>
        <v>0</v>
      </c>
      <c r="J512" s="753"/>
      <c r="K512" s="748">
        <f t="shared" si="42"/>
        <v>0</v>
      </c>
      <c r="L512" s="753"/>
      <c r="M512" s="753"/>
      <c r="N512" s="753"/>
      <c r="O512" s="753"/>
      <c r="P512" s="756">
        <f t="shared" si="47"/>
        <v>0</v>
      </c>
      <c r="Q512" s="753"/>
      <c r="R512" s="750">
        <f t="shared" si="45"/>
        <v>0</v>
      </c>
    </row>
    <row r="513" spans="2:18" s="757" customFormat="1" outlineLevel="2" x14ac:dyDescent="0.2">
      <c r="B513" s="745" t="s">
        <v>4132</v>
      </c>
      <c r="C513" s="751" t="s">
        <v>1742</v>
      </c>
      <c r="D513" s="752" t="s">
        <v>246</v>
      </c>
      <c r="E513" s="753"/>
      <c r="F513" s="753"/>
      <c r="G513" s="753"/>
      <c r="H513" s="753"/>
      <c r="I513" s="754">
        <f t="shared" si="46"/>
        <v>0</v>
      </c>
      <c r="J513" s="753"/>
      <c r="K513" s="748">
        <f t="shared" si="42"/>
        <v>0</v>
      </c>
      <c r="L513" s="753"/>
      <c r="M513" s="753"/>
      <c r="N513" s="753"/>
      <c r="O513" s="753"/>
      <c r="P513" s="756">
        <f t="shared" si="47"/>
        <v>0</v>
      </c>
      <c r="Q513" s="753"/>
      <c r="R513" s="750">
        <f t="shared" si="45"/>
        <v>0</v>
      </c>
    </row>
    <row r="514" spans="2:18" s="757" customFormat="1" outlineLevel="2" x14ac:dyDescent="0.2">
      <c r="B514" s="745" t="s">
        <v>4133</v>
      </c>
      <c r="C514" s="751" t="s">
        <v>1743</v>
      </c>
      <c r="D514" s="752" t="s">
        <v>246</v>
      </c>
      <c r="E514" s="753"/>
      <c r="F514" s="753"/>
      <c r="G514" s="753"/>
      <c r="H514" s="753"/>
      <c r="I514" s="754">
        <f t="shared" si="46"/>
        <v>0</v>
      </c>
      <c r="J514" s="753"/>
      <c r="K514" s="748">
        <f t="shared" si="42"/>
        <v>0</v>
      </c>
      <c r="L514" s="753"/>
      <c r="M514" s="753"/>
      <c r="N514" s="753"/>
      <c r="O514" s="753"/>
      <c r="P514" s="756">
        <f t="shared" si="47"/>
        <v>0</v>
      </c>
      <c r="Q514" s="753"/>
      <c r="R514" s="750">
        <f t="shared" si="45"/>
        <v>0</v>
      </c>
    </row>
    <row r="515" spans="2:18" s="757" customFormat="1" outlineLevel="2" x14ac:dyDescent="0.2">
      <c r="B515" s="745" t="s">
        <v>4134</v>
      </c>
      <c r="C515" s="751" t="s">
        <v>2620</v>
      </c>
      <c r="D515" s="752" t="s">
        <v>246</v>
      </c>
      <c r="E515" s="753"/>
      <c r="F515" s="753"/>
      <c r="G515" s="753"/>
      <c r="H515" s="753"/>
      <c r="I515" s="754">
        <f t="shared" si="46"/>
        <v>0</v>
      </c>
      <c r="J515" s="753"/>
      <c r="K515" s="748">
        <f t="shared" si="42"/>
        <v>0</v>
      </c>
      <c r="L515" s="753"/>
      <c r="M515" s="753"/>
      <c r="N515" s="753"/>
      <c r="O515" s="753"/>
      <c r="P515" s="756">
        <f t="shared" si="47"/>
        <v>0</v>
      </c>
      <c r="Q515" s="753"/>
      <c r="R515" s="750">
        <f t="shared" si="45"/>
        <v>0</v>
      </c>
    </row>
    <row r="516" spans="2:18" s="757" customFormat="1" outlineLevel="2" x14ac:dyDescent="0.2">
      <c r="B516" s="745" t="s">
        <v>4135</v>
      </c>
      <c r="C516" s="751" t="s">
        <v>2621</v>
      </c>
      <c r="D516" s="752" t="s">
        <v>246</v>
      </c>
      <c r="E516" s="753"/>
      <c r="F516" s="753"/>
      <c r="G516" s="753"/>
      <c r="H516" s="753"/>
      <c r="I516" s="754">
        <f t="shared" si="46"/>
        <v>0</v>
      </c>
      <c r="J516" s="753"/>
      <c r="K516" s="748">
        <f t="shared" si="42"/>
        <v>0</v>
      </c>
      <c r="L516" s="753"/>
      <c r="M516" s="753"/>
      <c r="N516" s="753"/>
      <c r="O516" s="753"/>
      <c r="P516" s="756">
        <f t="shared" si="47"/>
        <v>0</v>
      </c>
      <c r="Q516" s="753"/>
      <c r="R516" s="750">
        <f t="shared" si="45"/>
        <v>0</v>
      </c>
    </row>
    <row r="517" spans="2:18" s="757" customFormat="1" outlineLevel="2" x14ac:dyDescent="0.2">
      <c r="B517" s="745" t="s">
        <v>4136</v>
      </c>
      <c r="C517" s="751" t="s">
        <v>2622</v>
      </c>
      <c r="D517" s="752" t="s">
        <v>246</v>
      </c>
      <c r="E517" s="753"/>
      <c r="F517" s="753"/>
      <c r="G517" s="753"/>
      <c r="H517" s="753"/>
      <c r="I517" s="754">
        <f t="shared" si="46"/>
        <v>0</v>
      </c>
      <c r="J517" s="753"/>
      <c r="K517" s="748">
        <f t="shared" si="42"/>
        <v>0</v>
      </c>
      <c r="L517" s="753"/>
      <c r="M517" s="753"/>
      <c r="N517" s="753"/>
      <c r="O517" s="753"/>
      <c r="P517" s="756">
        <f t="shared" si="47"/>
        <v>0</v>
      </c>
      <c r="Q517" s="753"/>
      <c r="R517" s="750">
        <f t="shared" si="45"/>
        <v>0</v>
      </c>
    </row>
    <row r="518" spans="2:18" s="757" customFormat="1" outlineLevel="2" x14ac:dyDescent="0.2">
      <c r="B518" s="745" t="s">
        <v>4137</v>
      </c>
      <c r="C518" s="751" t="s">
        <v>2623</v>
      </c>
      <c r="D518" s="752" t="s">
        <v>246</v>
      </c>
      <c r="E518" s="753"/>
      <c r="F518" s="753"/>
      <c r="G518" s="753"/>
      <c r="H518" s="753"/>
      <c r="I518" s="754">
        <f t="shared" si="46"/>
        <v>0</v>
      </c>
      <c r="J518" s="753"/>
      <c r="K518" s="748">
        <f t="shared" si="42"/>
        <v>0</v>
      </c>
      <c r="L518" s="753"/>
      <c r="M518" s="753"/>
      <c r="N518" s="753"/>
      <c r="O518" s="753"/>
      <c r="P518" s="756">
        <f t="shared" si="47"/>
        <v>0</v>
      </c>
      <c r="Q518" s="753"/>
      <c r="R518" s="750">
        <f t="shared" si="45"/>
        <v>0</v>
      </c>
    </row>
    <row r="519" spans="2:18" s="757" customFormat="1" outlineLevel="2" x14ac:dyDescent="0.2">
      <c r="B519" s="745" t="s">
        <v>4138</v>
      </c>
      <c r="C519" s="751" t="s">
        <v>2624</v>
      </c>
      <c r="D519" s="752" t="s">
        <v>246</v>
      </c>
      <c r="E519" s="753"/>
      <c r="F519" s="753"/>
      <c r="G519" s="753"/>
      <c r="H519" s="753"/>
      <c r="I519" s="754">
        <f t="shared" si="46"/>
        <v>0</v>
      </c>
      <c r="J519" s="753"/>
      <c r="K519" s="748">
        <f t="shared" si="42"/>
        <v>0</v>
      </c>
      <c r="L519" s="753"/>
      <c r="M519" s="753"/>
      <c r="N519" s="753"/>
      <c r="O519" s="753"/>
      <c r="P519" s="756">
        <f t="shared" si="47"/>
        <v>0</v>
      </c>
      <c r="Q519" s="753"/>
      <c r="R519" s="750">
        <f t="shared" si="45"/>
        <v>0</v>
      </c>
    </row>
    <row r="520" spans="2:18" s="757" customFormat="1" outlineLevel="2" x14ac:dyDescent="0.2">
      <c r="B520" s="745" t="s">
        <v>4139</v>
      </c>
      <c r="C520" s="751" t="s">
        <v>2625</v>
      </c>
      <c r="D520" s="752" t="s">
        <v>246</v>
      </c>
      <c r="E520" s="753"/>
      <c r="F520" s="753"/>
      <c r="G520" s="753"/>
      <c r="H520" s="753"/>
      <c r="I520" s="754">
        <f t="shared" si="46"/>
        <v>0</v>
      </c>
      <c r="J520" s="753"/>
      <c r="K520" s="748">
        <f t="shared" si="42"/>
        <v>0</v>
      </c>
      <c r="L520" s="753"/>
      <c r="M520" s="753"/>
      <c r="N520" s="753"/>
      <c r="O520" s="753"/>
      <c r="P520" s="756">
        <f t="shared" si="47"/>
        <v>0</v>
      </c>
      <c r="Q520" s="753"/>
      <c r="R520" s="750">
        <f t="shared" si="45"/>
        <v>0</v>
      </c>
    </row>
    <row r="521" spans="2:18" s="757" customFormat="1" outlineLevel="2" x14ac:dyDescent="0.2">
      <c r="B521" s="745" t="s">
        <v>4140</v>
      </c>
      <c r="C521" s="751" t="s">
        <v>2626</v>
      </c>
      <c r="D521" s="752" t="s">
        <v>246</v>
      </c>
      <c r="E521" s="753"/>
      <c r="F521" s="753"/>
      <c r="G521" s="753"/>
      <c r="H521" s="753"/>
      <c r="I521" s="754">
        <f t="shared" si="46"/>
        <v>0</v>
      </c>
      <c r="J521" s="753"/>
      <c r="K521" s="748">
        <f t="shared" si="42"/>
        <v>0</v>
      </c>
      <c r="L521" s="753"/>
      <c r="M521" s="753"/>
      <c r="N521" s="753"/>
      <c r="O521" s="753"/>
      <c r="P521" s="756">
        <f t="shared" si="47"/>
        <v>0</v>
      </c>
      <c r="Q521" s="753"/>
      <c r="R521" s="750">
        <f t="shared" si="45"/>
        <v>0</v>
      </c>
    </row>
    <row r="522" spans="2:18" s="757" customFormat="1" outlineLevel="2" x14ac:dyDescent="0.2">
      <c r="B522" s="745" t="s">
        <v>4141</v>
      </c>
      <c r="C522" s="751" t="s">
        <v>2627</v>
      </c>
      <c r="D522" s="752" t="s">
        <v>246</v>
      </c>
      <c r="E522" s="753"/>
      <c r="F522" s="753"/>
      <c r="G522" s="753"/>
      <c r="H522" s="753"/>
      <c r="I522" s="754">
        <f t="shared" si="46"/>
        <v>0</v>
      </c>
      <c r="J522" s="753"/>
      <c r="K522" s="748">
        <f t="shared" si="42"/>
        <v>0</v>
      </c>
      <c r="L522" s="753"/>
      <c r="M522" s="753"/>
      <c r="N522" s="753"/>
      <c r="O522" s="753"/>
      <c r="P522" s="756">
        <f t="shared" si="47"/>
        <v>0</v>
      </c>
      <c r="Q522" s="753"/>
      <c r="R522" s="750">
        <f t="shared" si="45"/>
        <v>0</v>
      </c>
    </row>
    <row r="523" spans="2:18" s="757" customFormat="1" outlineLevel="2" x14ac:dyDescent="0.2">
      <c r="B523" s="745" t="s">
        <v>4142</v>
      </c>
      <c r="C523" s="751" t="s">
        <v>2628</v>
      </c>
      <c r="D523" s="752" t="s">
        <v>246</v>
      </c>
      <c r="E523" s="753"/>
      <c r="F523" s="753"/>
      <c r="G523" s="753"/>
      <c r="H523" s="753"/>
      <c r="I523" s="754">
        <f t="shared" si="46"/>
        <v>0</v>
      </c>
      <c r="J523" s="753"/>
      <c r="K523" s="748">
        <f t="shared" ref="K523:K586" si="48">I523-J523</f>
        <v>0</v>
      </c>
      <c r="L523" s="753"/>
      <c r="M523" s="753"/>
      <c r="N523" s="753"/>
      <c r="O523" s="753"/>
      <c r="P523" s="756">
        <f t="shared" si="47"/>
        <v>0</v>
      </c>
      <c r="Q523" s="753"/>
      <c r="R523" s="750">
        <f t="shared" si="45"/>
        <v>0</v>
      </c>
    </row>
    <row r="524" spans="2:18" s="757" customFormat="1" outlineLevel="2" x14ac:dyDescent="0.2">
      <c r="B524" s="745" t="s">
        <v>4143</v>
      </c>
      <c r="C524" s="751" t="s">
        <v>2629</v>
      </c>
      <c r="D524" s="752" t="s">
        <v>246</v>
      </c>
      <c r="E524" s="753"/>
      <c r="F524" s="753"/>
      <c r="G524" s="753"/>
      <c r="H524" s="753"/>
      <c r="I524" s="754">
        <f t="shared" si="46"/>
        <v>0</v>
      </c>
      <c r="J524" s="753"/>
      <c r="K524" s="748">
        <f t="shared" si="48"/>
        <v>0</v>
      </c>
      <c r="L524" s="753"/>
      <c r="M524" s="753"/>
      <c r="N524" s="753"/>
      <c r="O524" s="753"/>
      <c r="P524" s="756">
        <f t="shared" si="47"/>
        <v>0</v>
      </c>
      <c r="Q524" s="753"/>
      <c r="R524" s="750">
        <f t="shared" si="45"/>
        <v>0</v>
      </c>
    </row>
    <row r="525" spans="2:18" s="757" customFormat="1" outlineLevel="2" x14ac:dyDescent="0.2">
      <c r="B525" s="745" t="s">
        <v>4144</v>
      </c>
      <c r="C525" s="751" t="s">
        <v>2630</v>
      </c>
      <c r="D525" s="752" t="s">
        <v>246</v>
      </c>
      <c r="E525" s="753"/>
      <c r="F525" s="753"/>
      <c r="G525" s="753"/>
      <c r="H525" s="753"/>
      <c r="I525" s="754">
        <f t="shared" si="46"/>
        <v>0</v>
      </c>
      <c r="J525" s="753"/>
      <c r="K525" s="748">
        <f t="shared" si="48"/>
        <v>0</v>
      </c>
      <c r="L525" s="753"/>
      <c r="M525" s="753"/>
      <c r="N525" s="753"/>
      <c r="O525" s="753"/>
      <c r="P525" s="756">
        <f t="shared" si="47"/>
        <v>0</v>
      </c>
      <c r="Q525" s="753"/>
      <c r="R525" s="750">
        <f t="shared" si="45"/>
        <v>0</v>
      </c>
    </row>
    <row r="526" spans="2:18" s="757" customFormat="1" outlineLevel="2" x14ac:dyDescent="0.2">
      <c r="B526" s="745" t="s">
        <v>4145</v>
      </c>
      <c r="C526" s="751" t="s">
        <v>2631</v>
      </c>
      <c r="D526" s="752" t="s">
        <v>246</v>
      </c>
      <c r="E526" s="753"/>
      <c r="F526" s="753"/>
      <c r="G526" s="753"/>
      <c r="H526" s="753"/>
      <c r="I526" s="754">
        <f t="shared" si="46"/>
        <v>0</v>
      </c>
      <c r="J526" s="753"/>
      <c r="K526" s="748">
        <f t="shared" si="48"/>
        <v>0</v>
      </c>
      <c r="L526" s="753"/>
      <c r="M526" s="753"/>
      <c r="N526" s="753"/>
      <c r="O526" s="753"/>
      <c r="P526" s="756">
        <f t="shared" si="47"/>
        <v>0</v>
      </c>
      <c r="Q526" s="753"/>
      <c r="R526" s="750">
        <f t="shared" si="45"/>
        <v>0</v>
      </c>
    </row>
    <row r="527" spans="2:18" s="757" customFormat="1" outlineLevel="2" x14ac:dyDescent="0.2">
      <c r="B527" s="745" t="s">
        <v>4146</v>
      </c>
      <c r="C527" s="751" t="s">
        <v>2632</v>
      </c>
      <c r="D527" s="752" t="s">
        <v>246</v>
      </c>
      <c r="E527" s="753"/>
      <c r="F527" s="753"/>
      <c r="G527" s="753"/>
      <c r="H527" s="753"/>
      <c r="I527" s="754">
        <f t="shared" si="46"/>
        <v>0</v>
      </c>
      <c r="J527" s="753"/>
      <c r="K527" s="748">
        <f t="shared" si="48"/>
        <v>0</v>
      </c>
      <c r="L527" s="753"/>
      <c r="M527" s="753"/>
      <c r="N527" s="753"/>
      <c r="O527" s="753"/>
      <c r="P527" s="756">
        <f t="shared" si="47"/>
        <v>0</v>
      </c>
      <c r="Q527" s="753"/>
      <c r="R527" s="750">
        <f t="shared" si="45"/>
        <v>0</v>
      </c>
    </row>
    <row r="528" spans="2:18" s="757" customFormat="1" outlineLevel="2" x14ac:dyDescent="0.2">
      <c r="B528" s="745" t="s">
        <v>4147</v>
      </c>
      <c r="C528" s="751" t="s">
        <v>2633</v>
      </c>
      <c r="D528" s="752" t="s">
        <v>246</v>
      </c>
      <c r="E528" s="753"/>
      <c r="F528" s="753"/>
      <c r="G528" s="753"/>
      <c r="H528" s="753"/>
      <c r="I528" s="754">
        <f t="shared" si="46"/>
        <v>0</v>
      </c>
      <c r="J528" s="753"/>
      <c r="K528" s="748">
        <f t="shared" si="48"/>
        <v>0</v>
      </c>
      <c r="L528" s="753"/>
      <c r="M528" s="753"/>
      <c r="N528" s="753"/>
      <c r="O528" s="753"/>
      <c r="P528" s="756">
        <f t="shared" si="47"/>
        <v>0</v>
      </c>
      <c r="Q528" s="753"/>
      <c r="R528" s="750">
        <f t="shared" si="45"/>
        <v>0</v>
      </c>
    </row>
    <row r="529" spans="2:18" s="757" customFormat="1" outlineLevel="2" x14ac:dyDescent="0.2">
      <c r="B529" s="745" t="s">
        <v>4148</v>
      </c>
      <c r="C529" s="751" t="s">
        <v>2634</v>
      </c>
      <c r="D529" s="752" t="s">
        <v>246</v>
      </c>
      <c r="E529" s="753"/>
      <c r="F529" s="753"/>
      <c r="G529" s="753"/>
      <c r="H529" s="753"/>
      <c r="I529" s="754">
        <f t="shared" si="46"/>
        <v>0</v>
      </c>
      <c r="J529" s="753"/>
      <c r="K529" s="748">
        <f t="shared" si="48"/>
        <v>0</v>
      </c>
      <c r="L529" s="753"/>
      <c r="M529" s="753"/>
      <c r="N529" s="753"/>
      <c r="O529" s="753"/>
      <c r="P529" s="756">
        <f t="shared" si="47"/>
        <v>0</v>
      </c>
      <c r="Q529" s="753"/>
      <c r="R529" s="750">
        <f t="shared" si="45"/>
        <v>0</v>
      </c>
    </row>
    <row r="530" spans="2:18" s="757" customFormat="1" outlineLevel="2" x14ac:dyDescent="0.2">
      <c r="B530" s="745" t="s">
        <v>4149</v>
      </c>
      <c r="C530" s="751" t="s">
        <v>2635</v>
      </c>
      <c r="D530" s="752" t="s">
        <v>246</v>
      </c>
      <c r="E530" s="753"/>
      <c r="F530" s="753"/>
      <c r="G530" s="753"/>
      <c r="H530" s="753"/>
      <c r="I530" s="754">
        <f t="shared" si="46"/>
        <v>0</v>
      </c>
      <c r="J530" s="753"/>
      <c r="K530" s="748">
        <f t="shared" si="48"/>
        <v>0</v>
      </c>
      <c r="L530" s="753"/>
      <c r="M530" s="753"/>
      <c r="N530" s="753"/>
      <c r="O530" s="753"/>
      <c r="P530" s="756">
        <f t="shared" si="47"/>
        <v>0</v>
      </c>
      <c r="Q530" s="753"/>
      <c r="R530" s="750">
        <f t="shared" si="45"/>
        <v>0</v>
      </c>
    </row>
    <row r="531" spans="2:18" s="757" customFormat="1" outlineLevel="2" x14ac:dyDescent="0.2">
      <c r="B531" s="745" t="s">
        <v>4150</v>
      </c>
      <c r="C531" s="751" t="s">
        <v>2636</v>
      </c>
      <c r="D531" s="752" t="s">
        <v>246</v>
      </c>
      <c r="E531" s="753"/>
      <c r="F531" s="753"/>
      <c r="G531" s="753"/>
      <c r="H531" s="753"/>
      <c r="I531" s="754">
        <f t="shared" si="46"/>
        <v>0</v>
      </c>
      <c r="J531" s="753"/>
      <c r="K531" s="748">
        <f t="shared" si="48"/>
        <v>0</v>
      </c>
      <c r="L531" s="753"/>
      <c r="M531" s="753"/>
      <c r="N531" s="753"/>
      <c r="O531" s="753"/>
      <c r="P531" s="756">
        <f t="shared" si="47"/>
        <v>0</v>
      </c>
      <c r="Q531" s="753"/>
      <c r="R531" s="750">
        <f t="shared" si="45"/>
        <v>0</v>
      </c>
    </row>
    <row r="532" spans="2:18" s="757" customFormat="1" outlineLevel="2" x14ac:dyDescent="0.2">
      <c r="B532" s="745" t="s">
        <v>4151</v>
      </c>
      <c r="C532" s="751" t="s">
        <v>2637</v>
      </c>
      <c r="D532" s="752" t="s">
        <v>246</v>
      </c>
      <c r="E532" s="753"/>
      <c r="F532" s="753"/>
      <c r="G532" s="753"/>
      <c r="H532" s="753"/>
      <c r="I532" s="754">
        <f t="shared" si="46"/>
        <v>0</v>
      </c>
      <c r="J532" s="753"/>
      <c r="K532" s="748">
        <f t="shared" si="48"/>
        <v>0</v>
      </c>
      <c r="L532" s="753"/>
      <c r="M532" s="753"/>
      <c r="N532" s="753"/>
      <c r="O532" s="753"/>
      <c r="P532" s="756">
        <f t="shared" si="47"/>
        <v>0</v>
      </c>
      <c r="Q532" s="753"/>
      <c r="R532" s="750">
        <f t="shared" si="45"/>
        <v>0</v>
      </c>
    </row>
    <row r="533" spans="2:18" s="757" customFormat="1" outlineLevel="2" x14ac:dyDescent="0.2">
      <c r="B533" s="745" t="s">
        <v>4152</v>
      </c>
      <c r="C533" s="751" t="s">
        <v>2638</v>
      </c>
      <c r="D533" s="752" t="s">
        <v>246</v>
      </c>
      <c r="E533" s="753"/>
      <c r="F533" s="753"/>
      <c r="G533" s="753"/>
      <c r="H533" s="753"/>
      <c r="I533" s="754">
        <f t="shared" si="46"/>
        <v>0</v>
      </c>
      <c r="J533" s="753"/>
      <c r="K533" s="748">
        <f t="shared" si="48"/>
        <v>0</v>
      </c>
      <c r="L533" s="753"/>
      <c r="M533" s="753"/>
      <c r="N533" s="753"/>
      <c r="O533" s="753"/>
      <c r="P533" s="756">
        <f t="shared" si="47"/>
        <v>0</v>
      </c>
      <c r="Q533" s="753"/>
      <c r="R533" s="750">
        <f t="shared" si="45"/>
        <v>0</v>
      </c>
    </row>
    <row r="534" spans="2:18" s="757" customFormat="1" outlineLevel="2" x14ac:dyDescent="0.2">
      <c r="B534" s="745" t="s">
        <v>4153</v>
      </c>
      <c r="C534" s="751" t="s">
        <v>2639</v>
      </c>
      <c r="D534" s="752" t="s">
        <v>246</v>
      </c>
      <c r="E534" s="753"/>
      <c r="F534" s="753"/>
      <c r="G534" s="753"/>
      <c r="H534" s="753"/>
      <c r="I534" s="754">
        <f t="shared" si="46"/>
        <v>0</v>
      </c>
      <c r="J534" s="753"/>
      <c r="K534" s="748">
        <f t="shared" si="48"/>
        <v>0</v>
      </c>
      <c r="L534" s="753"/>
      <c r="M534" s="753"/>
      <c r="N534" s="753"/>
      <c r="O534" s="753"/>
      <c r="P534" s="756">
        <f t="shared" si="47"/>
        <v>0</v>
      </c>
      <c r="Q534" s="753"/>
      <c r="R534" s="750">
        <f t="shared" si="45"/>
        <v>0</v>
      </c>
    </row>
    <row r="535" spans="2:18" s="757" customFormat="1" outlineLevel="2" x14ac:dyDescent="0.2">
      <c r="B535" s="745" t="s">
        <v>4154</v>
      </c>
      <c r="C535" s="751" t="s">
        <v>2640</v>
      </c>
      <c r="D535" s="752" t="s">
        <v>246</v>
      </c>
      <c r="E535" s="753"/>
      <c r="F535" s="753"/>
      <c r="G535" s="753"/>
      <c r="H535" s="753"/>
      <c r="I535" s="754">
        <f t="shared" si="46"/>
        <v>0</v>
      </c>
      <c r="J535" s="753"/>
      <c r="K535" s="748">
        <f t="shared" si="48"/>
        <v>0</v>
      </c>
      <c r="L535" s="753"/>
      <c r="M535" s="753"/>
      <c r="N535" s="753"/>
      <c r="O535" s="753"/>
      <c r="P535" s="756">
        <f t="shared" si="47"/>
        <v>0</v>
      </c>
      <c r="Q535" s="753"/>
      <c r="R535" s="750">
        <f t="shared" si="45"/>
        <v>0</v>
      </c>
    </row>
    <row r="536" spans="2:18" s="757" customFormat="1" outlineLevel="2" x14ac:dyDescent="0.2">
      <c r="B536" s="745" t="s">
        <v>4155</v>
      </c>
      <c r="C536" s="751" t="s">
        <v>2641</v>
      </c>
      <c r="D536" s="752" t="s">
        <v>246</v>
      </c>
      <c r="E536" s="753"/>
      <c r="F536" s="753"/>
      <c r="G536" s="753"/>
      <c r="H536" s="753"/>
      <c r="I536" s="754">
        <f t="shared" si="46"/>
        <v>0</v>
      </c>
      <c r="J536" s="753"/>
      <c r="K536" s="748">
        <f t="shared" si="48"/>
        <v>0</v>
      </c>
      <c r="L536" s="753"/>
      <c r="M536" s="753"/>
      <c r="N536" s="753"/>
      <c r="O536" s="753"/>
      <c r="P536" s="756">
        <f t="shared" si="47"/>
        <v>0</v>
      </c>
      <c r="Q536" s="753"/>
      <c r="R536" s="750">
        <f t="shared" si="45"/>
        <v>0</v>
      </c>
    </row>
    <row r="537" spans="2:18" s="757" customFormat="1" outlineLevel="2" x14ac:dyDescent="0.2">
      <c r="B537" s="745" t="s">
        <v>4156</v>
      </c>
      <c r="C537" s="751" t="s">
        <v>2642</v>
      </c>
      <c r="D537" s="752" t="s">
        <v>246</v>
      </c>
      <c r="E537" s="753"/>
      <c r="F537" s="753"/>
      <c r="G537" s="753"/>
      <c r="H537" s="753"/>
      <c r="I537" s="754">
        <f t="shared" si="46"/>
        <v>0</v>
      </c>
      <c r="J537" s="753"/>
      <c r="K537" s="748">
        <f t="shared" si="48"/>
        <v>0</v>
      </c>
      <c r="L537" s="753"/>
      <c r="M537" s="753"/>
      <c r="N537" s="753"/>
      <c r="O537" s="753"/>
      <c r="P537" s="756">
        <f t="shared" si="47"/>
        <v>0</v>
      </c>
      <c r="Q537" s="753"/>
      <c r="R537" s="750">
        <f t="shared" si="45"/>
        <v>0</v>
      </c>
    </row>
    <row r="538" spans="2:18" s="757" customFormat="1" outlineLevel="2" x14ac:dyDescent="0.2">
      <c r="B538" s="745" t="s">
        <v>4157</v>
      </c>
      <c r="C538" s="751" t="s">
        <v>2643</v>
      </c>
      <c r="D538" s="752" t="s">
        <v>246</v>
      </c>
      <c r="E538" s="753"/>
      <c r="F538" s="753"/>
      <c r="G538" s="753"/>
      <c r="H538" s="753"/>
      <c r="I538" s="754">
        <f t="shared" si="46"/>
        <v>0</v>
      </c>
      <c r="J538" s="753"/>
      <c r="K538" s="748">
        <f t="shared" si="48"/>
        <v>0</v>
      </c>
      <c r="L538" s="753"/>
      <c r="M538" s="753"/>
      <c r="N538" s="753"/>
      <c r="O538" s="753"/>
      <c r="P538" s="756">
        <f t="shared" si="47"/>
        <v>0</v>
      </c>
      <c r="Q538" s="753"/>
      <c r="R538" s="750">
        <f t="shared" si="45"/>
        <v>0</v>
      </c>
    </row>
    <row r="539" spans="2:18" s="757" customFormat="1" outlineLevel="2" x14ac:dyDescent="0.2">
      <c r="B539" s="745" t="s">
        <v>4158</v>
      </c>
      <c r="C539" s="751" t="s">
        <v>2644</v>
      </c>
      <c r="D539" s="752" t="s">
        <v>246</v>
      </c>
      <c r="E539" s="753"/>
      <c r="F539" s="753"/>
      <c r="G539" s="753"/>
      <c r="H539" s="753"/>
      <c r="I539" s="754">
        <f t="shared" si="46"/>
        <v>0</v>
      </c>
      <c r="J539" s="753"/>
      <c r="K539" s="748">
        <f t="shared" si="48"/>
        <v>0</v>
      </c>
      <c r="L539" s="753"/>
      <c r="M539" s="753"/>
      <c r="N539" s="753"/>
      <c r="O539" s="753"/>
      <c r="P539" s="756">
        <f t="shared" si="47"/>
        <v>0</v>
      </c>
      <c r="Q539" s="753"/>
      <c r="R539" s="750">
        <f t="shared" si="45"/>
        <v>0</v>
      </c>
    </row>
    <row r="540" spans="2:18" s="757" customFormat="1" outlineLevel="2" x14ac:dyDescent="0.2">
      <c r="B540" s="745" t="s">
        <v>4159</v>
      </c>
      <c r="C540" s="751" t="s">
        <v>2645</v>
      </c>
      <c r="D540" s="752" t="s">
        <v>246</v>
      </c>
      <c r="E540" s="753"/>
      <c r="F540" s="753"/>
      <c r="G540" s="753"/>
      <c r="H540" s="753"/>
      <c r="I540" s="754">
        <f t="shared" si="46"/>
        <v>0</v>
      </c>
      <c r="J540" s="753"/>
      <c r="K540" s="748">
        <f t="shared" si="48"/>
        <v>0</v>
      </c>
      <c r="L540" s="753"/>
      <c r="M540" s="753"/>
      <c r="N540" s="753"/>
      <c r="O540" s="753"/>
      <c r="P540" s="756">
        <f t="shared" si="47"/>
        <v>0</v>
      </c>
      <c r="Q540" s="753"/>
      <c r="R540" s="750">
        <f t="shared" si="45"/>
        <v>0</v>
      </c>
    </row>
    <row r="541" spans="2:18" s="757" customFormat="1" outlineLevel="2" x14ac:dyDescent="0.2">
      <c r="B541" s="745" t="s">
        <v>4160</v>
      </c>
      <c r="C541" s="751" t="s">
        <v>2646</v>
      </c>
      <c r="D541" s="752" t="s">
        <v>246</v>
      </c>
      <c r="E541" s="753"/>
      <c r="F541" s="753"/>
      <c r="G541" s="753"/>
      <c r="H541" s="753"/>
      <c r="I541" s="754">
        <f t="shared" si="46"/>
        <v>0</v>
      </c>
      <c r="J541" s="753"/>
      <c r="K541" s="748">
        <f t="shared" si="48"/>
        <v>0</v>
      </c>
      <c r="L541" s="753"/>
      <c r="M541" s="753"/>
      <c r="N541" s="753"/>
      <c r="O541" s="753"/>
      <c r="P541" s="756">
        <f t="shared" si="47"/>
        <v>0</v>
      </c>
      <c r="Q541" s="753"/>
      <c r="R541" s="750">
        <f t="shared" si="45"/>
        <v>0</v>
      </c>
    </row>
    <row r="542" spans="2:18" s="757" customFormat="1" outlineLevel="2" x14ac:dyDescent="0.2">
      <c r="B542" s="745" t="s">
        <v>4161</v>
      </c>
      <c r="C542" s="751" t="s">
        <v>2647</v>
      </c>
      <c r="D542" s="752" t="s">
        <v>246</v>
      </c>
      <c r="E542" s="753"/>
      <c r="F542" s="753"/>
      <c r="G542" s="753"/>
      <c r="H542" s="753"/>
      <c r="I542" s="754">
        <f t="shared" si="46"/>
        <v>0</v>
      </c>
      <c r="J542" s="753"/>
      <c r="K542" s="748">
        <f t="shared" si="48"/>
        <v>0</v>
      </c>
      <c r="L542" s="753"/>
      <c r="M542" s="753"/>
      <c r="N542" s="753"/>
      <c r="O542" s="753"/>
      <c r="P542" s="756">
        <f t="shared" si="47"/>
        <v>0</v>
      </c>
      <c r="Q542" s="753"/>
      <c r="R542" s="750">
        <f t="shared" si="45"/>
        <v>0</v>
      </c>
    </row>
    <row r="543" spans="2:18" s="757" customFormat="1" outlineLevel="2" x14ac:dyDescent="0.2">
      <c r="B543" s="745" t="s">
        <v>4162</v>
      </c>
      <c r="C543" s="751" t="s">
        <v>2648</v>
      </c>
      <c r="D543" s="752" t="s">
        <v>246</v>
      </c>
      <c r="E543" s="753"/>
      <c r="F543" s="753"/>
      <c r="G543" s="753"/>
      <c r="H543" s="753"/>
      <c r="I543" s="754">
        <f t="shared" si="46"/>
        <v>0</v>
      </c>
      <c r="J543" s="753"/>
      <c r="K543" s="748">
        <f t="shared" si="48"/>
        <v>0</v>
      </c>
      <c r="L543" s="753"/>
      <c r="M543" s="753"/>
      <c r="N543" s="753"/>
      <c r="O543" s="753"/>
      <c r="P543" s="756">
        <f t="shared" si="47"/>
        <v>0</v>
      </c>
      <c r="Q543" s="753"/>
      <c r="R543" s="750">
        <f t="shared" si="45"/>
        <v>0</v>
      </c>
    </row>
    <row r="544" spans="2:18" s="757" customFormat="1" outlineLevel="2" x14ac:dyDescent="0.2">
      <c r="B544" s="745" t="s">
        <v>4163</v>
      </c>
      <c r="C544" s="751" t="s">
        <v>2649</v>
      </c>
      <c r="D544" s="752" t="s">
        <v>246</v>
      </c>
      <c r="E544" s="753"/>
      <c r="F544" s="753"/>
      <c r="G544" s="753"/>
      <c r="H544" s="753"/>
      <c r="I544" s="754">
        <f t="shared" si="46"/>
        <v>0</v>
      </c>
      <c r="J544" s="753"/>
      <c r="K544" s="748">
        <f t="shared" si="48"/>
        <v>0</v>
      </c>
      <c r="L544" s="753"/>
      <c r="M544" s="753"/>
      <c r="N544" s="753"/>
      <c r="O544" s="753"/>
      <c r="P544" s="756">
        <f t="shared" si="47"/>
        <v>0</v>
      </c>
      <c r="Q544" s="753"/>
      <c r="R544" s="750">
        <f t="shared" si="45"/>
        <v>0</v>
      </c>
    </row>
    <row r="545" spans="2:18" s="734" customFormat="1" outlineLevel="1" x14ac:dyDescent="0.2">
      <c r="B545" s="745" t="s">
        <v>4164</v>
      </c>
      <c r="C545" s="746">
        <v>5.2</v>
      </c>
      <c r="D545" s="131" t="s">
        <v>2782</v>
      </c>
      <c r="E545" s="747">
        <f t="shared" ref="E545:Q545" si="49">SUM(E546:E595)</f>
        <v>0</v>
      </c>
      <c r="F545" s="747">
        <f t="shared" si="49"/>
        <v>0</v>
      </c>
      <c r="G545" s="747">
        <f t="shared" si="49"/>
        <v>0</v>
      </c>
      <c r="H545" s="747">
        <f t="shared" si="49"/>
        <v>0</v>
      </c>
      <c r="I545" s="748">
        <f t="shared" si="49"/>
        <v>0</v>
      </c>
      <c r="J545" s="747">
        <f t="shared" si="49"/>
        <v>0</v>
      </c>
      <c r="K545" s="748">
        <f t="shared" si="48"/>
        <v>0</v>
      </c>
      <c r="L545" s="747">
        <f t="shared" si="49"/>
        <v>0</v>
      </c>
      <c r="M545" s="747">
        <f t="shared" si="49"/>
        <v>0</v>
      </c>
      <c r="N545" s="747">
        <f t="shared" si="49"/>
        <v>0</v>
      </c>
      <c r="O545" s="747">
        <f t="shared" si="49"/>
        <v>0</v>
      </c>
      <c r="P545" s="749">
        <f t="shared" si="49"/>
        <v>0</v>
      </c>
      <c r="Q545" s="747">
        <f t="shared" si="49"/>
        <v>0</v>
      </c>
      <c r="R545" s="750">
        <f t="shared" si="45"/>
        <v>0</v>
      </c>
    </row>
    <row r="546" spans="2:18" s="757" customFormat="1" outlineLevel="2" x14ac:dyDescent="0.2">
      <c r="B546" s="745" t="s">
        <v>4165</v>
      </c>
      <c r="C546" s="751" t="s">
        <v>1744</v>
      </c>
      <c r="D546" s="752" t="s">
        <v>246</v>
      </c>
      <c r="E546" s="753"/>
      <c r="F546" s="753"/>
      <c r="G546" s="753"/>
      <c r="H546" s="753"/>
      <c r="I546" s="754">
        <f t="shared" ref="I546:I595" si="50">SUM(E546:H546)</f>
        <v>0</v>
      </c>
      <c r="J546" s="755"/>
      <c r="K546" s="748">
        <f t="shared" si="48"/>
        <v>0</v>
      </c>
      <c r="L546" s="753"/>
      <c r="M546" s="753"/>
      <c r="N546" s="753"/>
      <c r="O546" s="753"/>
      <c r="P546" s="756">
        <f t="shared" ref="P546:P595" si="51">SUM(L546:O546)</f>
        <v>0</v>
      </c>
      <c r="Q546" s="755"/>
      <c r="R546" s="750">
        <f t="shared" si="45"/>
        <v>0</v>
      </c>
    </row>
    <row r="547" spans="2:18" s="757" customFormat="1" outlineLevel="2" x14ac:dyDescent="0.2">
      <c r="B547" s="745" t="s">
        <v>4166</v>
      </c>
      <c r="C547" s="751" t="s">
        <v>1745</v>
      </c>
      <c r="D547" s="752" t="s">
        <v>246</v>
      </c>
      <c r="E547" s="753"/>
      <c r="F547" s="753"/>
      <c r="G547" s="753"/>
      <c r="H547" s="753"/>
      <c r="I547" s="754">
        <f t="shared" si="50"/>
        <v>0</v>
      </c>
      <c r="J547" s="755"/>
      <c r="K547" s="748">
        <f t="shared" si="48"/>
        <v>0</v>
      </c>
      <c r="L547" s="753"/>
      <c r="M547" s="753"/>
      <c r="N547" s="753"/>
      <c r="O547" s="753"/>
      <c r="P547" s="756">
        <f t="shared" si="51"/>
        <v>0</v>
      </c>
      <c r="Q547" s="755"/>
      <c r="R547" s="750">
        <f t="shared" si="45"/>
        <v>0</v>
      </c>
    </row>
    <row r="548" spans="2:18" s="757" customFormat="1" outlineLevel="2" x14ac:dyDescent="0.2">
      <c r="B548" s="745" t="s">
        <v>4167</v>
      </c>
      <c r="C548" s="751" t="s">
        <v>1746</v>
      </c>
      <c r="D548" s="752" t="s">
        <v>246</v>
      </c>
      <c r="E548" s="753"/>
      <c r="F548" s="753"/>
      <c r="G548" s="753"/>
      <c r="H548" s="753"/>
      <c r="I548" s="754">
        <f t="shared" si="50"/>
        <v>0</v>
      </c>
      <c r="J548" s="755"/>
      <c r="K548" s="748">
        <f t="shared" si="48"/>
        <v>0</v>
      </c>
      <c r="L548" s="753"/>
      <c r="M548" s="753"/>
      <c r="N548" s="753"/>
      <c r="O548" s="753"/>
      <c r="P548" s="756">
        <f t="shared" si="51"/>
        <v>0</v>
      </c>
      <c r="Q548" s="755"/>
      <c r="R548" s="750">
        <f t="shared" si="45"/>
        <v>0</v>
      </c>
    </row>
    <row r="549" spans="2:18" s="757" customFormat="1" outlineLevel="2" x14ac:dyDescent="0.2">
      <c r="B549" s="745" t="s">
        <v>4168</v>
      </c>
      <c r="C549" s="751" t="s">
        <v>1747</v>
      </c>
      <c r="D549" s="752" t="s">
        <v>246</v>
      </c>
      <c r="E549" s="753"/>
      <c r="F549" s="753"/>
      <c r="G549" s="753"/>
      <c r="H549" s="753"/>
      <c r="I549" s="754">
        <f t="shared" si="50"/>
        <v>0</v>
      </c>
      <c r="J549" s="755"/>
      <c r="K549" s="748">
        <f t="shared" si="48"/>
        <v>0</v>
      </c>
      <c r="L549" s="753"/>
      <c r="M549" s="753"/>
      <c r="N549" s="753"/>
      <c r="O549" s="753"/>
      <c r="P549" s="756">
        <f t="shared" si="51"/>
        <v>0</v>
      </c>
      <c r="Q549" s="755"/>
      <c r="R549" s="750">
        <f t="shared" si="45"/>
        <v>0</v>
      </c>
    </row>
    <row r="550" spans="2:18" s="757" customFormat="1" outlineLevel="2" x14ac:dyDescent="0.2">
      <c r="B550" s="745" t="s">
        <v>4169</v>
      </c>
      <c r="C550" s="751" t="s">
        <v>1748</v>
      </c>
      <c r="D550" s="752" t="s">
        <v>246</v>
      </c>
      <c r="E550" s="753"/>
      <c r="F550" s="753"/>
      <c r="G550" s="753"/>
      <c r="H550" s="753"/>
      <c r="I550" s="754">
        <f t="shared" si="50"/>
        <v>0</v>
      </c>
      <c r="J550" s="755"/>
      <c r="K550" s="748">
        <f t="shared" si="48"/>
        <v>0</v>
      </c>
      <c r="L550" s="753"/>
      <c r="M550" s="753"/>
      <c r="N550" s="753"/>
      <c r="O550" s="753"/>
      <c r="P550" s="756">
        <f t="shared" si="51"/>
        <v>0</v>
      </c>
      <c r="Q550" s="755"/>
      <c r="R550" s="750">
        <f t="shared" si="45"/>
        <v>0</v>
      </c>
    </row>
    <row r="551" spans="2:18" s="757" customFormat="1" outlineLevel="2" x14ac:dyDescent="0.2">
      <c r="B551" s="745" t="s">
        <v>4170</v>
      </c>
      <c r="C551" s="751" t="s">
        <v>1749</v>
      </c>
      <c r="D551" s="752" t="s">
        <v>246</v>
      </c>
      <c r="E551" s="753"/>
      <c r="F551" s="753"/>
      <c r="G551" s="753"/>
      <c r="H551" s="753"/>
      <c r="I551" s="754">
        <f t="shared" si="50"/>
        <v>0</v>
      </c>
      <c r="J551" s="755"/>
      <c r="K551" s="748">
        <f t="shared" si="48"/>
        <v>0</v>
      </c>
      <c r="L551" s="753"/>
      <c r="M551" s="753"/>
      <c r="N551" s="753"/>
      <c r="O551" s="753"/>
      <c r="P551" s="756">
        <f t="shared" si="51"/>
        <v>0</v>
      </c>
      <c r="Q551" s="755"/>
      <c r="R551" s="750">
        <f t="shared" si="45"/>
        <v>0</v>
      </c>
    </row>
    <row r="552" spans="2:18" s="757" customFormat="1" outlineLevel="2" x14ac:dyDescent="0.2">
      <c r="B552" s="745" t="s">
        <v>4171</v>
      </c>
      <c r="C552" s="751" t="s">
        <v>1750</v>
      </c>
      <c r="D552" s="752" t="s">
        <v>246</v>
      </c>
      <c r="E552" s="753"/>
      <c r="F552" s="753"/>
      <c r="G552" s="753"/>
      <c r="H552" s="753"/>
      <c r="I552" s="754">
        <f t="shared" si="50"/>
        <v>0</v>
      </c>
      <c r="J552" s="755"/>
      <c r="K552" s="748">
        <f t="shared" si="48"/>
        <v>0</v>
      </c>
      <c r="L552" s="753"/>
      <c r="M552" s="753"/>
      <c r="N552" s="753"/>
      <c r="O552" s="753"/>
      <c r="P552" s="756">
        <f t="shared" si="51"/>
        <v>0</v>
      </c>
      <c r="Q552" s="755"/>
      <c r="R552" s="750">
        <f t="shared" si="45"/>
        <v>0</v>
      </c>
    </row>
    <row r="553" spans="2:18" s="757" customFormat="1" outlineLevel="2" x14ac:dyDescent="0.2">
      <c r="B553" s="745" t="s">
        <v>4172</v>
      </c>
      <c r="C553" s="751" t="s">
        <v>1751</v>
      </c>
      <c r="D553" s="752" t="s">
        <v>246</v>
      </c>
      <c r="E553" s="753"/>
      <c r="F553" s="753"/>
      <c r="G553" s="753"/>
      <c r="H553" s="753"/>
      <c r="I553" s="754">
        <f t="shared" si="50"/>
        <v>0</v>
      </c>
      <c r="J553" s="755"/>
      <c r="K553" s="748">
        <f t="shared" si="48"/>
        <v>0</v>
      </c>
      <c r="L553" s="753"/>
      <c r="M553" s="753"/>
      <c r="N553" s="753"/>
      <c r="O553" s="753"/>
      <c r="P553" s="756">
        <f t="shared" si="51"/>
        <v>0</v>
      </c>
      <c r="Q553" s="755"/>
      <c r="R553" s="750">
        <f t="shared" si="45"/>
        <v>0</v>
      </c>
    </row>
    <row r="554" spans="2:18" s="757" customFormat="1" outlineLevel="2" x14ac:dyDescent="0.2">
      <c r="B554" s="745" t="s">
        <v>4173</v>
      </c>
      <c r="C554" s="751" t="s">
        <v>1752</v>
      </c>
      <c r="D554" s="752" t="s">
        <v>246</v>
      </c>
      <c r="E554" s="753"/>
      <c r="F554" s="753"/>
      <c r="G554" s="753"/>
      <c r="H554" s="753"/>
      <c r="I554" s="754">
        <f t="shared" si="50"/>
        <v>0</v>
      </c>
      <c r="J554" s="755"/>
      <c r="K554" s="748">
        <f t="shared" si="48"/>
        <v>0</v>
      </c>
      <c r="L554" s="753"/>
      <c r="M554" s="753"/>
      <c r="N554" s="753"/>
      <c r="O554" s="753"/>
      <c r="P554" s="756">
        <f t="shared" si="51"/>
        <v>0</v>
      </c>
      <c r="Q554" s="755"/>
      <c r="R554" s="750">
        <f t="shared" si="45"/>
        <v>0</v>
      </c>
    </row>
    <row r="555" spans="2:18" s="757" customFormat="1" outlineLevel="2" x14ac:dyDescent="0.2">
      <c r="B555" s="745" t="s">
        <v>4174</v>
      </c>
      <c r="C555" s="751" t="s">
        <v>1753</v>
      </c>
      <c r="D555" s="752" t="s">
        <v>246</v>
      </c>
      <c r="E555" s="753"/>
      <c r="F555" s="753"/>
      <c r="G555" s="753"/>
      <c r="H555" s="753"/>
      <c r="I555" s="754">
        <f t="shared" si="50"/>
        <v>0</v>
      </c>
      <c r="J555" s="755"/>
      <c r="K555" s="748">
        <f t="shared" si="48"/>
        <v>0</v>
      </c>
      <c r="L555" s="753"/>
      <c r="M555" s="753"/>
      <c r="N555" s="753"/>
      <c r="O555" s="753"/>
      <c r="P555" s="756">
        <f t="shared" si="51"/>
        <v>0</v>
      </c>
      <c r="Q555" s="755"/>
      <c r="R555" s="750">
        <f t="shared" si="45"/>
        <v>0</v>
      </c>
    </row>
    <row r="556" spans="2:18" s="757" customFormat="1" outlineLevel="2" x14ac:dyDescent="0.2">
      <c r="B556" s="745" t="s">
        <v>4175</v>
      </c>
      <c r="C556" s="751" t="s">
        <v>1754</v>
      </c>
      <c r="D556" s="752" t="s">
        <v>246</v>
      </c>
      <c r="E556" s="753"/>
      <c r="F556" s="753"/>
      <c r="G556" s="753"/>
      <c r="H556" s="753"/>
      <c r="I556" s="754">
        <f t="shared" si="50"/>
        <v>0</v>
      </c>
      <c r="J556" s="755"/>
      <c r="K556" s="748">
        <f t="shared" si="48"/>
        <v>0</v>
      </c>
      <c r="L556" s="753"/>
      <c r="M556" s="753"/>
      <c r="N556" s="753"/>
      <c r="O556" s="753"/>
      <c r="P556" s="756">
        <f t="shared" si="51"/>
        <v>0</v>
      </c>
      <c r="Q556" s="755"/>
      <c r="R556" s="750">
        <f t="shared" si="45"/>
        <v>0</v>
      </c>
    </row>
    <row r="557" spans="2:18" s="757" customFormat="1" outlineLevel="2" x14ac:dyDescent="0.2">
      <c r="B557" s="745" t="s">
        <v>4176</v>
      </c>
      <c r="C557" s="751" t="s">
        <v>1755</v>
      </c>
      <c r="D557" s="752" t="s">
        <v>246</v>
      </c>
      <c r="E557" s="753"/>
      <c r="F557" s="753"/>
      <c r="G557" s="753"/>
      <c r="H557" s="753"/>
      <c r="I557" s="754">
        <f t="shared" si="50"/>
        <v>0</v>
      </c>
      <c r="J557" s="755"/>
      <c r="K557" s="748">
        <f t="shared" si="48"/>
        <v>0</v>
      </c>
      <c r="L557" s="753"/>
      <c r="M557" s="753"/>
      <c r="N557" s="753"/>
      <c r="O557" s="753"/>
      <c r="P557" s="756">
        <f t="shared" si="51"/>
        <v>0</v>
      </c>
      <c r="Q557" s="755"/>
      <c r="R557" s="750">
        <f t="shared" si="45"/>
        <v>0</v>
      </c>
    </row>
    <row r="558" spans="2:18" s="757" customFormat="1" outlineLevel="2" x14ac:dyDescent="0.2">
      <c r="B558" s="745" t="s">
        <v>4177</v>
      </c>
      <c r="C558" s="751" t="s">
        <v>1756</v>
      </c>
      <c r="D558" s="752" t="s">
        <v>246</v>
      </c>
      <c r="E558" s="753"/>
      <c r="F558" s="753"/>
      <c r="G558" s="753"/>
      <c r="H558" s="753"/>
      <c r="I558" s="754">
        <f t="shared" si="50"/>
        <v>0</v>
      </c>
      <c r="J558" s="755"/>
      <c r="K558" s="748">
        <f t="shared" si="48"/>
        <v>0</v>
      </c>
      <c r="L558" s="753"/>
      <c r="M558" s="753"/>
      <c r="N558" s="753"/>
      <c r="O558" s="753"/>
      <c r="P558" s="756">
        <f t="shared" si="51"/>
        <v>0</v>
      </c>
      <c r="Q558" s="755"/>
      <c r="R558" s="750">
        <f t="shared" ref="R558:R595" si="52">P558-Q558</f>
        <v>0</v>
      </c>
    </row>
    <row r="559" spans="2:18" s="757" customFormat="1" outlineLevel="2" x14ac:dyDescent="0.2">
      <c r="B559" s="745" t="s">
        <v>4178</v>
      </c>
      <c r="C559" s="751" t="s">
        <v>1757</v>
      </c>
      <c r="D559" s="752" t="s">
        <v>246</v>
      </c>
      <c r="E559" s="753"/>
      <c r="F559" s="753"/>
      <c r="G559" s="753"/>
      <c r="H559" s="753"/>
      <c r="I559" s="754">
        <f t="shared" si="50"/>
        <v>0</v>
      </c>
      <c r="J559" s="755"/>
      <c r="K559" s="748">
        <f t="shared" si="48"/>
        <v>0</v>
      </c>
      <c r="L559" s="753"/>
      <c r="M559" s="753"/>
      <c r="N559" s="753"/>
      <c r="O559" s="753"/>
      <c r="P559" s="756">
        <f t="shared" si="51"/>
        <v>0</v>
      </c>
      <c r="Q559" s="755"/>
      <c r="R559" s="750">
        <f t="shared" si="52"/>
        <v>0</v>
      </c>
    </row>
    <row r="560" spans="2:18" s="757" customFormat="1" outlineLevel="2" x14ac:dyDescent="0.2">
      <c r="B560" s="745" t="s">
        <v>4179</v>
      </c>
      <c r="C560" s="751" t="s">
        <v>1758</v>
      </c>
      <c r="D560" s="752" t="s">
        <v>246</v>
      </c>
      <c r="E560" s="753"/>
      <c r="F560" s="753"/>
      <c r="G560" s="753"/>
      <c r="H560" s="753"/>
      <c r="I560" s="754">
        <f t="shared" si="50"/>
        <v>0</v>
      </c>
      <c r="J560" s="755"/>
      <c r="K560" s="748">
        <f t="shared" si="48"/>
        <v>0</v>
      </c>
      <c r="L560" s="753"/>
      <c r="M560" s="753"/>
      <c r="N560" s="753"/>
      <c r="O560" s="753"/>
      <c r="P560" s="756">
        <f t="shared" si="51"/>
        <v>0</v>
      </c>
      <c r="Q560" s="755"/>
      <c r="R560" s="750">
        <f t="shared" si="52"/>
        <v>0</v>
      </c>
    </row>
    <row r="561" spans="2:18" s="757" customFormat="1" outlineLevel="2" x14ac:dyDescent="0.2">
      <c r="B561" s="745" t="s">
        <v>4180</v>
      </c>
      <c r="C561" s="751" t="s">
        <v>1759</v>
      </c>
      <c r="D561" s="752" t="s">
        <v>246</v>
      </c>
      <c r="E561" s="753"/>
      <c r="F561" s="753"/>
      <c r="G561" s="753"/>
      <c r="H561" s="753"/>
      <c r="I561" s="754">
        <f t="shared" si="50"/>
        <v>0</v>
      </c>
      <c r="J561" s="755"/>
      <c r="K561" s="748">
        <f t="shared" si="48"/>
        <v>0</v>
      </c>
      <c r="L561" s="753"/>
      <c r="M561" s="753"/>
      <c r="N561" s="753"/>
      <c r="O561" s="753"/>
      <c r="P561" s="756">
        <f t="shared" si="51"/>
        <v>0</v>
      </c>
      <c r="Q561" s="755"/>
      <c r="R561" s="750">
        <f t="shared" si="52"/>
        <v>0</v>
      </c>
    </row>
    <row r="562" spans="2:18" s="757" customFormat="1" outlineLevel="2" x14ac:dyDescent="0.2">
      <c r="B562" s="745" t="s">
        <v>4181</v>
      </c>
      <c r="C562" s="751" t="s">
        <v>1760</v>
      </c>
      <c r="D562" s="752" t="s">
        <v>246</v>
      </c>
      <c r="E562" s="753"/>
      <c r="F562" s="753"/>
      <c r="G562" s="753"/>
      <c r="H562" s="753"/>
      <c r="I562" s="754">
        <f t="shared" si="50"/>
        <v>0</v>
      </c>
      <c r="J562" s="755"/>
      <c r="K562" s="748">
        <f t="shared" si="48"/>
        <v>0</v>
      </c>
      <c r="L562" s="753"/>
      <c r="M562" s="753"/>
      <c r="N562" s="753"/>
      <c r="O562" s="753"/>
      <c r="P562" s="756">
        <f t="shared" si="51"/>
        <v>0</v>
      </c>
      <c r="Q562" s="755"/>
      <c r="R562" s="750">
        <f t="shared" si="52"/>
        <v>0</v>
      </c>
    </row>
    <row r="563" spans="2:18" s="757" customFormat="1" outlineLevel="2" x14ac:dyDescent="0.2">
      <c r="B563" s="745" t="s">
        <v>4182</v>
      </c>
      <c r="C563" s="751" t="s">
        <v>1761</v>
      </c>
      <c r="D563" s="752" t="s">
        <v>246</v>
      </c>
      <c r="E563" s="753"/>
      <c r="F563" s="753"/>
      <c r="G563" s="753"/>
      <c r="H563" s="753"/>
      <c r="I563" s="754">
        <f t="shared" si="50"/>
        <v>0</v>
      </c>
      <c r="J563" s="755"/>
      <c r="K563" s="748">
        <f t="shared" si="48"/>
        <v>0</v>
      </c>
      <c r="L563" s="753"/>
      <c r="M563" s="753"/>
      <c r="N563" s="753"/>
      <c r="O563" s="753"/>
      <c r="P563" s="756">
        <f t="shared" si="51"/>
        <v>0</v>
      </c>
      <c r="Q563" s="755"/>
      <c r="R563" s="750">
        <f t="shared" si="52"/>
        <v>0</v>
      </c>
    </row>
    <row r="564" spans="2:18" s="757" customFormat="1" outlineLevel="2" x14ac:dyDescent="0.2">
      <c r="B564" s="745" t="s">
        <v>4183</v>
      </c>
      <c r="C564" s="751" t="s">
        <v>1762</v>
      </c>
      <c r="D564" s="752" t="s">
        <v>246</v>
      </c>
      <c r="E564" s="753"/>
      <c r="F564" s="753"/>
      <c r="G564" s="753"/>
      <c r="H564" s="753"/>
      <c r="I564" s="754">
        <f t="shared" si="50"/>
        <v>0</v>
      </c>
      <c r="J564" s="755"/>
      <c r="K564" s="748">
        <f t="shared" si="48"/>
        <v>0</v>
      </c>
      <c r="L564" s="753"/>
      <c r="M564" s="753"/>
      <c r="N564" s="753"/>
      <c r="O564" s="753"/>
      <c r="P564" s="756">
        <f t="shared" si="51"/>
        <v>0</v>
      </c>
      <c r="Q564" s="755"/>
      <c r="R564" s="750">
        <f t="shared" si="52"/>
        <v>0</v>
      </c>
    </row>
    <row r="565" spans="2:18" s="757" customFormat="1" outlineLevel="2" x14ac:dyDescent="0.2">
      <c r="B565" s="745" t="s">
        <v>4184</v>
      </c>
      <c r="C565" s="751" t="s">
        <v>1763</v>
      </c>
      <c r="D565" s="752" t="s">
        <v>246</v>
      </c>
      <c r="E565" s="753"/>
      <c r="F565" s="753"/>
      <c r="G565" s="753"/>
      <c r="H565" s="753"/>
      <c r="I565" s="754">
        <f t="shared" si="50"/>
        <v>0</v>
      </c>
      <c r="J565" s="755"/>
      <c r="K565" s="748">
        <f t="shared" si="48"/>
        <v>0</v>
      </c>
      <c r="L565" s="753"/>
      <c r="M565" s="753"/>
      <c r="N565" s="753"/>
      <c r="O565" s="753"/>
      <c r="P565" s="756">
        <f t="shared" si="51"/>
        <v>0</v>
      </c>
      <c r="Q565" s="755"/>
      <c r="R565" s="750">
        <f t="shared" si="52"/>
        <v>0</v>
      </c>
    </row>
    <row r="566" spans="2:18" s="757" customFormat="1" outlineLevel="2" x14ac:dyDescent="0.2">
      <c r="B566" s="745" t="s">
        <v>4185</v>
      </c>
      <c r="C566" s="751" t="s">
        <v>2650</v>
      </c>
      <c r="D566" s="752" t="s">
        <v>246</v>
      </c>
      <c r="E566" s="753"/>
      <c r="F566" s="753"/>
      <c r="G566" s="753"/>
      <c r="H566" s="753"/>
      <c r="I566" s="754">
        <f t="shared" si="50"/>
        <v>0</v>
      </c>
      <c r="J566" s="755"/>
      <c r="K566" s="748">
        <f t="shared" si="48"/>
        <v>0</v>
      </c>
      <c r="L566" s="753"/>
      <c r="M566" s="753"/>
      <c r="N566" s="753"/>
      <c r="O566" s="753"/>
      <c r="P566" s="756">
        <f t="shared" si="51"/>
        <v>0</v>
      </c>
      <c r="Q566" s="755"/>
      <c r="R566" s="750">
        <f t="shared" si="52"/>
        <v>0</v>
      </c>
    </row>
    <row r="567" spans="2:18" s="757" customFormat="1" outlineLevel="2" x14ac:dyDescent="0.2">
      <c r="B567" s="745" t="s">
        <v>4186</v>
      </c>
      <c r="C567" s="751" t="s">
        <v>2651</v>
      </c>
      <c r="D567" s="752" t="s">
        <v>246</v>
      </c>
      <c r="E567" s="753"/>
      <c r="F567" s="753"/>
      <c r="G567" s="753"/>
      <c r="H567" s="753"/>
      <c r="I567" s="754">
        <f t="shared" si="50"/>
        <v>0</v>
      </c>
      <c r="J567" s="755"/>
      <c r="K567" s="748">
        <f t="shared" si="48"/>
        <v>0</v>
      </c>
      <c r="L567" s="753"/>
      <c r="M567" s="753"/>
      <c r="N567" s="753"/>
      <c r="O567" s="753"/>
      <c r="P567" s="756">
        <f t="shared" si="51"/>
        <v>0</v>
      </c>
      <c r="Q567" s="755"/>
      <c r="R567" s="750">
        <f t="shared" si="52"/>
        <v>0</v>
      </c>
    </row>
    <row r="568" spans="2:18" s="757" customFormat="1" outlineLevel="2" x14ac:dyDescent="0.2">
      <c r="B568" s="745" t="s">
        <v>4187</v>
      </c>
      <c r="C568" s="751" t="s">
        <v>2652</v>
      </c>
      <c r="D568" s="752" t="s">
        <v>246</v>
      </c>
      <c r="E568" s="753"/>
      <c r="F568" s="753"/>
      <c r="G568" s="753"/>
      <c r="H568" s="753"/>
      <c r="I568" s="754">
        <f t="shared" si="50"/>
        <v>0</v>
      </c>
      <c r="J568" s="755"/>
      <c r="K568" s="748">
        <f t="shared" si="48"/>
        <v>0</v>
      </c>
      <c r="L568" s="753"/>
      <c r="M568" s="753"/>
      <c r="N568" s="753"/>
      <c r="O568" s="753"/>
      <c r="P568" s="756">
        <f t="shared" si="51"/>
        <v>0</v>
      </c>
      <c r="Q568" s="755"/>
      <c r="R568" s="750">
        <f t="shared" si="52"/>
        <v>0</v>
      </c>
    </row>
    <row r="569" spans="2:18" s="757" customFormat="1" outlineLevel="2" x14ac:dyDescent="0.2">
      <c r="B569" s="745" t="s">
        <v>4188</v>
      </c>
      <c r="C569" s="751" t="s">
        <v>2653</v>
      </c>
      <c r="D569" s="752" t="s">
        <v>246</v>
      </c>
      <c r="E569" s="753"/>
      <c r="F569" s="753"/>
      <c r="G569" s="753"/>
      <c r="H569" s="753"/>
      <c r="I569" s="754">
        <f t="shared" si="50"/>
        <v>0</v>
      </c>
      <c r="J569" s="755"/>
      <c r="K569" s="748">
        <f t="shared" si="48"/>
        <v>0</v>
      </c>
      <c r="L569" s="753"/>
      <c r="M569" s="753"/>
      <c r="N569" s="753"/>
      <c r="O569" s="753"/>
      <c r="P569" s="756">
        <f t="shared" si="51"/>
        <v>0</v>
      </c>
      <c r="Q569" s="755"/>
      <c r="R569" s="750">
        <f t="shared" si="52"/>
        <v>0</v>
      </c>
    </row>
    <row r="570" spans="2:18" s="757" customFormat="1" outlineLevel="2" x14ac:dyDescent="0.2">
      <c r="B570" s="745" t="s">
        <v>4189</v>
      </c>
      <c r="C570" s="751" t="s">
        <v>2654</v>
      </c>
      <c r="D570" s="752" t="s">
        <v>246</v>
      </c>
      <c r="E570" s="753"/>
      <c r="F570" s="753"/>
      <c r="G570" s="753"/>
      <c r="H570" s="753"/>
      <c r="I570" s="754">
        <f t="shared" si="50"/>
        <v>0</v>
      </c>
      <c r="J570" s="755"/>
      <c r="K570" s="748">
        <f t="shared" si="48"/>
        <v>0</v>
      </c>
      <c r="L570" s="753"/>
      <c r="M570" s="753"/>
      <c r="N570" s="753"/>
      <c r="O570" s="753"/>
      <c r="P570" s="756">
        <f t="shared" si="51"/>
        <v>0</v>
      </c>
      <c r="Q570" s="755"/>
      <c r="R570" s="750">
        <f t="shared" si="52"/>
        <v>0</v>
      </c>
    </row>
    <row r="571" spans="2:18" s="757" customFormat="1" outlineLevel="2" x14ac:dyDescent="0.2">
      <c r="B571" s="745" t="s">
        <v>4190</v>
      </c>
      <c r="C571" s="751" t="s">
        <v>2655</v>
      </c>
      <c r="D571" s="752" t="s">
        <v>246</v>
      </c>
      <c r="E571" s="753"/>
      <c r="F571" s="753"/>
      <c r="G571" s="753"/>
      <c r="H571" s="753"/>
      <c r="I571" s="754">
        <f t="shared" si="50"/>
        <v>0</v>
      </c>
      <c r="J571" s="755"/>
      <c r="K571" s="748">
        <f t="shared" si="48"/>
        <v>0</v>
      </c>
      <c r="L571" s="753"/>
      <c r="M571" s="753"/>
      <c r="N571" s="753"/>
      <c r="O571" s="753"/>
      <c r="P571" s="756">
        <f t="shared" si="51"/>
        <v>0</v>
      </c>
      <c r="Q571" s="755"/>
      <c r="R571" s="750">
        <f t="shared" si="52"/>
        <v>0</v>
      </c>
    </row>
    <row r="572" spans="2:18" s="757" customFormat="1" outlineLevel="2" x14ac:dyDescent="0.2">
      <c r="B572" s="745" t="s">
        <v>4191</v>
      </c>
      <c r="C572" s="751" t="s">
        <v>2656</v>
      </c>
      <c r="D572" s="752" t="s">
        <v>246</v>
      </c>
      <c r="E572" s="753"/>
      <c r="F572" s="753"/>
      <c r="G572" s="753"/>
      <c r="H572" s="753"/>
      <c r="I572" s="754">
        <f t="shared" si="50"/>
        <v>0</v>
      </c>
      <c r="J572" s="755"/>
      <c r="K572" s="748">
        <f t="shared" si="48"/>
        <v>0</v>
      </c>
      <c r="L572" s="753"/>
      <c r="M572" s="753"/>
      <c r="N572" s="753"/>
      <c r="O572" s="753"/>
      <c r="P572" s="756">
        <f t="shared" si="51"/>
        <v>0</v>
      </c>
      <c r="Q572" s="755"/>
      <c r="R572" s="750">
        <f t="shared" si="52"/>
        <v>0</v>
      </c>
    </row>
    <row r="573" spans="2:18" s="757" customFormat="1" outlineLevel="2" x14ac:dyDescent="0.2">
      <c r="B573" s="745" t="s">
        <v>4192</v>
      </c>
      <c r="C573" s="751" t="s">
        <v>2657</v>
      </c>
      <c r="D573" s="752" t="s">
        <v>246</v>
      </c>
      <c r="E573" s="753"/>
      <c r="F573" s="753"/>
      <c r="G573" s="753"/>
      <c r="H573" s="753"/>
      <c r="I573" s="754">
        <f t="shared" si="50"/>
        <v>0</v>
      </c>
      <c r="J573" s="755"/>
      <c r="K573" s="748">
        <f t="shared" si="48"/>
        <v>0</v>
      </c>
      <c r="L573" s="753"/>
      <c r="M573" s="753"/>
      <c r="N573" s="753"/>
      <c r="O573" s="753"/>
      <c r="P573" s="756">
        <f t="shared" si="51"/>
        <v>0</v>
      </c>
      <c r="Q573" s="755"/>
      <c r="R573" s="750">
        <f t="shared" si="52"/>
        <v>0</v>
      </c>
    </row>
    <row r="574" spans="2:18" s="757" customFormat="1" outlineLevel="2" x14ac:dyDescent="0.2">
      <c r="B574" s="745" t="s">
        <v>4193</v>
      </c>
      <c r="C574" s="751" t="s">
        <v>2658</v>
      </c>
      <c r="D574" s="752" t="s">
        <v>246</v>
      </c>
      <c r="E574" s="753"/>
      <c r="F574" s="753"/>
      <c r="G574" s="753"/>
      <c r="H574" s="753"/>
      <c r="I574" s="754">
        <f t="shared" si="50"/>
        <v>0</v>
      </c>
      <c r="J574" s="755"/>
      <c r="K574" s="748">
        <f t="shared" si="48"/>
        <v>0</v>
      </c>
      <c r="L574" s="753"/>
      <c r="M574" s="753"/>
      <c r="N574" s="753"/>
      <c r="O574" s="753"/>
      <c r="P574" s="756">
        <f t="shared" si="51"/>
        <v>0</v>
      </c>
      <c r="Q574" s="755"/>
      <c r="R574" s="750">
        <f t="shared" si="52"/>
        <v>0</v>
      </c>
    </row>
    <row r="575" spans="2:18" s="757" customFormat="1" outlineLevel="2" x14ac:dyDescent="0.2">
      <c r="B575" s="745" t="s">
        <v>4194</v>
      </c>
      <c r="C575" s="751" t="s">
        <v>2659</v>
      </c>
      <c r="D575" s="752" t="s">
        <v>246</v>
      </c>
      <c r="E575" s="753"/>
      <c r="F575" s="753"/>
      <c r="G575" s="753"/>
      <c r="H575" s="753"/>
      <c r="I575" s="754">
        <f t="shared" si="50"/>
        <v>0</v>
      </c>
      <c r="J575" s="755"/>
      <c r="K575" s="748">
        <f t="shared" si="48"/>
        <v>0</v>
      </c>
      <c r="L575" s="753"/>
      <c r="M575" s="753"/>
      <c r="N575" s="753"/>
      <c r="O575" s="753"/>
      <c r="P575" s="756">
        <f t="shared" si="51"/>
        <v>0</v>
      </c>
      <c r="Q575" s="755"/>
      <c r="R575" s="750">
        <f t="shared" si="52"/>
        <v>0</v>
      </c>
    </row>
    <row r="576" spans="2:18" s="757" customFormat="1" outlineLevel="2" x14ac:dyDescent="0.2">
      <c r="B576" s="745" t="s">
        <v>4195</v>
      </c>
      <c r="C576" s="751" t="s">
        <v>2660</v>
      </c>
      <c r="D576" s="752" t="s">
        <v>246</v>
      </c>
      <c r="E576" s="753"/>
      <c r="F576" s="753"/>
      <c r="G576" s="753"/>
      <c r="H576" s="753"/>
      <c r="I576" s="754">
        <f t="shared" si="50"/>
        <v>0</v>
      </c>
      <c r="J576" s="755"/>
      <c r="K576" s="748">
        <f t="shared" si="48"/>
        <v>0</v>
      </c>
      <c r="L576" s="753"/>
      <c r="M576" s="753"/>
      <c r="N576" s="753"/>
      <c r="O576" s="753"/>
      <c r="P576" s="756">
        <f t="shared" si="51"/>
        <v>0</v>
      </c>
      <c r="Q576" s="755"/>
      <c r="R576" s="750">
        <f t="shared" si="52"/>
        <v>0</v>
      </c>
    </row>
    <row r="577" spans="2:18" s="757" customFormat="1" outlineLevel="2" x14ac:dyDescent="0.2">
      <c r="B577" s="745" t="s">
        <v>4196</v>
      </c>
      <c r="C577" s="751" t="s">
        <v>2661</v>
      </c>
      <c r="D577" s="752" t="s">
        <v>246</v>
      </c>
      <c r="E577" s="753"/>
      <c r="F577" s="753"/>
      <c r="G577" s="753"/>
      <c r="H577" s="753"/>
      <c r="I577" s="754">
        <f t="shared" si="50"/>
        <v>0</v>
      </c>
      <c r="J577" s="755"/>
      <c r="K577" s="748">
        <f t="shared" si="48"/>
        <v>0</v>
      </c>
      <c r="L577" s="753"/>
      <c r="M577" s="753"/>
      <c r="N577" s="753"/>
      <c r="O577" s="753"/>
      <c r="P577" s="756">
        <f t="shared" si="51"/>
        <v>0</v>
      </c>
      <c r="Q577" s="755"/>
      <c r="R577" s="750">
        <f t="shared" si="52"/>
        <v>0</v>
      </c>
    </row>
    <row r="578" spans="2:18" s="757" customFormat="1" outlineLevel="2" x14ac:dyDescent="0.2">
      <c r="B578" s="745" t="s">
        <v>4197</v>
      </c>
      <c r="C578" s="751" t="s">
        <v>2662</v>
      </c>
      <c r="D578" s="752" t="s">
        <v>246</v>
      </c>
      <c r="E578" s="753"/>
      <c r="F578" s="753"/>
      <c r="G578" s="753"/>
      <c r="H578" s="753"/>
      <c r="I578" s="754">
        <f t="shared" si="50"/>
        <v>0</v>
      </c>
      <c r="J578" s="755"/>
      <c r="K578" s="748">
        <f t="shared" si="48"/>
        <v>0</v>
      </c>
      <c r="L578" s="753"/>
      <c r="M578" s="753"/>
      <c r="N578" s="753"/>
      <c r="O578" s="753"/>
      <c r="P578" s="756">
        <f t="shared" si="51"/>
        <v>0</v>
      </c>
      <c r="Q578" s="755"/>
      <c r="R578" s="750">
        <f t="shared" si="52"/>
        <v>0</v>
      </c>
    </row>
    <row r="579" spans="2:18" s="757" customFormat="1" outlineLevel="2" x14ac:dyDescent="0.2">
      <c r="B579" s="745" t="s">
        <v>4198</v>
      </c>
      <c r="C579" s="751" t="s">
        <v>2663</v>
      </c>
      <c r="D579" s="752" t="s">
        <v>246</v>
      </c>
      <c r="E579" s="753"/>
      <c r="F579" s="753"/>
      <c r="G579" s="753"/>
      <c r="H579" s="753"/>
      <c r="I579" s="754">
        <f t="shared" si="50"/>
        <v>0</v>
      </c>
      <c r="J579" s="755"/>
      <c r="K579" s="748">
        <f t="shared" si="48"/>
        <v>0</v>
      </c>
      <c r="L579" s="753"/>
      <c r="M579" s="753"/>
      <c r="N579" s="753"/>
      <c r="O579" s="753"/>
      <c r="P579" s="756">
        <f t="shared" si="51"/>
        <v>0</v>
      </c>
      <c r="Q579" s="755"/>
      <c r="R579" s="750">
        <f t="shared" si="52"/>
        <v>0</v>
      </c>
    </row>
    <row r="580" spans="2:18" s="757" customFormat="1" outlineLevel="2" x14ac:dyDescent="0.2">
      <c r="B580" s="745" t="s">
        <v>4199</v>
      </c>
      <c r="C580" s="751" t="s">
        <v>2664</v>
      </c>
      <c r="D580" s="752" t="s">
        <v>246</v>
      </c>
      <c r="E580" s="753"/>
      <c r="F580" s="753"/>
      <c r="G580" s="753"/>
      <c r="H580" s="753"/>
      <c r="I580" s="754">
        <f t="shared" si="50"/>
        <v>0</v>
      </c>
      <c r="J580" s="755"/>
      <c r="K580" s="748">
        <f t="shared" si="48"/>
        <v>0</v>
      </c>
      <c r="L580" s="753"/>
      <c r="M580" s="753"/>
      <c r="N580" s="753"/>
      <c r="O580" s="753"/>
      <c r="P580" s="756">
        <f t="shared" si="51"/>
        <v>0</v>
      </c>
      <c r="Q580" s="755"/>
      <c r="R580" s="750">
        <f t="shared" si="52"/>
        <v>0</v>
      </c>
    </row>
    <row r="581" spans="2:18" s="757" customFormat="1" outlineLevel="2" x14ac:dyDescent="0.2">
      <c r="B581" s="745" t="s">
        <v>4200</v>
      </c>
      <c r="C581" s="751" t="s">
        <v>2665</v>
      </c>
      <c r="D581" s="752" t="s">
        <v>246</v>
      </c>
      <c r="E581" s="753"/>
      <c r="F581" s="753"/>
      <c r="G581" s="753"/>
      <c r="H581" s="753"/>
      <c r="I581" s="754">
        <f t="shared" si="50"/>
        <v>0</v>
      </c>
      <c r="J581" s="755"/>
      <c r="K581" s="748">
        <f t="shared" si="48"/>
        <v>0</v>
      </c>
      <c r="L581" s="753"/>
      <c r="M581" s="753"/>
      <c r="N581" s="753"/>
      <c r="O581" s="753"/>
      <c r="P581" s="756">
        <f t="shared" si="51"/>
        <v>0</v>
      </c>
      <c r="Q581" s="755"/>
      <c r="R581" s="750">
        <f t="shared" si="52"/>
        <v>0</v>
      </c>
    </row>
    <row r="582" spans="2:18" s="757" customFormat="1" outlineLevel="2" x14ac:dyDescent="0.2">
      <c r="B582" s="745" t="s">
        <v>4201</v>
      </c>
      <c r="C582" s="751" t="s">
        <v>2666</v>
      </c>
      <c r="D582" s="752" t="s">
        <v>246</v>
      </c>
      <c r="E582" s="753"/>
      <c r="F582" s="753"/>
      <c r="G582" s="753"/>
      <c r="H582" s="753"/>
      <c r="I582" s="754">
        <f t="shared" si="50"/>
        <v>0</v>
      </c>
      <c r="J582" s="755"/>
      <c r="K582" s="748">
        <f t="shared" si="48"/>
        <v>0</v>
      </c>
      <c r="L582" s="753"/>
      <c r="M582" s="753"/>
      <c r="N582" s="753"/>
      <c r="O582" s="753"/>
      <c r="P582" s="756">
        <f t="shared" si="51"/>
        <v>0</v>
      </c>
      <c r="Q582" s="755"/>
      <c r="R582" s="750">
        <f t="shared" si="52"/>
        <v>0</v>
      </c>
    </row>
    <row r="583" spans="2:18" s="757" customFormat="1" outlineLevel="2" x14ac:dyDescent="0.2">
      <c r="B583" s="745" t="s">
        <v>4202</v>
      </c>
      <c r="C583" s="751" t="s">
        <v>2667</v>
      </c>
      <c r="D583" s="752" t="s">
        <v>246</v>
      </c>
      <c r="E583" s="753"/>
      <c r="F583" s="753"/>
      <c r="G583" s="753"/>
      <c r="H583" s="753"/>
      <c r="I583" s="754">
        <f t="shared" si="50"/>
        <v>0</v>
      </c>
      <c r="J583" s="755"/>
      <c r="K583" s="748">
        <f t="shared" si="48"/>
        <v>0</v>
      </c>
      <c r="L583" s="753"/>
      <c r="M583" s="753"/>
      <c r="N583" s="753"/>
      <c r="O583" s="753"/>
      <c r="P583" s="756">
        <f t="shared" si="51"/>
        <v>0</v>
      </c>
      <c r="Q583" s="755"/>
      <c r="R583" s="750">
        <f t="shared" si="52"/>
        <v>0</v>
      </c>
    </row>
    <row r="584" spans="2:18" s="757" customFormat="1" outlineLevel="2" x14ac:dyDescent="0.2">
      <c r="B584" s="745" t="s">
        <v>4203</v>
      </c>
      <c r="C584" s="751" t="s">
        <v>2668</v>
      </c>
      <c r="D584" s="752" t="s">
        <v>246</v>
      </c>
      <c r="E584" s="753"/>
      <c r="F584" s="753"/>
      <c r="G584" s="753"/>
      <c r="H584" s="753"/>
      <c r="I584" s="754">
        <f t="shared" si="50"/>
        <v>0</v>
      </c>
      <c r="J584" s="755"/>
      <c r="K584" s="748">
        <f t="shared" si="48"/>
        <v>0</v>
      </c>
      <c r="L584" s="753"/>
      <c r="M584" s="753"/>
      <c r="N584" s="753"/>
      <c r="O584" s="753"/>
      <c r="P584" s="756">
        <f t="shared" si="51"/>
        <v>0</v>
      </c>
      <c r="Q584" s="755"/>
      <c r="R584" s="750">
        <f t="shared" si="52"/>
        <v>0</v>
      </c>
    </row>
    <row r="585" spans="2:18" s="757" customFormat="1" outlineLevel="2" x14ac:dyDescent="0.2">
      <c r="B585" s="745" t="s">
        <v>4204</v>
      </c>
      <c r="C585" s="751" t="s">
        <v>2669</v>
      </c>
      <c r="D585" s="752" t="s">
        <v>246</v>
      </c>
      <c r="E585" s="753"/>
      <c r="F585" s="753"/>
      <c r="G585" s="753"/>
      <c r="H585" s="753"/>
      <c r="I585" s="754">
        <f t="shared" si="50"/>
        <v>0</v>
      </c>
      <c r="J585" s="755"/>
      <c r="K585" s="748">
        <f t="shared" si="48"/>
        <v>0</v>
      </c>
      <c r="L585" s="753"/>
      <c r="M585" s="753"/>
      <c r="N585" s="753"/>
      <c r="O585" s="753"/>
      <c r="P585" s="756">
        <f t="shared" si="51"/>
        <v>0</v>
      </c>
      <c r="Q585" s="755"/>
      <c r="R585" s="750">
        <f t="shared" si="52"/>
        <v>0</v>
      </c>
    </row>
    <row r="586" spans="2:18" s="757" customFormat="1" outlineLevel="2" x14ac:dyDescent="0.2">
      <c r="B586" s="745" t="s">
        <v>4205</v>
      </c>
      <c r="C586" s="751" t="s">
        <v>2670</v>
      </c>
      <c r="D586" s="752" t="s">
        <v>246</v>
      </c>
      <c r="E586" s="753"/>
      <c r="F586" s="753"/>
      <c r="G586" s="753"/>
      <c r="H586" s="753"/>
      <c r="I586" s="754">
        <f t="shared" si="50"/>
        <v>0</v>
      </c>
      <c r="J586" s="755"/>
      <c r="K586" s="748">
        <f t="shared" si="48"/>
        <v>0</v>
      </c>
      <c r="L586" s="753"/>
      <c r="M586" s="753"/>
      <c r="N586" s="753"/>
      <c r="O586" s="753"/>
      <c r="P586" s="756">
        <f t="shared" si="51"/>
        <v>0</v>
      </c>
      <c r="Q586" s="755"/>
      <c r="R586" s="750">
        <f t="shared" si="52"/>
        <v>0</v>
      </c>
    </row>
    <row r="587" spans="2:18" s="757" customFormat="1" outlineLevel="2" x14ac:dyDescent="0.2">
      <c r="B587" s="745" t="s">
        <v>4206</v>
      </c>
      <c r="C587" s="751" t="s">
        <v>2671</v>
      </c>
      <c r="D587" s="752" t="s">
        <v>246</v>
      </c>
      <c r="E587" s="753"/>
      <c r="F587" s="753"/>
      <c r="G587" s="753"/>
      <c r="H587" s="753"/>
      <c r="I587" s="754">
        <f t="shared" si="50"/>
        <v>0</v>
      </c>
      <c r="J587" s="755"/>
      <c r="K587" s="748">
        <f t="shared" ref="K587:K650" si="53">I587-J587</f>
        <v>0</v>
      </c>
      <c r="L587" s="753"/>
      <c r="M587" s="753"/>
      <c r="N587" s="753"/>
      <c r="O587" s="753"/>
      <c r="P587" s="756">
        <f t="shared" si="51"/>
        <v>0</v>
      </c>
      <c r="Q587" s="755"/>
      <c r="R587" s="750">
        <f t="shared" si="52"/>
        <v>0</v>
      </c>
    </row>
    <row r="588" spans="2:18" s="757" customFormat="1" outlineLevel="2" x14ac:dyDescent="0.2">
      <c r="B588" s="745" t="s">
        <v>4207</v>
      </c>
      <c r="C588" s="751" t="s">
        <v>2672</v>
      </c>
      <c r="D588" s="752" t="s">
        <v>246</v>
      </c>
      <c r="E588" s="753"/>
      <c r="F588" s="753"/>
      <c r="G588" s="753"/>
      <c r="H588" s="753"/>
      <c r="I588" s="754">
        <f t="shared" si="50"/>
        <v>0</v>
      </c>
      <c r="J588" s="755"/>
      <c r="K588" s="748">
        <f t="shared" si="53"/>
        <v>0</v>
      </c>
      <c r="L588" s="753"/>
      <c r="M588" s="753"/>
      <c r="N588" s="753"/>
      <c r="O588" s="753"/>
      <c r="P588" s="756">
        <f t="shared" si="51"/>
        <v>0</v>
      </c>
      <c r="Q588" s="755"/>
      <c r="R588" s="750">
        <f t="shared" si="52"/>
        <v>0</v>
      </c>
    </row>
    <row r="589" spans="2:18" s="757" customFormat="1" outlineLevel="2" x14ac:dyDescent="0.2">
      <c r="B589" s="745" t="s">
        <v>4208</v>
      </c>
      <c r="C589" s="751" t="s">
        <v>2673</v>
      </c>
      <c r="D589" s="752" t="s">
        <v>246</v>
      </c>
      <c r="E589" s="753"/>
      <c r="F589" s="753"/>
      <c r="G589" s="753"/>
      <c r="H589" s="753"/>
      <c r="I589" s="754">
        <f t="shared" si="50"/>
        <v>0</v>
      </c>
      <c r="J589" s="755"/>
      <c r="K589" s="748">
        <f t="shared" si="53"/>
        <v>0</v>
      </c>
      <c r="L589" s="753"/>
      <c r="M589" s="753"/>
      <c r="N589" s="753"/>
      <c r="O589" s="753"/>
      <c r="P589" s="756">
        <f t="shared" si="51"/>
        <v>0</v>
      </c>
      <c r="Q589" s="755"/>
      <c r="R589" s="750">
        <f t="shared" si="52"/>
        <v>0</v>
      </c>
    </row>
    <row r="590" spans="2:18" s="757" customFormat="1" outlineLevel="2" x14ac:dyDescent="0.2">
      <c r="B590" s="745" t="s">
        <v>4209</v>
      </c>
      <c r="C590" s="751" t="s">
        <v>2674</v>
      </c>
      <c r="D590" s="752" t="s">
        <v>246</v>
      </c>
      <c r="E590" s="753"/>
      <c r="F590" s="753"/>
      <c r="G590" s="753"/>
      <c r="H590" s="753"/>
      <c r="I590" s="754">
        <f t="shared" si="50"/>
        <v>0</v>
      </c>
      <c r="J590" s="755"/>
      <c r="K590" s="748">
        <f t="shared" si="53"/>
        <v>0</v>
      </c>
      <c r="L590" s="753"/>
      <c r="M590" s="753"/>
      <c r="N590" s="753"/>
      <c r="O590" s="753"/>
      <c r="P590" s="756">
        <f t="shared" si="51"/>
        <v>0</v>
      </c>
      <c r="Q590" s="755"/>
      <c r="R590" s="750">
        <f t="shared" si="52"/>
        <v>0</v>
      </c>
    </row>
    <row r="591" spans="2:18" s="757" customFormat="1" outlineLevel="2" x14ac:dyDescent="0.2">
      <c r="B591" s="745" t="s">
        <v>4210</v>
      </c>
      <c r="C591" s="751" t="s">
        <v>2675</v>
      </c>
      <c r="D591" s="752" t="s">
        <v>246</v>
      </c>
      <c r="E591" s="753"/>
      <c r="F591" s="753"/>
      <c r="G591" s="753"/>
      <c r="H591" s="753"/>
      <c r="I591" s="754">
        <f t="shared" si="50"/>
        <v>0</v>
      </c>
      <c r="J591" s="755"/>
      <c r="K591" s="748">
        <f t="shared" si="53"/>
        <v>0</v>
      </c>
      <c r="L591" s="753"/>
      <c r="M591" s="753"/>
      <c r="N591" s="753"/>
      <c r="O591" s="753"/>
      <c r="P591" s="756">
        <f t="shared" si="51"/>
        <v>0</v>
      </c>
      <c r="Q591" s="755"/>
      <c r="R591" s="750">
        <f t="shared" si="52"/>
        <v>0</v>
      </c>
    </row>
    <row r="592" spans="2:18" s="757" customFormat="1" outlineLevel="2" x14ac:dyDescent="0.2">
      <c r="B592" s="745" t="s">
        <v>4211</v>
      </c>
      <c r="C592" s="751" t="s">
        <v>2676</v>
      </c>
      <c r="D592" s="752" t="s">
        <v>246</v>
      </c>
      <c r="E592" s="753"/>
      <c r="F592" s="753"/>
      <c r="G592" s="753"/>
      <c r="H592" s="753"/>
      <c r="I592" s="754">
        <f t="shared" si="50"/>
        <v>0</v>
      </c>
      <c r="J592" s="755"/>
      <c r="K592" s="748">
        <f t="shared" si="53"/>
        <v>0</v>
      </c>
      <c r="L592" s="753"/>
      <c r="M592" s="753"/>
      <c r="N592" s="753"/>
      <c r="O592" s="753"/>
      <c r="P592" s="756">
        <f t="shared" si="51"/>
        <v>0</v>
      </c>
      <c r="Q592" s="755"/>
      <c r="R592" s="750">
        <f t="shared" si="52"/>
        <v>0</v>
      </c>
    </row>
    <row r="593" spans="2:18" s="757" customFormat="1" outlineLevel="2" x14ac:dyDescent="0.2">
      <c r="B593" s="745" t="s">
        <v>4212</v>
      </c>
      <c r="C593" s="751" t="s">
        <v>2677</v>
      </c>
      <c r="D593" s="752" t="s">
        <v>246</v>
      </c>
      <c r="E593" s="753"/>
      <c r="F593" s="753"/>
      <c r="G593" s="753"/>
      <c r="H593" s="753"/>
      <c r="I593" s="754">
        <f t="shared" si="50"/>
        <v>0</v>
      </c>
      <c r="J593" s="755"/>
      <c r="K593" s="748">
        <f t="shared" si="53"/>
        <v>0</v>
      </c>
      <c r="L593" s="753"/>
      <c r="M593" s="753"/>
      <c r="N593" s="753"/>
      <c r="O593" s="753"/>
      <c r="P593" s="756">
        <f t="shared" si="51"/>
        <v>0</v>
      </c>
      <c r="Q593" s="755"/>
      <c r="R593" s="750">
        <f t="shared" si="52"/>
        <v>0</v>
      </c>
    </row>
    <row r="594" spans="2:18" s="757" customFormat="1" outlineLevel="2" x14ac:dyDescent="0.2">
      <c r="B594" s="745" t="s">
        <v>4213</v>
      </c>
      <c r="C594" s="751" t="s">
        <v>2678</v>
      </c>
      <c r="D594" s="752" t="s">
        <v>246</v>
      </c>
      <c r="E594" s="753"/>
      <c r="F594" s="753"/>
      <c r="G594" s="753"/>
      <c r="H594" s="753"/>
      <c r="I594" s="754">
        <f t="shared" si="50"/>
        <v>0</v>
      </c>
      <c r="J594" s="755"/>
      <c r="K594" s="748">
        <f t="shared" si="53"/>
        <v>0</v>
      </c>
      <c r="L594" s="753"/>
      <c r="M594" s="753"/>
      <c r="N594" s="753"/>
      <c r="O594" s="753"/>
      <c r="P594" s="756">
        <f t="shared" si="51"/>
        <v>0</v>
      </c>
      <c r="Q594" s="755"/>
      <c r="R594" s="750">
        <f t="shared" si="52"/>
        <v>0</v>
      </c>
    </row>
    <row r="595" spans="2:18" s="757" customFormat="1" outlineLevel="2" x14ac:dyDescent="0.2">
      <c r="B595" s="745" t="s">
        <v>4214</v>
      </c>
      <c r="C595" s="751" t="s">
        <v>2679</v>
      </c>
      <c r="D595" s="752" t="s">
        <v>246</v>
      </c>
      <c r="E595" s="753"/>
      <c r="F595" s="753"/>
      <c r="G595" s="753"/>
      <c r="H595" s="753"/>
      <c r="I595" s="754">
        <f t="shared" si="50"/>
        <v>0</v>
      </c>
      <c r="J595" s="755"/>
      <c r="K595" s="748">
        <f t="shared" si="53"/>
        <v>0</v>
      </c>
      <c r="L595" s="753"/>
      <c r="M595" s="753"/>
      <c r="N595" s="753"/>
      <c r="O595" s="753"/>
      <c r="P595" s="756">
        <f t="shared" si="51"/>
        <v>0</v>
      </c>
      <c r="Q595" s="755"/>
      <c r="R595" s="750">
        <f t="shared" si="52"/>
        <v>0</v>
      </c>
    </row>
    <row r="596" spans="2:18" s="744" customFormat="1" x14ac:dyDescent="0.2">
      <c r="B596" s="745" t="s">
        <v>4215</v>
      </c>
      <c r="C596" s="758">
        <v>6</v>
      </c>
      <c r="D596" s="150" t="s">
        <v>248</v>
      </c>
      <c r="E596" s="759">
        <f t="shared" ref="E596:R596" si="54">E597+E648</f>
        <v>0</v>
      </c>
      <c r="F596" s="759">
        <f t="shared" si="54"/>
        <v>0</v>
      </c>
      <c r="G596" s="759">
        <f t="shared" si="54"/>
        <v>0</v>
      </c>
      <c r="H596" s="759">
        <f t="shared" si="54"/>
        <v>0</v>
      </c>
      <c r="I596" s="760">
        <f t="shared" si="54"/>
        <v>0</v>
      </c>
      <c r="J596" s="761">
        <f t="shared" si="54"/>
        <v>0</v>
      </c>
      <c r="K596" s="760">
        <f t="shared" si="54"/>
        <v>0</v>
      </c>
      <c r="L596" s="759">
        <f t="shared" si="54"/>
        <v>0</v>
      </c>
      <c r="M596" s="759">
        <f t="shared" si="54"/>
        <v>0</v>
      </c>
      <c r="N596" s="759">
        <f t="shared" si="54"/>
        <v>0</v>
      </c>
      <c r="O596" s="759">
        <f t="shared" si="54"/>
        <v>0</v>
      </c>
      <c r="P596" s="762">
        <f t="shared" si="54"/>
        <v>0</v>
      </c>
      <c r="Q596" s="761">
        <f t="shared" si="54"/>
        <v>0</v>
      </c>
      <c r="R596" s="763">
        <f t="shared" si="54"/>
        <v>0</v>
      </c>
    </row>
    <row r="597" spans="2:18" s="734" customFormat="1" outlineLevel="1" x14ac:dyDescent="0.2">
      <c r="B597" s="745" t="s">
        <v>4216</v>
      </c>
      <c r="C597" s="746">
        <v>6.1</v>
      </c>
      <c r="D597" s="131" t="s">
        <v>249</v>
      </c>
      <c r="E597" s="747">
        <f t="shared" ref="E597:Q597" si="55">SUM(E598:E647)</f>
        <v>0</v>
      </c>
      <c r="F597" s="747">
        <f t="shared" si="55"/>
        <v>0</v>
      </c>
      <c r="G597" s="747">
        <f t="shared" si="55"/>
        <v>0</v>
      </c>
      <c r="H597" s="747">
        <f t="shared" si="55"/>
        <v>0</v>
      </c>
      <c r="I597" s="748">
        <f t="shared" si="55"/>
        <v>0</v>
      </c>
      <c r="J597" s="747">
        <f t="shared" si="55"/>
        <v>0</v>
      </c>
      <c r="K597" s="748">
        <f t="shared" si="53"/>
        <v>0</v>
      </c>
      <c r="L597" s="747">
        <f t="shared" si="55"/>
        <v>0</v>
      </c>
      <c r="M597" s="747">
        <f t="shared" si="55"/>
        <v>0</v>
      </c>
      <c r="N597" s="747">
        <f t="shared" si="55"/>
        <v>0</v>
      </c>
      <c r="O597" s="747">
        <f t="shared" si="55"/>
        <v>0</v>
      </c>
      <c r="P597" s="749">
        <f t="shared" si="55"/>
        <v>0</v>
      </c>
      <c r="Q597" s="747">
        <f t="shared" si="55"/>
        <v>0</v>
      </c>
      <c r="R597" s="750">
        <f t="shared" ref="R597:R660" si="56">P597-Q597</f>
        <v>0</v>
      </c>
    </row>
    <row r="598" spans="2:18" s="757" customFormat="1" outlineLevel="2" x14ac:dyDescent="0.2">
      <c r="B598" s="745" t="s">
        <v>4217</v>
      </c>
      <c r="C598" s="751" t="s">
        <v>2680</v>
      </c>
      <c r="D598" s="752" t="s">
        <v>246</v>
      </c>
      <c r="E598" s="753"/>
      <c r="F598" s="753"/>
      <c r="G598" s="753"/>
      <c r="H598" s="753"/>
      <c r="I598" s="754">
        <f t="shared" ref="I598:I647" si="57">SUM(E598:H598)</f>
        <v>0</v>
      </c>
      <c r="J598" s="753"/>
      <c r="K598" s="748">
        <f t="shared" si="53"/>
        <v>0</v>
      </c>
      <c r="L598" s="753"/>
      <c r="M598" s="753"/>
      <c r="N598" s="753"/>
      <c r="O598" s="753"/>
      <c r="P598" s="756">
        <f t="shared" ref="P598:P647" si="58">SUM(L598:O598)</f>
        <v>0</v>
      </c>
      <c r="Q598" s="753"/>
      <c r="R598" s="750">
        <f t="shared" si="56"/>
        <v>0</v>
      </c>
    </row>
    <row r="599" spans="2:18" s="757" customFormat="1" outlineLevel="2" x14ac:dyDescent="0.2">
      <c r="B599" s="745" t="s">
        <v>4218</v>
      </c>
      <c r="C599" s="751" t="s">
        <v>2681</v>
      </c>
      <c r="D599" s="752" t="s">
        <v>246</v>
      </c>
      <c r="E599" s="753"/>
      <c r="F599" s="753"/>
      <c r="G599" s="753"/>
      <c r="H599" s="753"/>
      <c r="I599" s="754">
        <f t="shared" si="57"/>
        <v>0</v>
      </c>
      <c r="J599" s="753"/>
      <c r="K599" s="748">
        <f t="shared" si="53"/>
        <v>0</v>
      </c>
      <c r="L599" s="753"/>
      <c r="M599" s="753"/>
      <c r="N599" s="753"/>
      <c r="O599" s="753"/>
      <c r="P599" s="756">
        <f t="shared" si="58"/>
        <v>0</v>
      </c>
      <c r="Q599" s="753"/>
      <c r="R599" s="750">
        <f t="shared" si="56"/>
        <v>0</v>
      </c>
    </row>
    <row r="600" spans="2:18" s="757" customFormat="1" outlineLevel="2" x14ac:dyDescent="0.2">
      <c r="B600" s="745" t="s">
        <v>4219</v>
      </c>
      <c r="C600" s="751" t="s">
        <v>2682</v>
      </c>
      <c r="D600" s="752" t="s">
        <v>246</v>
      </c>
      <c r="E600" s="753"/>
      <c r="F600" s="753"/>
      <c r="G600" s="753"/>
      <c r="H600" s="753"/>
      <c r="I600" s="754">
        <f t="shared" si="57"/>
        <v>0</v>
      </c>
      <c r="J600" s="753"/>
      <c r="K600" s="748">
        <f t="shared" si="53"/>
        <v>0</v>
      </c>
      <c r="L600" s="753"/>
      <c r="M600" s="753"/>
      <c r="N600" s="753"/>
      <c r="O600" s="753"/>
      <c r="P600" s="756">
        <f t="shared" si="58"/>
        <v>0</v>
      </c>
      <c r="Q600" s="753"/>
      <c r="R600" s="750">
        <f t="shared" si="56"/>
        <v>0</v>
      </c>
    </row>
    <row r="601" spans="2:18" s="757" customFormat="1" outlineLevel="2" x14ac:dyDescent="0.2">
      <c r="B601" s="745" t="s">
        <v>4220</v>
      </c>
      <c r="C601" s="751" t="s">
        <v>2683</v>
      </c>
      <c r="D601" s="752" t="s">
        <v>246</v>
      </c>
      <c r="E601" s="753"/>
      <c r="F601" s="753"/>
      <c r="G601" s="753"/>
      <c r="H601" s="753"/>
      <c r="I601" s="754">
        <f t="shared" si="57"/>
        <v>0</v>
      </c>
      <c r="J601" s="753"/>
      <c r="K601" s="748">
        <f t="shared" si="53"/>
        <v>0</v>
      </c>
      <c r="L601" s="753"/>
      <c r="M601" s="753"/>
      <c r="N601" s="753"/>
      <c r="O601" s="753"/>
      <c r="P601" s="756">
        <f t="shared" si="58"/>
        <v>0</v>
      </c>
      <c r="Q601" s="753"/>
      <c r="R601" s="750">
        <f t="shared" si="56"/>
        <v>0</v>
      </c>
    </row>
    <row r="602" spans="2:18" s="757" customFormat="1" outlineLevel="2" x14ac:dyDescent="0.2">
      <c r="B602" s="745" t="s">
        <v>4221</v>
      </c>
      <c r="C602" s="751" t="s">
        <v>2684</v>
      </c>
      <c r="D602" s="752" t="s">
        <v>246</v>
      </c>
      <c r="E602" s="753"/>
      <c r="F602" s="753"/>
      <c r="G602" s="753"/>
      <c r="H602" s="753"/>
      <c r="I602" s="754">
        <f t="shared" si="57"/>
        <v>0</v>
      </c>
      <c r="J602" s="753"/>
      <c r="K602" s="748">
        <f t="shared" si="53"/>
        <v>0</v>
      </c>
      <c r="L602" s="753"/>
      <c r="M602" s="753"/>
      <c r="N602" s="753"/>
      <c r="O602" s="753"/>
      <c r="P602" s="756">
        <f t="shared" si="58"/>
        <v>0</v>
      </c>
      <c r="Q602" s="753"/>
      <c r="R602" s="750">
        <f t="shared" si="56"/>
        <v>0</v>
      </c>
    </row>
    <row r="603" spans="2:18" s="757" customFormat="1" outlineLevel="2" x14ac:dyDescent="0.2">
      <c r="B603" s="745" t="s">
        <v>4222</v>
      </c>
      <c r="C603" s="751" t="s">
        <v>2685</v>
      </c>
      <c r="D603" s="752" t="s">
        <v>246</v>
      </c>
      <c r="E603" s="753"/>
      <c r="F603" s="753"/>
      <c r="G603" s="753"/>
      <c r="H603" s="753"/>
      <c r="I603" s="754">
        <f t="shared" si="57"/>
        <v>0</v>
      </c>
      <c r="J603" s="753"/>
      <c r="K603" s="748">
        <f t="shared" si="53"/>
        <v>0</v>
      </c>
      <c r="L603" s="753"/>
      <c r="M603" s="753"/>
      <c r="N603" s="753"/>
      <c r="O603" s="753"/>
      <c r="P603" s="756">
        <f t="shared" si="58"/>
        <v>0</v>
      </c>
      <c r="Q603" s="753"/>
      <c r="R603" s="750">
        <f t="shared" si="56"/>
        <v>0</v>
      </c>
    </row>
    <row r="604" spans="2:18" s="757" customFormat="1" outlineLevel="2" x14ac:dyDescent="0.2">
      <c r="B604" s="745" t="s">
        <v>4223</v>
      </c>
      <c r="C604" s="751" t="s">
        <v>2686</v>
      </c>
      <c r="D604" s="752" t="s">
        <v>246</v>
      </c>
      <c r="E604" s="753"/>
      <c r="F604" s="753"/>
      <c r="G604" s="753"/>
      <c r="H604" s="753"/>
      <c r="I604" s="754">
        <f t="shared" si="57"/>
        <v>0</v>
      </c>
      <c r="J604" s="753"/>
      <c r="K604" s="748">
        <f t="shared" si="53"/>
        <v>0</v>
      </c>
      <c r="L604" s="753"/>
      <c r="M604" s="753"/>
      <c r="N604" s="753"/>
      <c r="O604" s="753"/>
      <c r="P604" s="756">
        <f t="shared" si="58"/>
        <v>0</v>
      </c>
      <c r="Q604" s="753"/>
      <c r="R604" s="750">
        <f t="shared" si="56"/>
        <v>0</v>
      </c>
    </row>
    <row r="605" spans="2:18" s="757" customFormat="1" outlineLevel="2" x14ac:dyDescent="0.2">
      <c r="B605" s="745" t="s">
        <v>4224</v>
      </c>
      <c r="C605" s="751" t="s">
        <v>2687</v>
      </c>
      <c r="D605" s="752" t="s">
        <v>246</v>
      </c>
      <c r="E605" s="753"/>
      <c r="F605" s="753"/>
      <c r="G605" s="753"/>
      <c r="H605" s="753"/>
      <c r="I605" s="754">
        <f t="shared" si="57"/>
        <v>0</v>
      </c>
      <c r="J605" s="753"/>
      <c r="K605" s="748">
        <f t="shared" si="53"/>
        <v>0</v>
      </c>
      <c r="L605" s="753"/>
      <c r="M605" s="753"/>
      <c r="N605" s="753"/>
      <c r="O605" s="753"/>
      <c r="P605" s="756">
        <f t="shared" si="58"/>
        <v>0</v>
      </c>
      <c r="Q605" s="753"/>
      <c r="R605" s="750">
        <f t="shared" si="56"/>
        <v>0</v>
      </c>
    </row>
    <row r="606" spans="2:18" s="757" customFormat="1" outlineLevel="2" x14ac:dyDescent="0.2">
      <c r="B606" s="745" t="s">
        <v>4225</v>
      </c>
      <c r="C606" s="751" t="s">
        <v>2688</v>
      </c>
      <c r="D606" s="752" t="s">
        <v>246</v>
      </c>
      <c r="E606" s="753"/>
      <c r="F606" s="753"/>
      <c r="G606" s="753"/>
      <c r="H606" s="753"/>
      <c r="I606" s="754">
        <f t="shared" si="57"/>
        <v>0</v>
      </c>
      <c r="J606" s="753"/>
      <c r="K606" s="748">
        <f t="shared" si="53"/>
        <v>0</v>
      </c>
      <c r="L606" s="753"/>
      <c r="M606" s="753"/>
      <c r="N606" s="753"/>
      <c r="O606" s="753"/>
      <c r="P606" s="756">
        <f t="shared" si="58"/>
        <v>0</v>
      </c>
      <c r="Q606" s="753"/>
      <c r="R606" s="750">
        <f t="shared" si="56"/>
        <v>0</v>
      </c>
    </row>
    <row r="607" spans="2:18" s="757" customFormat="1" outlineLevel="2" x14ac:dyDescent="0.2">
      <c r="B607" s="745" t="s">
        <v>4226</v>
      </c>
      <c r="C607" s="751" t="s">
        <v>2689</v>
      </c>
      <c r="D607" s="752" t="s">
        <v>246</v>
      </c>
      <c r="E607" s="753"/>
      <c r="F607" s="753"/>
      <c r="G607" s="753"/>
      <c r="H607" s="753"/>
      <c r="I607" s="754">
        <f t="shared" si="57"/>
        <v>0</v>
      </c>
      <c r="J607" s="753"/>
      <c r="K607" s="748">
        <f t="shared" si="53"/>
        <v>0</v>
      </c>
      <c r="L607" s="753"/>
      <c r="M607" s="753"/>
      <c r="N607" s="753"/>
      <c r="O607" s="753"/>
      <c r="P607" s="756">
        <f t="shared" si="58"/>
        <v>0</v>
      </c>
      <c r="Q607" s="753"/>
      <c r="R607" s="750">
        <f t="shared" si="56"/>
        <v>0</v>
      </c>
    </row>
    <row r="608" spans="2:18" s="757" customFormat="1" outlineLevel="2" x14ac:dyDescent="0.2">
      <c r="B608" s="745" t="s">
        <v>4227</v>
      </c>
      <c r="C608" s="751" t="s">
        <v>2690</v>
      </c>
      <c r="D608" s="752" t="s">
        <v>246</v>
      </c>
      <c r="E608" s="753"/>
      <c r="F608" s="753"/>
      <c r="G608" s="753"/>
      <c r="H608" s="753"/>
      <c r="I608" s="754">
        <f t="shared" si="57"/>
        <v>0</v>
      </c>
      <c r="J608" s="753"/>
      <c r="K608" s="748">
        <f t="shared" si="53"/>
        <v>0</v>
      </c>
      <c r="L608" s="753"/>
      <c r="M608" s="753"/>
      <c r="N608" s="753"/>
      <c r="O608" s="753"/>
      <c r="P608" s="756">
        <f t="shared" si="58"/>
        <v>0</v>
      </c>
      <c r="Q608" s="753"/>
      <c r="R608" s="750">
        <f t="shared" si="56"/>
        <v>0</v>
      </c>
    </row>
    <row r="609" spans="2:18" s="757" customFormat="1" outlineLevel="2" x14ac:dyDescent="0.2">
      <c r="B609" s="745" t="s">
        <v>4228</v>
      </c>
      <c r="C609" s="751" t="s">
        <v>2691</v>
      </c>
      <c r="D609" s="752" t="s">
        <v>246</v>
      </c>
      <c r="E609" s="753"/>
      <c r="F609" s="753"/>
      <c r="G609" s="753"/>
      <c r="H609" s="753"/>
      <c r="I609" s="754">
        <f t="shared" si="57"/>
        <v>0</v>
      </c>
      <c r="J609" s="753"/>
      <c r="K609" s="748">
        <f t="shared" si="53"/>
        <v>0</v>
      </c>
      <c r="L609" s="753"/>
      <c r="M609" s="753"/>
      <c r="N609" s="753"/>
      <c r="O609" s="753"/>
      <c r="P609" s="756">
        <f t="shared" si="58"/>
        <v>0</v>
      </c>
      <c r="Q609" s="753"/>
      <c r="R609" s="750">
        <f t="shared" si="56"/>
        <v>0</v>
      </c>
    </row>
    <row r="610" spans="2:18" s="757" customFormat="1" outlineLevel="2" x14ac:dyDescent="0.2">
      <c r="B610" s="745" t="s">
        <v>4229</v>
      </c>
      <c r="C610" s="751" t="s">
        <v>2692</v>
      </c>
      <c r="D610" s="752" t="s">
        <v>246</v>
      </c>
      <c r="E610" s="753"/>
      <c r="F610" s="753"/>
      <c r="G610" s="753"/>
      <c r="H610" s="753"/>
      <c r="I610" s="754">
        <f t="shared" si="57"/>
        <v>0</v>
      </c>
      <c r="J610" s="753"/>
      <c r="K610" s="748">
        <f t="shared" si="53"/>
        <v>0</v>
      </c>
      <c r="L610" s="753"/>
      <c r="M610" s="753"/>
      <c r="N610" s="753"/>
      <c r="O610" s="753"/>
      <c r="P610" s="756">
        <f t="shared" si="58"/>
        <v>0</v>
      </c>
      <c r="Q610" s="753"/>
      <c r="R610" s="750">
        <f t="shared" si="56"/>
        <v>0</v>
      </c>
    </row>
    <row r="611" spans="2:18" s="757" customFormat="1" outlineLevel="2" x14ac:dyDescent="0.2">
      <c r="B611" s="745" t="s">
        <v>4230</v>
      </c>
      <c r="C611" s="751" t="s">
        <v>2693</v>
      </c>
      <c r="D611" s="752" t="s">
        <v>246</v>
      </c>
      <c r="E611" s="753"/>
      <c r="F611" s="753"/>
      <c r="G611" s="753"/>
      <c r="H611" s="753"/>
      <c r="I611" s="754">
        <f t="shared" si="57"/>
        <v>0</v>
      </c>
      <c r="J611" s="753"/>
      <c r="K611" s="748">
        <f t="shared" si="53"/>
        <v>0</v>
      </c>
      <c r="L611" s="753"/>
      <c r="M611" s="753"/>
      <c r="N611" s="753"/>
      <c r="O611" s="753"/>
      <c r="P611" s="756">
        <f t="shared" si="58"/>
        <v>0</v>
      </c>
      <c r="Q611" s="753"/>
      <c r="R611" s="750">
        <f t="shared" si="56"/>
        <v>0</v>
      </c>
    </row>
    <row r="612" spans="2:18" s="757" customFormat="1" outlineLevel="2" x14ac:dyDescent="0.2">
      <c r="B612" s="745" t="s">
        <v>4231</v>
      </c>
      <c r="C612" s="751" t="s">
        <v>2694</v>
      </c>
      <c r="D612" s="752" t="s">
        <v>246</v>
      </c>
      <c r="E612" s="753"/>
      <c r="F612" s="753"/>
      <c r="G612" s="753"/>
      <c r="H612" s="753"/>
      <c r="I612" s="754">
        <f t="shared" si="57"/>
        <v>0</v>
      </c>
      <c r="J612" s="753"/>
      <c r="K612" s="748">
        <f t="shared" si="53"/>
        <v>0</v>
      </c>
      <c r="L612" s="753"/>
      <c r="M612" s="753"/>
      <c r="N612" s="753"/>
      <c r="O612" s="753"/>
      <c r="P612" s="756">
        <f t="shared" si="58"/>
        <v>0</v>
      </c>
      <c r="Q612" s="753"/>
      <c r="R612" s="750">
        <f t="shared" si="56"/>
        <v>0</v>
      </c>
    </row>
    <row r="613" spans="2:18" s="757" customFormat="1" outlineLevel="2" x14ac:dyDescent="0.2">
      <c r="B613" s="745" t="s">
        <v>4232</v>
      </c>
      <c r="C613" s="751" t="s">
        <v>2695</v>
      </c>
      <c r="D613" s="752" t="s">
        <v>246</v>
      </c>
      <c r="E613" s="753"/>
      <c r="F613" s="753"/>
      <c r="G613" s="753"/>
      <c r="H613" s="753"/>
      <c r="I613" s="754">
        <f t="shared" si="57"/>
        <v>0</v>
      </c>
      <c r="J613" s="753"/>
      <c r="K613" s="748">
        <f t="shared" si="53"/>
        <v>0</v>
      </c>
      <c r="L613" s="753"/>
      <c r="M613" s="753"/>
      <c r="N613" s="753"/>
      <c r="O613" s="753"/>
      <c r="P613" s="756">
        <f t="shared" si="58"/>
        <v>0</v>
      </c>
      <c r="Q613" s="753"/>
      <c r="R613" s="750">
        <f t="shared" si="56"/>
        <v>0</v>
      </c>
    </row>
    <row r="614" spans="2:18" s="757" customFormat="1" outlineLevel="2" x14ac:dyDescent="0.2">
      <c r="B614" s="745" t="s">
        <v>4233</v>
      </c>
      <c r="C614" s="751" t="s">
        <v>2696</v>
      </c>
      <c r="D614" s="752" t="s">
        <v>246</v>
      </c>
      <c r="E614" s="753"/>
      <c r="F614" s="753"/>
      <c r="G614" s="753"/>
      <c r="H614" s="753"/>
      <c r="I614" s="754">
        <f t="shared" si="57"/>
        <v>0</v>
      </c>
      <c r="J614" s="753"/>
      <c r="K614" s="748">
        <f t="shared" si="53"/>
        <v>0</v>
      </c>
      <c r="L614" s="753"/>
      <c r="M614" s="753"/>
      <c r="N614" s="753"/>
      <c r="O614" s="753"/>
      <c r="P614" s="756">
        <f t="shared" si="58"/>
        <v>0</v>
      </c>
      <c r="Q614" s="753"/>
      <c r="R614" s="750">
        <f t="shared" si="56"/>
        <v>0</v>
      </c>
    </row>
    <row r="615" spans="2:18" s="757" customFormat="1" outlineLevel="2" x14ac:dyDescent="0.2">
      <c r="B615" s="745" t="s">
        <v>4234</v>
      </c>
      <c r="C615" s="751" t="s">
        <v>2697</v>
      </c>
      <c r="D615" s="752" t="s">
        <v>246</v>
      </c>
      <c r="E615" s="753"/>
      <c r="F615" s="753"/>
      <c r="G615" s="753"/>
      <c r="H615" s="753"/>
      <c r="I615" s="754">
        <f t="shared" si="57"/>
        <v>0</v>
      </c>
      <c r="J615" s="753"/>
      <c r="K615" s="748">
        <f t="shared" si="53"/>
        <v>0</v>
      </c>
      <c r="L615" s="753"/>
      <c r="M615" s="753"/>
      <c r="N615" s="753"/>
      <c r="O615" s="753"/>
      <c r="P615" s="756">
        <f t="shared" si="58"/>
        <v>0</v>
      </c>
      <c r="Q615" s="753"/>
      <c r="R615" s="750">
        <f t="shared" si="56"/>
        <v>0</v>
      </c>
    </row>
    <row r="616" spans="2:18" s="757" customFormat="1" outlineLevel="2" x14ac:dyDescent="0.2">
      <c r="B616" s="745" t="s">
        <v>4235</v>
      </c>
      <c r="C616" s="751" t="s">
        <v>2698</v>
      </c>
      <c r="D616" s="752" t="s">
        <v>246</v>
      </c>
      <c r="E616" s="753"/>
      <c r="F616" s="753"/>
      <c r="G616" s="753"/>
      <c r="H616" s="753"/>
      <c r="I616" s="754">
        <f t="shared" si="57"/>
        <v>0</v>
      </c>
      <c r="J616" s="753"/>
      <c r="K616" s="748">
        <f t="shared" si="53"/>
        <v>0</v>
      </c>
      <c r="L616" s="753"/>
      <c r="M616" s="753"/>
      <c r="N616" s="753"/>
      <c r="O616" s="753"/>
      <c r="P616" s="756">
        <f t="shared" si="58"/>
        <v>0</v>
      </c>
      <c r="Q616" s="753"/>
      <c r="R616" s="750">
        <f t="shared" si="56"/>
        <v>0</v>
      </c>
    </row>
    <row r="617" spans="2:18" s="757" customFormat="1" outlineLevel="2" x14ac:dyDescent="0.2">
      <c r="B617" s="745" t="s">
        <v>4236</v>
      </c>
      <c r="C617" s="751" t="s">
        <v>2699</v>
      </c>
      <c r="D617" s="752" t="s">
        <v>246</v>
      </c>
      <c r="E617" s="753"/>
      <c r="F617" s="753"/>
      <c r="G617" s="753"/>
      <c r="H617" s="753"/>
      <c r="I617" s="754">
        <f t="shared" si="57"/>
        <v>0</v>
      </c>
      <c r="J617" s="753"/>
      <c r="K617" s="748">
        <f t="shared" si="53"/>
        <v>0</v>
      </c>
      <c r="L617" s="753"/>
      <c r="M617" s="753"/>
      <c r="N617" s="753"/>
      <c r="O617" s="753"/>
      <c r="P617" s="756">
        <f t="shared" si="58"/>
        <v>0</v>
      </c>
      <c r="Q617" s="753"/>
      <c r="R617" s="750">
        <f t="shared" si="56"/>
        <v>0</v>
      </c>
    </row>
    <row r="618" spans="2:18" s="757" customFormat="1" outlineLevel="2" x14ac:dyDescent="0.2">
      <c r="B618" s="745" t="s">
        <v>4237</v>
      </c>
      <c r="C618" s="751" t="s">
        <v>2700</v>
      </c>
      <c r="D618" s="752" t="s">
        <v>246</v>
      </c>
      <c r="E618" s="753"/>
      <c r="F618" s="753"/>
      <c r="G618" s="753"/>
      <c r="H618" s="753"/>
      <c r="I618" s="754">
        <f t="shared" si="57"/>
        <v>0</v>
      </c>
      <c r="J618" s="753"/>
      <c r="K618" s="748">
        <f t="shared" si="53"/>
        <v>0</v>
      </c>
      <c r="L618" s="753"/>
      <c r="M618" s="753"/>
      <c r="N618" s="753"/>
      <c r="O618" s="753"/>
      <c r="P618" s="756">
        <f t="shared" si="58"/>
        <v>0</v>
      </c>
      <c r="Q618" s="753"/>
      <c r="R618" s="750">
        <f t="shared" si="56"/>
        <v>0</v>
      </c>
    </row>
    <row r="619" spans="2:18" s="757" customFormat="1" outlineLevel="2" x14ac:dyDescent="0.2">
      <c r="B619" s="745" t="s">
        <v>4238</v>
      </c>
      <c r="C619" s="751" t="s">
        <v>2701</v>
      </c>
      <c r="D619" s="752" t="s">
        <v>246</v>
      </c>
      <c r="E619" s="753"/>
      <c r="F619" s="753"/>
      <c r="G619" s="753"/>
      <c r="H619" s="753"/>
      <c r="I619" s="754">
        <f t="shared" si="57"/>
        <v>0</v>
      </c>
      <c r="J619" s="753"/>
      <c r="K619" s="748">
        <f t="shared" si="53"/>
        <v>0</v>
      </c>
      <c r="L619" s="753"/>
      <c r="M619" s="753"/>
      <c r="N619" s="753"/>
      <c r="O619" s="753"/>
      <c r="P619" s="756">
        <f t="shared" si="58"/>
        <v>0</v>
      </c>
      <c r="Q619" s="753"/>
      <c r="R619" s="750">
        <f t="shared" si="56"/>
        <v>0</v>
      </c>
    </row>
    <row r="620" spans="2:18" s="757" customFormat="1" outlineLevel="2" x14ac:dyDescent="0.2">
      <c r="B620" s="745" t="s">
        <v>4239</v>
      </c>
      <c r="C620" s="751" t="s">
        <v>2702</v>
      </c>
      <c r="D620" s="752" t="s">
        <v>246</v>
      </c>
      <c r="E620" s="753"/>
      <c r="F620" s="753"/>
      <c r="G620" s="753"/>
      <c r="H620" s="753"/>
      <c r="I620" s="754">
        <f t="shared" si="57"/>
        <v>0</v>
      </c>
      <c r="J620" s="753"/>
      <c r="K620" s="748">
        <f t="shared" si="53"/>
        <v>0</v>
      </c>
      <c r="L620" s="753"/>
      <c r="M620" s="753"/>
      <c r="N620" s="753"/>
      <c r="O620" s="753"/>
      <c r="P620" s="756">
        <f t="shared" si="58"/>
        <v>0</v>
      </c>
      <c r="Q620" s="753"/>
      <c r="R620" s="750">
        <f t="shared" si="56"/>
        <v>0</v>
      </c>
    </row>
    <row r="621" spans="2:18" s="757" customFormat="1" outlineLevel="2" x14ac:dyDescent="0.2">
      <c r="B621" s="745" t="s">
        <v>4240</v>
      </c>
      <c r="C621" s="751" t="s">
        <v>2703</v>
      </c>
      <c r="D621" s="752" t="s">
        <v>246</v>
      </c>
      <c r="E621" s="753"/>
      <c r="F621" s="753"/>
      <c r="G621" s="753"/>
      <c r="H621" s="753"/>
      <c r="I621" s="754">
        <f t="shared" si="57"/>
        <v>0</v>
      </c>
      <c r="J621" s="753"/>
      <c r="K621" s="748">
        <f t="shared" si="53"/>
        <v>0</v>
      </c>
      <c r="L621" s="753"/>
      <c r="M621" s="753"/>
      <c r="N621" s="753"/>
      <c r="O621" s="753"/>
      <c r="P621" s="756">
        <f t="shared" si="58"/>
        <v>0</v>
      </c>
      <c r="Q621" s="753"/>
      <c r="R621" s="750">
        <f t="shared" si="56"/>
        <v>0</v>
      </c>
    </row>
    <row r="622" spans="2:18" s="757" customFormat="1" outlineLevel="2" x14ac:dyDescent="0.2">
      <c r="B622" s="745" t="s">
        <v>4241</v>
      </c>
      <c r="C622" s="751" t="s">
        <v>2704</v>
      </c>
      <c r="D622" s="752" t="s">
        <v>246</v>
      </c>
      <c r="E622" s="753"/>
      <c r="F622" s="753"/>
      <c r="G622" s="753"/>
      <c r="H622" s="753"/>
      <c r="I622" s="754">
        <f t="shared" si="57"/>
        <v>0</v>
      </c>
      <c r="J622" s="753"/>
      <c r="K622" s="748">
        <f t="shared" si="53"/>
        <v>0</v>
      </c>
      <c r="L622" s="753"/>
      <c r="M622" s="753"/>
      <c r="N622" s="753"/>
      <c r="O622" s="753"/>
      <c r="P622" s="756">
        <f t="shared" si="58"/>
        <v>0</v>
      </c>
      <c r="Q622" s="753"/>
      <c r="R622" s="750">
        <f t="shared" si="56"/>
        <v>0</v>
      </c>
    </row>
    <row r="623" spans="2:18" s="757" customFormat="1" outlineLevel="2" x14ac:dyDescent="0.2">
      <c r="B623" s="745" t="s">
        <v>4242</v>
      </c>
      <c r="C623" s="751" t="s">
        <v>2705</v>
      </c>
      <c r="D623" s="752" t="s">
        <v>246</v>
      </c>
      <c r="E623" s="753"/>
      <c r="F623" s="753"/>
      <c r="G623" s="753"/>
      <c r="H623" s="753"/>
      <c r="I623" s="754">
        <f t="shared" si="57"/>
        <v>0</v>
      </c>
      <c r="J623" s="753"/>
      <c r="K623" s="748">
        <f t="shared" si="53"/>
        <v>0</v>
      </c>
      <c r="L623" s="753"/>
      <c r="M623" s="753"/>
      <c r="N623" s="753"/>
      <c r="O623" s="753"/>
      <c r="P623" s="756">
        <f t="shared" si="58"/>
        <v>0</v>
      </c>
      <c r="Q623" s="753"/>
      <c r="R623" s="750">
        <f t="shared" si="56"/>
        <v>0</v>
      </c>
    </row>
    <row r="624" spans="2:18" s="757" customFormat="1" outlineLevel="2" x14ac:dyDescent="0.2">
      <c r="B624" s="745" t="s">
        <v>4243</v>
      </c>
      <c r="C624" s="751" t="s">
        <v>2706</v>
      </c>
      <c r="D624" s="752" t="s">
        <v>246</v>
      </c>
      <c r="E624" s="753"/>
      <c r="F624" s="753"/>
      <c r="G624" s="753"/>
      <c r="H624" s="753"/>
      <c r="I624" s="754">
        <f t="shared" si="57"/>
        <v>0</v>
      </c>
      <c r="J624" s="753"/>
      <c r="K624" s="748">
        <f t="shared" si="53"/>
        <v>0</v>
      </c>
      <c r="L624" s="753"/>
      <c r="M624" s="753"/>
      <c r="N624" s="753"/>
      <c r="O624" s="753"/>
      <c r="P624" s="756">
        <f t="shared" si="58"/>
        <v>0</v>
      </c>
      <c r="Q624" s="753"/>
      <c r="R624" s="750">
        <f t="shared" si="56"/>
        <v>0</v>
      </c>
    </row>
    <row r="625" spans="2:18" s="757" customFormat="1" outlineLevel="2" x14ac:dyDescent="0.2">
      <c r="B625" s="745" t="s">
        <v>4244</v>
      </c>
      <c r="C625" s="751" t="s">
        <v>2707</v>
      </c>
      <c r="D625" s="752" t="s">
        <v>246</v>
      </c>
      <c r="E625" s="753"/>
      <c r="F625" s="753"/>
      <c r="G625" s="753"/>
      <c r="H625" s="753"/>
      <c r="I625" s="754">
        <f t="shared" si="57"/>
        <v>0</v>
      </c>
      <c r="J625" s="753"/>
      <c r="K625" s="748">
        <f t="shared" si="53"/>
        <v>0</v>
      </c>
      <c r="L625" s="753"/>
      <c r="M625" s="753"/>
      <c r="N625" s="753"/>
      <c r="O625" s="753"/>
      <c r="P625" s="756">
        <f t="shared" si="58"/>
        <v>0</v>
      </c>
      <c r="Q625" s="753"/>
      <c r="R625" s="750">
        <f t="shared" si="56"/>
        <v>0</v>
      </c>
    </row>
    <row r="626" spans="2:18" s="757" customFormat="1" outlineLevel="2" x14ac:dyDescent="0.2">
      <c r="B626" s="745" t="s">
        <v>4245</v>
      </c>
      <c r="C626" s="751" t="s">
        <v>2708</v>
      </c>
      <c r="D626" s="752" t="s">
        <v>246</v>
      </c>
      <c r="E626" s="753"/>
      <c r="F626" s="753"/>
      <c r="G626" s="753"/>
      <c r="H626" s="753"/>
      <c r="I626" s="754">
        <f t="shared" si="57"/>
        <v>0</v>
      </c>
      <c r="J626" s="753"/>
      <c r="K626" s="748">
        <f t="shared" si="53"/>
        <v>0</v>
      </c>
      <c r="L626" s="753"/>
      <c r="M626" s="753"/>
      <c r="N626" s="753"/>
      <c r="O626" s="753"/>
      <c r="P626" s="756">
        <f t="shared" si="58"/>
        <v>0</v>
      </c>
      <c r="Q626" s="753"/>
      <c r="R626" s="750">
        <f t="shared" si="56"/>
        <v>0</v>
      </c>
    </row>
    <row r="627" spans="2:18" s="757" customFormat="1" outlineLevel="2" x14ac:dyDescent="0.2">
      <c r="B627" s="745" t="s">
        <v>4246</v>
      </c>
      <c r="C627" s="751" t="s">
        <v>2709</v>
      </c>
      <c r="D627" s="752" t="s">
        <v>246</v>
      </c>
      <c r="E627" s="753"/>
      <c r="F627" s="753"/>
      <c r="G627" s="753"/>
      <c r="H627" s="753"/>
      <c r="I627" s="754">
        <f t="shared" si="57"/>
        <v>0</v>
      </c>
      <c r="J627" s="753"/>
      <c r="K627" s="748">
        <f t="shared" si="53"/>
        <v>0</v>
      </c>
      <c r="L627" s="753"/>
      <c r="M627" s="753"/>
      <c r="N627" s="753"/>
      <c r="O627" s="753"/>
      <c r="P627" s="756">
        <f t="shared" si="58"/>
        <v>0</v>
      </c>
      <c r="Q627" s="753"/>
      <c r="R627" s="750">
        <f t="shared" si="56"/>
        <v>0</v>
      </c>
    </row>
    <row r="628" spans="2:18" s="757" customFormat="1" outlineLevel="2" x14ac:dyDescent="0.2">
      <c r="B628" s="745" t="s">
        <v>4247</v>
      </c>
      <c r="C628" s="751" t="s">
        <v>2710</v>
      </c>
      <c r="D628" s="752" t="s">
        <v>246</v>
      </c>
      <c r="E628" s="753"/>
      <c r="F628" s="753"/>
      <c r="G628" s="753"/>
      <c r="H628" s="753"/>
      <c r="I628" s="754">
        <f t="shared" si="57"/>
        <v>0</v>
      </c>
      <c r="J628" s="753"/>
      <c r="K628" s="748">
        <f t="shared" si="53"/>
        <v>0</v>
      </c>
      <c r="L628" s="753"/>
      <c r="M628" s="753"/>
      <c r="N628" s="753"/>
      <c r="O628" s="753"/>
      <c r="P628" s="756">
        <f t="shared" si="58"/>
        <v>0</v>
      </c>
      <c r="Q628" s="753"/>
      <c r="R628" s="750">
        <f t="shared" si="56"/>
        <v>0</v>
      </c>
    </row>
    <row r="629" spans="2:18" s="757" customFormat="1" outlineLevel="2" x14ac:dyDescent="0.2">
      <c r="B629" s="745" t="s">
        <v>4248</v>
      </c>
      <c r="C629" s="751" t="s">
        <v>2711</v>
      </c>
      <c r="D629" s="752" t="s">
        <v>246</v>
      </c>
      <c r="E629" s="753"/>
      <c r="F629" s="753"/>
      <c r="G629" s="753"/>
      <c r="H629" s="753"/>
      <c r="I629" s="754">
        <f t="shared" si="57"/>
        <v>0</v>
      </c>
      <c r="J629" s="753"/>
      <c r="K629" s="748">
        <f t="shared" si="53"/>
        <v>0</v>
      </c>
      <c r="L629" s="753"/>
      <c r="M629" s="753"/>
      <c r="N629" s="753"/>
      <c r="O629" s="753"/>
      <c r="P629" s="756">
        <f t="shared" si="58"/>
        <v>0</v>
      </c>
      <c r="Q629" s="753"/>
      <c r="R629" s="750">
        <f t="shared" si="56"/>
        <v>0</v>
      </c>
    </row>
    <row r="630" spans="2:18" s="757" customFormat="1" outlineLevel="2" x14ac:dyDescent="0.2">
      <c r="B630" s="745" t="s">
        <v>4249</v>
      </c>
      <c r="C630" s="751" t="s">
        <v>2712</v>
      </c>
      <c r="D630" s="752" t="s">
        <v>246</v>
      </c>
      <c r="E630" s="753"/>
      <c r="F630" s="753"/>
      <c r="G630" s="753"/>
      <c r="H630" s="753"/>
      <c r="I630" s="754">
        <f t="shared" si="57"/>
        <v>0</v>
      </c>
      <c r="J630" s="753"/>
      <c r="K630" s="748">
        <f t="shared" si="53"/>
        <v>0</v>
      </c>
      <c r="L630" s="753"/>
      <c r="M630" s="753"/>
      <c r="N630" s="753"/>
      <c r="O630" s="753"/>
      <c r="P630" s="756">
        <f t="shared" si="58"/>
        <v>0</v>
      </c>
      <c r="Q630" s="753"/>
      <c r="R630" s="750">
        <f t="shared" si="56"/>
        <v>0</v>
      </c>
    </row>
    <row r="631" spans="2:18" s="757" customFormat="1" outlineLevel="2" x14ac:dyDescent="0.2">
      <c r="B631" s="745" t="s">
        <v>4250</v>
      </c>
      <c r="C631" s="751" t="s">
        <v>2713</v>
      </c>
      <c r="D631" s="752" t="s">
        <v>246</v>
      </c>
      <c r="E631" s="753"/>
      <c r="F631" s="753"/>
      <c r="G631" s="753"/>
      <c r="H631" s="753"/>
      <c r="I631" s="754">
        <f t="shared" si="57"/>
        <v>0</v>
      </c>
      <c r="J631" s="753"/>
      <c r="K631" s="748">
        <f t="shared" si="53"/>
        <v>0</v>
      </c>
      <c r="L631" s="753"/>
      <c r="M631" s="753"/>
      <c r="N631" s="753"/>
      <c r="O631" s="753"/>
      <c r="P631" s="756">
        <f t="shared" si="58"/>
        <v>0</v>
      </c>
      <c r="Q631" s="753"/>
      <c r="R631" s="750">
        <f t="shared" si="56"/>
        <v>0</v>
      </c>
    </row>
    <row r="632" spans="2:18" s="757" customFormat="1" outlineLevel="2" x14ac:dyDescent="0.2">
      <c r="B632" s="745" t="s">
        <v>4251</v>
      </c>
      <c r="C632" s="751" t="s">
        <v>2714</v>
      </c>
      <c r="D632" s="752" t="s">
        <v>246</v>
      </c>
      <c r="E632" s="753"/>
      <c r="F632" s="753"/>
      <c r="G632" s="753"/>
      <c r="H632" s="753"/>
      <c r="I632" s="754">
        <f t="shared" si="57"/>
        <v>0</v>
      </c>
      <c r="J632" s="753"/>
      <c r="K632" s="748">
        <f t="shared" si="53"/>
        <v>0</v>
      </c>
      <c r="L632" s="753"/>
      <c r="M632" s="753"/>
      <c r="N632" s="753"/>
      <c r="O632" s="753"/>
      <c r="P632" s="756">
        <f t="shared" si="58"/>
        <v>0</v>
      </c>
      <c r="Q632" s="753"/>
      <c r="R632" s="750">
        <f t="shared" si="56"/>
        <v>0</v>
      </c>
    </row>
    <row r="633" spans="2:18" s="757" customFormat="1" outlineLevel="2" x14ac:dyDescent="0.2">
      <c r="B633" s="745" t="s">
        <v>4252</v>
      </c>
      <c r="C633" s="751" t="s">
        <v>2715</v>
      </c>
      <c r="D633" s="752" t="s">
        <v>246</v>
      </c>
      <c r="E633" s="753"/>
      <c r="F633" s="753"/>
      <c r="G633" s="753"/>
      <c r="H633" s="753"/>
      <c r="I633" s="754">
        <f t="shared" si="57"/>
        <v>0</v>
      </c>
      <c r="J633" s="753"/>
      <c r="K633" s="748">
        <f t="shared" si="53"/>
        <v>0</v>
      </c>
      <c r="L633" s="753"/>
      <c r="M633" s="753"/>
      <c r="N633" s="753"/>
      <c r="O633" s="753"/>
      <c r="P633" s="756">
        <f t="shared" si="58"/>
        <v>0</v>
      </c>
      <c r="Q633" s="753"/>
      <c r="R633" s="750">
        <f t="shared" si="56"/>
        <v>0</v>
      </c>
    </row>
    <row r="634" spans="2:18" s="757" customFormat="1" outlineLevel="2" x14ac:dyDescent="0.2">
      <c r="B634" s="745" t="s">
        <v>4253</v>
      </c>
      <c r="C634" s="751" t="s">
        <v>2716</v>
      </c>
      <c r="D634" s="752" t="s">
        <v>246</v>
      </c>
      <c r="E634" s="753"/>
      <c r="F634" s="753"/>
      <c r="G634" s="753"/>
      <c r="H634" s="753"/>
      <c r="I634" s="754">
        <f t="shared" si="57"/>
        <v>0</v>
      </c>
      <c r="J634" s="753"/>
      <c r="K634" s="748">
        <f t="shared" si="53"/>
        <v>0</v>
      </c>
      <c r="L634" s="753"/>
      <c r="M634" s="753"/>
      <c r="N634" s="753"/>
      <c r="O634" s="753"/>
      <c r="P634" s="756">
        <f t="shared" si="58"/>
        <v>0</v>
      </c>
      <c r="Q634" s="753"/>
      <c r="R634" s="750">
        <f t="shared" si="56"/>
        <v>0</v>
      </c>
    </row>
    <row r="635" spans="2:18" s="757" customFormat="1" outlineLevel="2" x14ac:dyDescent="0.2">
      <c r="B635" s="745" t="s">
        <v>4254</v>
      </c>
      <c r="C635" s="751" t="s">
        <v>2717</v>
      </c>
      <c r="D635" s="752" t="s">
        <v>246</v>
      </c>
      <c r="E635" s="753"/>
      <c r="F635" s="753"/>
      <c r="G635" s="753"/>
      <c r="H635" s="753"/>
      <c r="I635" s="754">
        <f t="shared" si="57"/>
        <v>0</v>
      </c>
      <c r="J635" s="753"/>
      <c r="K635" s="748">
        <f t="shared" si="53"/>
        <v>0</v>
      </c>
      <c r="L635" s="753"/>
      <c r="M635" s="753"/>
      <c r="N635" s="753"/>
      <c r="O635" s="753"/>
      <c r="P635" s="756">
        <f t="shared" si="58"/>
        <v>0</v>
      </c>
      <c r="Q635" s="753"/>
      <c r="R635" s="750">
        <f t="shared" si="56"/>
        <v>0</v>
      </c>
    </row>
    <row r="636" spans="2:18" s="757" customFormat="1" outlineLevel="2" x14ac:dyDescent="0.2">
      <c r="B636" s="745" t="s">
        <v>4255</v>
      </c>
      <c r="C636" s="751" t="s">
        <v>2718</v>
      </c>
      <c r="D636" s="752" t="s">
        <v>246</v>
      </c>
      <c r="E636" s="753"/>
      <c r="F636" s="753"/>
      <c r="G636" s="753"/>
      <c r="H636" s="753"/>
      <c r="I636" s="754">
        <f t="shared" si="57"/>
        <v>0</v>
      </c>
      <c r="J636" s="753"/>
      <c r="K636" s="748">
        <f t="shared" si="53"/>
        <v>0</v>
      </c>
      <c r="L636" s="753"/>
      <c r="M636" s="753"/>
      <c r="N636" s="753"/>
      <c r="O636" s="753"/>
      <c r="P636" s="756">
        <f t="shared" si="58"/>
        <v>0</v>
      </c>
      <c r="Q636" s="753"/>
      <c r="R636" s="750">
        <f t="shared" si="56"/>
        <v>0</v>
      </c>
    </row>
    <row r="637" spans="2:18" s="757" customFormat="1" outlineLevel="2" x14ac:dyDescent="0.2">
      <c r="B637" s="745" t="s">
        <v>4256</v>
      </c>
      <c r="C637" s="751" t="s">
        <v>2719</v>
      </c>
      <c r="D637" s="752" t="s">
        <v>246</v>
      </c>
      <c r="E637" s="753"/>
      <c r="F637" s="753"/>
      <c r="G637" s="753"/>
      <c r="H637" s="753"/>
      <c r="I637" s="754">
        <f t="shared" si="57"/>
        <v>0</v>
      </c>
      <c r="J637" s="753"/>
      <c r="K637" s="748">
        <f t="shared" si="53"/>
        <v>0</v>
      </c>
      <c r="L637" s="753"/>
      <c r="M637" s="753"/>
      <c r="N637" s="753"/>
      <c r="O637" s="753"/>
      <c r="P637" s="756">
        <f t="shared" si="58"/>
        <v>0</v>
      </c>
      <c r="Q637" s="753"/>
      <c r="R637" s="750">
        <f t="shared" si="56"/>
        <v>0</v>
      </c>
    </row>
    <row r="638" spans="2:18" s="757" customFormat="1" outlineLevel="2" x14ac:dyDescent="0.2">
      <c r="B638" s="745" t="s">
        <v>4257</v>
      </c>
      <c r="C638" s="751" t="s">
        <v>2720</v>
      </c>
      <c r="D638" s="752" t="s">
        <v>246</v>
      </c>
      <c r="E638" s="753"/>
      <c r="F638" s="753"/>
      <c r="G638" s="753"/>
      <c r="H638" s="753"/>
      <c r="I638" s="754">
        <f t="shared" si="57"/>
        <v>0</v>
      </c>
      <c r="J638" s="753"/>
      <c r="K638" s="748">
        <f t="shared" si="53"/>
        <v>0</v>
      </c>
      <c r="L638" s="753"/>
      <c r="M638" s="753"/>
      <c r="N638" s="753"/>
      <c r="O638" s="753"/>
      <c r="P638" s="756">
        <f t="shared" si="58"/>
        <v>0</v>
      </c>
      <c r="Q638" s="753"/>
      <c r="R638" s="750">
        <f t="shared" si="56"/>
        <v>0</v>
      </c>
    </row>
    <row r="639" spans="2:18" s="757" customFormat="1" outlineLevel="2" x14ac:dyDescent="0.2">
      <c r="B639" s="745" t="s">
        <v>4258</v>
      </c>
      <c r="C639" s="751" t="s">
        <v>2721</v>
      </c>
      <c r="D639" s="752" t="s">
        <v>246</v>
      </c>
      <c r="E639" s="753"/>
      <c r="F639" s="753"/>
      <c r="G639" s="753"/>
      <c r="H639" s="753"/>
      <c r="I639" s="754">
        <f t="shared" si="57"/>
        <v>0</v>
      </c>
      <c r="J639" s="753"/>
      <c r="K639" s="748">
        <f t="shared" si="53"/>
        <v>0</v>
      </c>
      <c r="L639" s="753"/>
      <c r="M639" s="753"/>
      <c r="N639" s="753"/>
      <c r="O639" s="753"/>
      <c r="P639" s="756">
        <f t="shared" si="58"/>
        <v>0</v>
      </c>
      <c r="Q639" s="753"/>
      <c r="R639" s="750">
        <f t="shared" si="56"/>
        <v>0</v>
      </c>
    </row>
    <row r="640" spans="2:18" s="757" customFormat="1" outlineLevel="2" x14ac:dyDescent="0.2">
      <c r="B640" s="745" t="s">
        <v>4259</v>
      </c>
      <c r="C640" s="751" t="s">
        <v>2722</v>
      </c>
      <c r="D640" s="752" t="s">
        <v>246</v>
      </c>
      <c r="E640" s="753"/>
      <c r="F640" s="753"/>
      <c r="G640" s="753"/>
      <c r="H640" s="753"/>
      <c r="I640" s="754">
        <f t="shared" si="57"/>
        <v>0</v>
      </c>
      <c r="J640" s="753"/>
      <c r="K640" s="748">
        <f t="shared" si="53"/>
        <v>0</v>
      </c>
      <c r="L640" s="753"/>
      <c r="M640" s="753"/>
      <c r="N640" s="753"/>
      <c r="O640" s="753"/>
      <c r="P640" s="756">
        <f t="shared" si="58"/>
        <v>0</v>
      </c>
      <c r="Q640" s="753"/>
      <c r="R640" s="750">
        <f t="shared" si="56"/>
        <v>0</v>
      </c>
    </row>
    <row r="641" spans="2:18" s="757" customFormat="1" outlineLevel="2" x14ac:dyDescent="0.2">
      <c r="B641" s="745" t="s">
        <v>4260</v>
      </c>
      <c r="C641" s="751" t="s">
        <v>2723</v>
      </c>
      <c r="D641" s="752" t="s">
        <v>246</v>
      </c>
      <c r="E641" s="753"/>
      <c r="F641" s="753"/>
      <c r="G641" s="753"/>
      <c r="H641" s="753"/>
      <c r="I641" s="754">
        <f t="shared" si="57"/>
        <v>0</v>
      </c>
      <c r="J641" s="753"/>
      <c r="K641" s="748">
        <f t="shared" si="53"/>
        <v>0</v>
      </c>
      <c r="L641" s="753"/>
      <c r="M641" s="753"/>
      <c r="N641" s="753"/>
      <c r="O641" s="753"/>
      <c r="P641" s="756">
        <f t="shared" si="58"/>
        <v>0</v>
      </c>
      <c r="Q641" s="753"/>
      <c r="R641" s="750">
        <f t="shared" si="56"/>
        <v>0</v>
      </c>
    </row>
    <row r="642" spans="2:18" s="757" customFormat="1" outlineLevel="2" x14ac:dyDescent="0.2">
      <c r="B642" s="745" t="s">
        <v>4261</v>
      </c>
      <c r="C642" s="751" t="s">
        <v>2724</v>
      </c>
      <c r="D642" s="752" t="s">
        <v>246</v>
      </c>
      <c r="E642" s="753"/>
      <c r="F642" s="753"/>
      <c r="G642" s="753"/>
      <c r="H642" s="753"/>
      <c r="I642" s="754">
        <f t="shared" si="57"/>
        <v>0</v>
      </c>
      <c r="J642" s="753"/>
      <c r="K642" s="748">
        <f t="shared" si="53"/>
        <v>0</v>
      </c>
      <c r="L642" s="753"/>
      <c r="M642" s="753"/>
      <c r="N642" s="753"/>
      <c r="O642" s="753"/>
      <c r="P642" s="756">
        <f t="shared" si="58"/>
        <v>0</v>
      </c>
      <c r="Q642" s="753"/>
      <c r="R642" s="750">
        <f t="shared" si="56"/>
        <v>0</v>
      </c>
    </row>
    <row r="643" spans="2:18" s="757" customFormat="1" outlineLevel="2" x14ac:dyDescent="0.2">
      <c r="B643" s="745" t="s">
        <v>4262</v>
      </c>
      <c r="C643" s="751" t="s">
        <v>2725</v>
      </c>
      <c r="D643" s="752" t="s">
        <v>246</v>
      </c>
      <c r="E643" s="753"/>
      <c r="F643" s="753"/>
      <c r="G643" s="753"/>
      <c r="H643" s="753"/>
      <c r="I643" s="754">
        <f t="shared" si="57"/>
        <v>0</v>
      </c>
      <c r="J643" s="753"/>
      <c r="K643" s="748">
        <f t="shared" si="53"/>
        <v>0</v>
      </c>
      <c r="L643" s="753"/>
      <c r="M643" s="753"/>
      <c r="N643" s="753"/>
      <c r="O643" s="753"/>
      <c r="P643" s="756">
        <f t="shared" si="58"/>
        <v>0</v>
      </c>
      <c r="Q643" s="753"/>
      <c r="R643" s="750">
        <f t="shared" si="56"/>
        <v>0</v>
      </c>
    </row>
    <row r="644" spans="2:18" s="757" customFormat="1" outlineLevel="2" x14ac:dyDescent="0.2">
      <c r="B644" s="745" t="s">
        <v>4263</v>
      </c>
      <c r="C644" s="751" t="s">
        <v>2726</v>
      </c>
      <c r="D644" s="752" t="s">
        <v>246</v>
      </c>
      <c r="E644" s="753"/>
      <c r="F644" s="753"/>
      <c r="G644" s="753"/>
      <c r="H644" s="753"/>
      <c r="I644" s="754">
        <f t="shared" si="57"/>
        <v>0</v>
      </c>
      <c r="J644" s="753"/>
      <c r="K644" s="748">
        <f t="shared" si="53"/>
        <v>0</v>
      </c>
      <c r="L644" s="753"/>
      <c r="M644" s="753"/>
      <c r="N644" s="753"/>
      <c r="O644" s="753"/>
      <c r="P644" s="756">
        <f t="shared" si="58"/>
        <v>0</v>
      </c>
      <c r="Q644" s="753"/>
      <c r="R644" s="750">
        <f t="shared" si="56"/>
        <v>0</v>
      </c>
    </row>
    <row r="645" spans="2:18" s="757" customFormat="1" outlineLevel="2" x14ac:dyDescent="0.2">
      <c r="B645" s="745" t="s">
        <v>4264</v>
      </c>
      <c r="C645" s="751" t="s">
        <v>2727</v>
      </c>
      <c r="D645" s="752" t="s">
        <v>246</v>
      </c>
      <c r="E645" s="753"/>
      <c r="F645" s="753"/>
      <c r="G645" s="753"/>
      <c r="H645" s="753"/>
      <c r="I645" s="754">
        <f t="shared" si="57"/>
        <v>0</v>
      </c>
      <c r="J645" s="753"/>
      <c r="K645" s="748">
        <f t="shared" si="53"/>
        <v>0</v>
      </c>
      <c r="L645" s="753"/>
      <c r="M645" s="753"/>
      <c r="N645" s="753"/>
      <c r="O645" s="753"/>
      <c r="P645" s="756">
        <f t="shared" si="58"/>
        <v>0</v>
      </c>
      <c r="Q645" s="753"/>
      <c r="R645" s="750">
        <f t="shared" si="56"/>
        <v>0</v>
      </c>
    </row>
    <row r="646" spans="2:18" s="757" customFormat="1" outlineLevel="2" x14ac:dyDescent="0.2">
      <c r="B646" s="745" t="s">
        <v>4265</v>
      </c>
      <c r="C646" s="751" t="s">
        <v>2728</v>
      </c>
      <c r="D646" s="752" t="s">
        <v>246</v>
      </c>
      <c r="E646" s="753"/>
      <c r="F646" s="753"/>
      <c r="G646" s="753"/>
      <c r="H646" s="753"/>
      <c r="I646" s="754">
        <f t="shared" si="57"/>
        <v>0</v>
      </c>
      <c r="J646" s="753"/>
      <c r="K646" s="748">
        <f t="shared" si="53"/>
        <v>0</v>
      </c>
      <c r="L646" s="753"/>
      <c r="M646" s="753"/>
      <c r="N646" s="753"/>
      <c r="O646" s="753"/>
      <c r="P646" s="756">
        <f t="shared" si="58"/>
        <v>0</v>
      </c>
      <c r="Q646" s="753"/>
      <c r="R646" s="750">
        <f t="shared" si="56"/>
        <v>0</v>
      </c>
    </row>
    <row r="647" spans="2:18" s="757" customFormat="1" outlineLevel="2" x14ac:dyDescent="0.2">
      <c r="B647" s="745" t="s">
        <v>4266</v>
      </c>
      <c r="C647" s="751" t="s">
        <v>2729</v>
      </c>
      <c r="D647" s="752" t="s">
        <v>246</v>
      </c>
      <c r="E647" s="753"/>
      <c r="F647" s="753"/>
      <c r="G647" s="753"/>
      <c r="H647" s="753"/>
      <c r="I647" s="754">
        <f t="shared" si="57"/>
        <v>0</v>
      </c>
      <c r="J647" s="753"/>
      <c r="K647" s="748">
        <f t="shared" si="53"/>
        <v>0</v>
      </c>
      <c r="L647" s="753"/>
      <c r="M647" s="753"/>
      <c r="N647" s="753"/>
      <c r="O647" s="753"/>
      <c r="P647" s="756">
        <f t="shared" si="58"/>
        <v>0</v>
      </c>
      <c r="Q647" s="753"/>
      <c r="R647" s="750">
        <f t="shared" si="56"/>
        <v>0</v>
      </c>
    </row>
    <row r="648" spans="2:18" s="734" customFormat="1" outlineLevel="1" x14ac:dyDescent="0.2">
      <c r="B648" s="745" t="s">
        <v>4267</v>
      </c>
      <c r="C648" s="746">
        <v>6.2</v>
      </c>
      <c r="D648" s="131" t="s">
        <v>2782</v>
      </c>
      <c r="E648" s="747">
        <f t="shared" ref="E648:Q648" si="59">SUM(E649:E698)</f>
        <v>0</v>
      </c>
      <c r="F648" s="747">
        <f t="shared" si="59"/>
        <v>0</v>
      </c>
      <c r="G648" s="747">
        <f t="shared" si="59"/>
        <v>0</v>
      </c>
      <c r="H648" s="747">
        <f t="shared" si="59"/>
        <v>0</v>
      </c>
      <c r="I648" s="748">
        <f t="shared" si="59"/>
        <v>0</v>
      </c>
      <c r="J648" s="747">
        <f t="shared" si="59"/>
        <v>0</v>
      </c>
      <c r="K648" s="748">
        <f t="shared" si="53"/>
        <v>0</v>
      </c>
      <c r="L648" s="747">
        <f t="shared" si="59"/>
        <v>0</v>
      </c>
      <c r="M648" s="747">
        <f t="shared" si="59"/>
        <v>0</v>
      </c>
      <c r="N648" s="747">
        <f t="shared" si="59"/>
        <v>0</v>
      </c>
      <c r="O648" s="747">
        <f t="shared" si="59"/>
        <v>0</v>
      </c>
      <c r="P648" s="749">
        <f t="shared" si="59"/>
        <v>0</v>
      </c>
      <c r="Q648" s="747">
        <f t="shared" si="59"/>
        <v>0</v>
      </c>
      <c r="R648" s="750">
        <f t="shared" si="56"/>
        <v>0</v>
      </c>
    </row>
    <row r="649" spans="2:18" s="757" customFormat="1" outlineLevel="2" x14ac:dyDescent="0.2">
      <c r="B649" s="745" t="s">
        <v>4268</v>
      </c>
      <c r="C649" s="751" t="s">
        <v>2730</v>
      </c>
      <c r="D649" s="752" t="s">
        <v>246</v>
      </c>
      <c r="E649" s="753"/>
      <c r="F649" s="753"/>
      <c r="G649" s="753"/>
      <c r="H649" s="753"/>
      <c r="I649" s="754">
        <f>SUM(E649:H649)</f>
        <v>0</v>
      </c>
      <c r="J649" s="755"/>
      <c r="K649" s="748">
        <f t="shared" si="53"/>
        <v>0</v>
      </c>
      <c r="L649" s="753"/>
      <c r="M649" s="753"/>
      <c r="N649" s="753"/>
      <c r="O649" s="753"/>
      <c r="P649" s="756">
        <f>SUM(L649:O649)</f>
        <v>0</v>
      </c>
      <c r="Q649" s="755"/>
      <c r="R649" s="750">
        <f t="shared" si="56"/>
        <v>0</v>
      </c>
    </row>
    <row r="650" spans="2:18" s="757" customFormat="1" outlineLevel="2" x14ac:dyDescent="0.2">
      <c r="B650" s="745" t="s">
        <v>4269</v>
      </c>
      <c r="C650" s="751" t="s">
        <v>2731</v>
      </c>
      <c r="D650" s="752" t="s">
        <v>246</v>
      </c>
      <c r="E650" s="753"/>
      <c r="F650" s="753"/>
      <c r="G650" s="753"/>
      <c r="H650" s="753"/>
      <c r="I650" s="754">
        <f t="shared" ref="I650:I698" si="60">SUM(E650:H650)</f>
        <v>0</v>
      </c>
      <c r="J650" s="755"/>
      <c r="K650" s="748">
        <f t="shared" si="53"/>
        <v>0</v>
      </c>
      <c r="L650" s="753"/>
      <c r="M650" s="753"/>
      <c r="N650" s="753"/>
      <c r="O650" s="753"/>
      <c r="P650" s="756">
        <f t="shared" ref="P650:P698" si="61">SUM(L650:O650)</f>
        <v>0</v>
      </c>
      <c r="Q650" s="755"/>
      <c r="R650" s="750">
        <f t="shared" si="56"/>
        <v>0</v>
      </c>
    </row>
    <row r="651" spans="2:18" s="757" customFormat="1" outlineLevel="2" x14ac:dyDescent="0.2">
      <c r="B651" s="745" t="s">
        <v>4270</v>
      </c>
      <c r="C651" s="751" t="s">
        <v>2732</v>
      </c>
      <c r="D651" s="752" t="s">
        <v>246</v>
      </c>
      <c r="E651" s="753"/>
      <c r="F651" s="753"/>
      <c r="G651" s="753"/>
      <c r="H651" s="753"/>
      <c r="I651" s="754">
        <f t="shared" si="60"/>
        <v>0</v>
      </c>
      <c r="J651" s="755"/>
      <c r="K651" s="748">
        <f t="shared" ref="K651:K714" si="62">I651-J651</f>
        <v>0</v>
      </c>
      <c r="L651" s="753"/>
      <c r="M651" s="753"/>
      <c r="N651" s="753"/>
      <c r="O651" s="753"/>
      <c r="P651" s="756">
        <f t="shared" si="61"/>
        <v>0</v>
      </c>
      <c r="Q651" s="755"/>
      <c r="R651" s="750">
        <f t="shared" si="56"/>
        <v>0</v>
      </c>
    </row>
    <row r="652" spans="2:18" s="757" customFormat="1" outlineLevel="2" x14ac:dyDescent="0.2">
      <c r="B652" s="745" t="s">
        <v>4271</v>
      </c>
      <c r="C652" s="751" t="s">
        <v>2733</v>
      </c>
      <c r="D652" s="752" t="s">
        <v>246</v>
      </c>
      <c r="E652" s="753"/>
      <c r="F652" s="753"/>
      <c r="G652" s="753"/>
      <c r="H652" s="753"/>
      <c r="I652" s="754">
        <f t="shared" si="60"/>
        <v>0</v>
      </c>
      <c r="J652" s="755"/>
      <c r="K652" s="748">
        <f t="shared" si="62"/>
        <v>0</v>
      </c>
      <c r="L652" s="753"/>
      <c r="M652" s="753"/>
      <c r="N652" s="753"/>
      <c r="O652" s="753"/>
      <c r="P652" s="756">
        <f t="shared" si="61"/>
        <v>0</v>
      </c>
      <c r="Q652" s="755"/>
      <c r="R652" s="750">
        <f t="shared" si="56"/>
        <v>0</v>
      </c>
    </row>
    <row r="653" spans="2:18" s="757" customFormat="1" outlineLevel="2" x14ac:dyDescent="0.2">
      <c r="B653" s="745" t="s">
        <v>4272</v>
      </c>
      <c r="C653" s="751" t="s">
        <v>2734</v>
      </c>
      <c r="D653" s="752" t="s">
        <v>246</v>
      </c>
      <c r="E653" s="753"/>
      <c r="F653" s="753"/>
      <c r="G653" s="753"/>
      <c r="H653" s="753"/>
      <c r="I653" s="754">
        <f t="shared" si="60"/>
        <v>0</v>
      </c>
      <c r="J653" s="755"/>
      <c r="K653" s="748">
        <f t="shared" si="62"/>
        <v>0</v>
      </c>
      <c r="L653" s="753"/>
      <c r="M653" s="753"/>
      <c r="N653" s="753"/>
      <c r="O653" s="753"/>
      <c r="P653" s="756">
        <f t="shared" si="61"/>
        <v>0</v>
      </c>
      <c r="Q653" s="755"/>
      <c r="R653" s="750">
        <f t="shared" si="56"/>
        <v>0</v>
      </c>
    </row>
    <row r="654" spans="2:18" s="757" customFormat="1" outlineLevel="2" x14ac:dyDescent="0.2">
      <c r="B654" s="745" t="s">
        <v>4273</v>
      </c>
      <c r="C654" s="751" t="s">
        <v>2735</v>
      </c>
      <c r="D654" s="752" t="s">
        <v>246</v>
      </c>
      <c r="E654" s="753"/>
      <c r="F654" s="753"/>
      <c r="G654" s="753"/>
      <c r="H654" s="753"/>
      <c r="I654" s="754">
        <f t="shared" si="60"/>
        <v>0</v>
      </c>
      <c r="J654" s="755"/>
      <c r="K654" s="748">
        <f t="shared" si="62"/>
        <v>0</v>
      </c>
      <c r="L654" s="753"/>
      <c r="M654" s="753"/>
      <c r="N654" s="753"/>
      <c r="O654" s="753"/>
      <c r="P654" s="756">
        <f t="shared" si="61"/>
        <v>0</v>
      </c>
      <c r="Q654" s="755"/>
      <c r="R654" s="750">
        <f t="shared" si="56"/>
        <v>0</v>
      </c>
    </row>
    <row r="655" spans="2:18" s="757" customFormat="1" outlineLevel="2" x14ac:dyDescent="0.2">
      <c r="B655" s="745" t="s">
        <v>4274</v>
      </c>
      <c r="C655" s="751" t="s">
        <v>2736</v>
      </c>
      <c r="D655" s="752" t="s">
        <v>246</v>
      </c>
      <c r="E655" s="753"/>
      <c r="F655" s="753"/>
      <c r="G655" s="753"/>
      <c r="H655" s="753"/>
      <c r="I655" s="754">
        <f t="shared" si="60"/>
        <v>0</v>
      </c>
      <c r="J655" s="755"/>
      <c r="K655" s="748">
        <f t="shared" si="62"/>
        <v>0</v>
      </c>
      <c r="L655" s="753"/>
      <c r="M655" s="753"/>
      <c r="N655" s="753"/>
      <c r="O655" s="753"/>
      <c r="P655" s="756">
        <f t="shared" si="61"/>
        <v>0</v>
      </c>
      <c r="Q655" s="755"/>
      <c r="R655" s="750">
        <f t="shared" si="56"/>
        <v>0</v>
      </c>
    </row>
    <row r="656" spans="2:18" s="757" customFormat="1" outlineLevel="2" x14ac:dyDescent="0.2">
      <c r="B656" s="745" t="s">
        <v>4275</v>
      </c>
      <c r="C656" s="751" t="s">
        <v>2737</v>
      </c>
      <c r="D656" s="752" t="s">
        <v>246</v>
      </c>
      <c r="E656" s="753"/>
      <c r="F656" s="753"/>
      <c r="G656" s="753"/>
      <c r="H656" s="753"/>
      <c r="I656" s="754">
        <f t="shared" si="60"/>
        <v>0</v>
      </c>
      <c r="J656" s="755"/>
      <c r="K656" s="748">
        <f t="shared" si="62"/>
        <v>0</v>
      </c>
      <c r="L656" s="753"/>
      <c r="M656" s="753"/>
      <c r="N656" s="753"/>
      <c r="O656" s="753"/>
      <c r="P656" s="756">
        <f t="shared" si="61"/>
        <v>0</v>
      </c>
      <c r="Q656" s="755"/>
      <c r="R656" s="750">
        <f t="shared" si="56"/>
        <v>0</v>
      </c>
    </row>
    <row r="657" spans="2:18" s="757" customFormat="1" outlineLevel="2" x14ac:dyDescent="0.2">
      <c r="B657" s="745" t="s">
        <v>4276</v>
      </c>
      <c r="C657" s="751" t="s">
        <v>2738</v>
      </c>
      <c r="D657" s="752" t="s">
        <v>246</v>
      </c>
      <c r="E657" s="753"/>
      <c r="F657" s="753"/>
      <c r="G657" s="753"/>
      <c r="H657" s="753"/>
      <c r="I657" s="754">
        <f t="shared" si="60"/>
        <v>0</v>
      </c>
      <c r="J657" s="755"/>
      <c r="K657" s="748">
        <f t="shared" si="62"/>
        <v>0</v>
      </c>
      <c r="L657" s="753"/>
      <c r="M657" s="753"/>
      <c r="N657" s="753"/>
      <c r="O657" s="753"/>
      <c r="P657" s="756">
        <f t="shared" si="61"/>
        <v>0</v>
      </c>
      <c r="Q657" s="755"/>
      <c r="R657" s="750">
        <f t="shared" si="56"/>
        <v>0</v>
      </c>
    </row>
    <row r="658" spans="2:18" s="757" customFormat="1" outlineLevel="2" x14ac:dyDescent="0.2">
      <c r="B658" s="745" t="s">
        <v>4277</v>
      </c>
      <c r="C658" s="751" t="s">
        <v>2739</v>
      </c>
      <c r="D658" s="752" t="s">
        <v>246</v>
      </c>
      <c r="E658" s="753"/>
      <c r="F658" s="753"/>
      <c r="G658" s="753"/>
      <c r="H658" s="753"/>
      <c r="I658" s="754">
        <f t="shared" si="60"/>
        <v>0</v>
      </c>
      <c r="J658" s="755"/>
      <c r="K658" s="748">
        <f t="shared" si="62"/>
        <v>0</v>
      </c>
      <c r="L658" s="753"/>
      <c r="M658" s="753"/>
      <c r="N658" s="753"/>
      <c r="O658" s="753"/>
      <c r="P658" s="756">
        <f t="shared" si="61"/>
        <v>0</v>
      </c>
      <c r="Q658" s="755"/>
      <c r="R658" s="750">
        <f t="shared" si="56"/>
        <v>0</v>
      </c>
    </row>
    <row r="659" spans="2:18" s="757" customFormat="1" outlineLevel="2" x14ac:dyDescent="0.2">
      <c r="B659" s="745" t="s">
        <v>4278</v>
      </c>
      <c r="C659" s="751" t="s">
        <v>2740</v>
      </c>
      <c r="D659" s="752" t="s">
        <v>246</v>
      </c>
      <c r="E659" s="753"/>
      <c r="F659" s="753"/>
      <c r="G659" s="753"/>
      <c r="H659" s="753"/>
      <c r="I659" s="754">
        <f t="shared" si="60"/>
        <v>0</v>
      </c>
      <c r="J659" s="755"/>
      <c r="K659" s="748">
        <f t="shared" si="62"/>
        <v>0</v>
      </c>
      <c r="L659" s="753"/>
      <c r="M659" s="753"/>
      <c r="N659" s="753"/>
      <c r="O659" s="753"/>
      <c r="P659" s="756">
        <f t="shared" si="61"/>
        <v>0</v>
      </c>
      <c r="Q659" s="755"/>
      <c r="R659" s="750">
        <f t="shared" si="56"/>
        <v>0</v>
      </c>
    </row>
    <row r="660" spans="2:18" s="757" customFormat="1" outlineLevel="2" x14ac:dyDescent="0.2">
      <c r="B660" s="745" t="s">
        <v>4279</v>
      </c>
      <c r="C660" s="751" t="s">
        <v>2741</v>
      </c>
      <c r="D660" s="752" t="s">
        <v>246</v>
      </c>
      <c r="E660" s="753"/>
      <c r="F660" s="753"/>
      <c r="G660" s="753"/>
      <c r="H660" s="753"/>
      <c r="I660" s="754">
        <f t="shared" si="60"/>
        <v>0</v>
      </c>
      <c r="J660" s="755"/>
      <c r="K660" s="748">
        <f t="shared" si="62"/>
        <v>0</v>
      </c>
      <c r="L660" s="753"/>
      <c r="M660" s="753"/>
      <c r="N660" s="753"/>
      <c r="O660" s="753"/>
      <c r="P660" s="756">
        <f t="shared" si="61"/>
        <v>0</v>
      </c>
      <c r="Q660" s="755"/>
      <c r="R660" s="750">
        <f t="shared" si="56"/>
        <v>0</v>
      </c>
    </row>
    <row r="661" spans="2:18" s="757" customFormat="1" outlineLevel="2" x14ac:dyDescent="0.2">
      <c r="B661" s="745" t="s">
        <v>4280</v>
      </c>
      <c r="C661" s="751" t="s">
        <v>2742</v>
      </c>
      <c r="D661" s="752" t="s">
        <v>246</v>
      </c>
      <c r="E661" s="753"/>
      <c r="F661" s="753"/>
      <c r="G661" s="753"/>
      <c r="H661" s="753"/>
      <c r="I661" s="754">
        <f t="shared" si="60"/>
        <v>0</v>
      </c>
      <c r="J661" s="755"/>
      <c r="K661" s="748">
        <f t="shared" si="62"/>
        <v>0</v>
      </c>
      <c r="L661" s="753"/>
      <c r="M661" s="753"/>
      <c r="N661" s="753"/>
      <c r="O661" s="753"/>
      <c r="P661" s="756">
        <f t="shared" si="61"/>
        <v>0</v>
      </c>
      <c r="Q661" s="755"/>
      <c r="R661" s="750">
        <f t="shared" ref="R661:R698" si="63">P661-Q661</f>
        <v>0</v>
      </c>
    </row>
    <row r="662" spans="2:18" s="757" customFormat="1" outlineLevel="2" x14ac:dyDescent="0.2">
      <c r="B662" s="745" t="s">
        <v>4281</v>
      </c>
      <c r="C662" s="751" t="s">
        <v>2743</v>
      </c>
      <c r="D662" s="752" t="s">
        <v>246</v>
      </c>
      <c r="E662" s="753"/>
      <c r="F662" s="753"/>
      <c r="G662" s="753"/>
      <c r="H662" s="753"/>
      <c r="I662" s="754">
        <f t="shared" si="60"/>
        <v>0</v>
      </c>
      <c r="J662" s="755"/>
      <c r="K662" s="748">
        <f t="shared" si="62"/>
        <v>0</v>
      </c>
      <c r="L662" s="753"/>
      <c r="M662" s="753"/>
      <c r="N662" s="753"/>
      <c r="O662" s="753"/>
      <c r="P662" s="756">
        <f t="shared" si="61"/>
        <v>0</v>
      </c>
      <c r="Q662" s="755"/>
      <c r="R662" s="750">
        <f t="shared" si="63"/>
        <v>0</v>
      </c>
    </row>
    <row r="663" spans="2:18" s="757" customFormat="1" outlineLevel="2" x14ac:dyDescent="0.2">
      <c r="B663" s="745" t="s">
        <v>4282</v>
      </c>
      <c r="C663" s="751" t="s">
        <v>2744</v>
      </c>
      <c r="D663" s="752" t="s">
        <v>246</v>
      </c>
      <c r="E663" s="753"/>
      <c r="F663" s="753"/>
      <c r="G663" s="753"/>
      <c r="H663" s="753"/>
      <c r="I663" s="754">
        <f t="shared" si="60"/>
        <v>0</v>
      </c>
      <c r="J663" s="755"/>
      <c r="K663" s="748">
        <f t="shared" si="62"/>
        <v>0</v>
      </c>
      <c r="L663" s="753"/>
      <c r="M663" s="753"/>
      <c r="N663" s="753"/>
      <c r="O663" s="753"/>
      <c r="P663" s="756">
        <f t="shared" si="61"/>
        <v>0</v>
      </c>
      <c r="Q663" s="755"/>
      <c r="R663" s="750">
        <f t="shared" si="63"/>
        <v>0</v>
      </c>
    </row>
    <row r="664" spans="2:18" s="757" customFormat="1" outlineLevel="2" x14ac:dyDescent="0.2">
      <c r="B664" s="745" t="s">
        <v>4283</v>
      </c>
      <c r="C664" s="751" t="s">
        <v>2745</v>
      </c>
      <c r="D664" s="752" t="s">
        <v>246</v>
      </c>
      <c r="E664" s="753"/>
      <c r="F664" s="753"/>
      <c r="G664" s="753"/>
      <c r="H664" s="753"/>
      <c r="I664" s="754">
        <f t="shared" si="60"/>
        <v>0</v>
      </c>
      <c r="J664" s="755"/>
      <c r="K664" s="748">
        <f t="shared" si="62"/>
        <v>0</v>
      </c>
      <c r="L664" s="753"/>
      <c r="M664" s="753"/>
      <c r="N664" s="753"/>
      <c r="O664" s="753"/>
      <c r="P664" s="756">
        <f t="shared" si="61"/>
        <v>0</v>
      </c>
      <c r="Q664" s="755"/>
      <c r="R664" s="750">
        <f t="shared" si="63"/>
        <v>0</v>
      </c>
    </row>
    <row r="665" spans="2:18" s="757" customFormat="1" outlineLevel="2" x14ac:dyDescent="0.2">
      <c r="B665" s="745" t="s">
        <v>4284</v>
      </c>
      <c r="C665" s="751" t="s">
        <v>2746</v>
      </c>
      <c r="D665" s="752" t="s">
        <v>246</v>
      </c>
      <c r="E665" s="753"/>
      <c r="F665" s="753"/>
      <c r="G665" s="753"/>
      <c r="H665" s="753"/>
      <c r="I665" s="754">
        <f t="shared" si="60"/>
        <v>0</v>
      </c>
      <c r="J665" s="755"/>
      <c r="K665" s="748">
        <f t="shared" si="62"/>
        <v>0</v>
      </c>
      <c r="L665" s="753"/>
      <c r="M665" s="753"/>
      <c r="N665" s="753"/>
      <c r="O665" s="753"/>
      <c r="P665" s="756">
        <f t="shared" si="61"/>
        <v>0</v>
      </c>
      <c r="Q665" s="755"/>
      <c r="R665" s="750">
        <f t="shared" si="63"/>
        <v>0</v>
      </c>
    </row>
    <row r="666" spans="2:18" s="757" customFormat="1" outlineLevel="2" x14ac:dyDescent="0.2">
      <c r="B666" s="745" t="s">
        <v>4285</v>
      </c>
      <c r="C666" s="751" t="s">
        <v>2747</v>
      </c>
      <c r="D666" s="752" t="s">
        <v>246</v>
      </c>
      <c r="E666" s="753"/>
      <c r="F666" s="753"/>
      <c r="G666" s="753"/>
      <c r="H666" s="753"/>
      <c r="I666" s="754">
        <f t="shared" si="60"/>
        <v>0</v>
      </c>
      <c r="J666" s="755"/>
      <c r="K666" s="748">
        <f t="shared" si="62"/>
        <v>0</v>
      </c>
      <c r="L666" s="753"/>
      <c r="M666" s="753"/>
      <c r="N666" s="753"/>
      <c r="O666" s="753"/>
      <c r="P666" s="756">
        <f t="shared" si="61"/>
        <v>0</v>
      </c>
      <c r="Q666" s="755"/>
      <c r="R666" s="750">
        <f t="shared" si="63"/>
        <v>0</v>
      </c>
    </row>
    <row r="667" spans="2:18" s="757" customFormat="1" outlineLevel="2" x14ac:dyDescent="0.2">
      <c r="B667" s="745" t="s">
        <v>4286</v>
      </c>
      <c r="C667" s="751" t="s">
        <v>2748</v>
      </c>
      <c r="D667" s="752" t="s">
        <v>246</v>
      </c>
      <c r="E667" s="753"/>
      <c r="F667" s="753"/>
      <c r="G667" s="753"/>
      <c r="H667" s="753"/>
      <c r="I667" s="754">
        <f t="shared" si="60"/>
        <v>0</v>
      </c>
      <c r="J667" s="755"/>
      <c r="K667" s="748">
        <f t="shared" si="62"/>
        <v>0</v>
      </c>
      <c r="L667" s="753"/>
      <c r="M667" s="753"/>
      <c r="N667" s="753"/>
      <c r="O667" s="753"/>
      <c r="P667" s="756">
        <f t="shared" si="61"/>
        <v>0</v>
      </c>
      <c r="Q667" s="755"/>
      <c r="R667" s="750">
        <f t="shared" si="63"/>
        <v>0</v>
      </c>
    </row>
    <row r="668" spans="2:18" s="757" customFormat="1" outlineLevel="2" x14ac:dyDescent="0.2">
      <c r="B668" s="745" t="s">
        <v>4287</v>
      </c>
      <c r="C668" s="751" t="s">
        <v>2749</v>
      </c>
      <c r="D668" s="752" t="s">
        <v>246</v>
      </c>
      <c r="E668" s="753"/>
      <c r="F668" s="753"/>
      <c r="G668" s="753"/>
      <c r="H668" s="753"/>
      <c r="I668" s="754">
        <f t="shared" si="60"/>
        <v>0</v>
      </c>
      <c r="J668" s="755"/>
      <c r="K668" s="748">
        <f t="shared" si="62"/>
        <v>0</v>
      </c>
      <c r="L668" s="753"/>
      <c r="M668" s="753"/>
      <c r="N668" s="753"/>
      <c r="O668" s="753"/>
      <c r="P668" s="756">
        <f t="shared" si="61"/>
        <v>0</v>
      </c>
      <c r="Q668" s="755"/>
      <c r="R668" s="750">
        <f t="shared" si="63"/>
        <v>0</v>
      </c>
    </row>
    <row r="669" spans="2:18" s="757" customFormat="1" outlineLevel="2" x14ac:dyDescent="0.2">
      <c r="B669" s="745" t="s">
        <v>4288</v>
      </c>
      <c r="C669" s="751" t="s">
        <v>2750</v>
      </c>
      <c r="D669" s="752" t="s">
        <v>246</v>
      </c>
      <c r="E669" s="753"/>
      <c r="F669" s="753"/>
      <c r="G669" s="753"/>
      <c r="H669" s="753"/>
      <c r="I669" s="754">
        <f t="shared" si="60"/>
        <v>0</v>
      </c>
      <c r="J669" s="755"/>
      <c r="K669" s="748">
        <f t="shared" si="62"/>
        <v>0</v>
      </c>
      <c r="L669" s="753"/>
      <c r="M669" s="753"/>
      <c r="N669" s="753"/>
      <c r="O669" s="753"/>
      <c r="P669" s="756">
        <f t="shared" si="61"/>
        <v>0</v>
      </c>
      <c r="Q669" s="755"/>
      <c r="R669" s="750">
        <f t="shared" si="63"/>
        <v>0</v>
      </c>
    </row>
    <row r="670" spans="2:18" s="757" customFormat="1" outlineLevel="2" x14ac:dyDescent="0.2">
      <c r="B670" s="745" t="s">
        <v>4289</v>
      </c>
      <c r="C670" s="751" t="s">
        <v>2751</v>
      </c>
      <c r="D670" s="752" t="s">
        <v>246</v>
      </c>
      <c r="E670" s="753"/>
      <c r="F670" s="753"/>
      <c r="G670" s="753"/>
      <c r="H670" s="753"/>
      <c r="I670" s="754">
        <f t="shared" si="60"/>
        <v>0</v>
      </c>
      <c r="J670" s="755"/>
      <c r="K670" s="748">
        <f t="shared" si="62"/>
        <v>0</v>
      </c>
      <c r="L670" s="753"/>
      <c r="M670" s="753"/>
      <c r="N670" s="753"/>
      <c r="O670" s="753"/>
      <c r="P670" s="756">
        <f t="shared" si="61"/>
        <v>0</v>
      </c>
      <c r="Q670" s="755"/>
      <c r="R670" s="750">
        <f t="shared" si="63"/>
        <v>0</v>
      </c>
    </row>
    <row r="671" spans="2:18" s="757" customFormat="1" outlineLevel="2" x14ac:dyDescent="0.2">
      <c r="B671" s="745" t="s">
        <v>4290</v>
      </c>
      <c r="C671" s="751" t="s">
        <v>2752</v>
      </c>
      <c r="D671" s="752" t="s">
        <v>246</v>
      </c>
      <c r="E671" s="753"/>
      <c r="F671" s="753"/>
      <c r="G671" s="753"/>
      <c r="H671" s="753"/>
      <c r="I671" s="754">
        <f t="shared" si="60"/>
        <v>0</v>
      </c>
      <c r="J671" s="755"/>
      <c r="K671" s="748">
        <f t="shared" si="62"/>
        <v>0</v>
      </c>
      <c r="L671" s="753"/>
      <c r="M671" s="753"/>
      <c r="N671" s="753"/>
      <c r="O671" s="753"/>
      <c r="P671" s="756">
        <f t="shared" si="61"/>
        <v>0</v>
      </c>
      <c r="Q671" s="755"/>
      <c r="R671" s="750">
        <f t="shared" si="63"/>
        <v>0</v>
      </c>
    </row>
    <row r="672" spans="2:18" s="757" customFormat="1" outlineLevel="2" x14ac:dyDescent="0.2">
      <c r="B672" s="745" t="s">
        <v>4291</v>
      </c>
      <c r="C672" s="751" t="s">
        <v>2753</v>
      </c>
      <c r="D672" s="752" t="s">
        <v>246</v>
      </c>
      <c r="E672" s="753"/>
      <c r="F672" s="753"/>
      <c r="G672" s="753"/>
      <c r="H672" s="753"/>
      <c r="I672" s="754">
        <f t="shared" si="60"/>
        <v>0</v>
      </c>
      <c r="J672" s="755"/>
      <c r="K672" s="748">
        <f t="shared" si="62"/>
        <v>0</v>
      </c>
      <c r="L672" s="753"/>
      <c r="M672" s="753"/>
      <c r="N672" s="753"/>
      <c r="O672" s="753"/>
      <c r="P672" s="756">
        <f t="shared" si="61"/>
        <v>0</v>
      </c>
      <c r="Q672" s="755"/>
      <c r="R672" s="750">
        <f t="shared" si="63"/>
        <v>0</v>
      </c>
    </row>
    <row r="673" spans="2:18" s="757" customFormat="1" outlineLevel="2" x14ac:dyDescent="0.2">
      <c r="B673" s="745" t="s">
        <v>4292</v>
      </c>
      <c r="C673" s="751" t="s">
        <v>2754</v>
      </c>
      <c r="D673" s="752" t="s">
        <v>246</v>
      </c>
      <c r="E673" s="753"/>
      <c r="F673" s="753"/>
      <c r="G673" s="753"/>
      <c r="H673" s="753"/>
      <c r="I673" s="754">
        <f t="shared" si="60"/>
        <v>0</v>
      </c>
      <c r="J673" s="755"/>
      <c r="K673" s="748">
        <f t="shared" si="62"/>
        <v>0</v>
      </c>
      <c r="L673" s="753"/>
      <c r="M673" s="753"/>
      <c r="N673" s="753"/>
      <c r="O673" s="753"/>
      <c r="P673" s="756">
        <f t="shared" si="61"/>
        <v>0</v>
      </c>
      <c r="Q673" s="755"/>
      <c r="R673" s="750">
        <f t="shared" si="63"/>
        <v>0</v>
      </c>
    </row>
    <row r="674" spans="2:18" s="757" customFormat="1" outlineLevel="2" x14ac:dyDescent="0.2">
      <c r="B674" s="745" t="s">
        <v>4293</v>
      </c>
      <c r="C674" s="751" t="s">
        <v>2755</v>
      </c>
      <c r="D674" s="752" t="s">
        <v>246</v>
      </c>
      <c r="E674" s="753"/>
      <c r="F674" s="753"/>
      <c r="G674" s="753"/>
      <c r="H674" s="753"/>
      <c r="I674" s="754">
        <f t="shared" si="60"/>
        <v>0</v>
      </c>
      <c r="J674" s="755"/>
      <c r="K674" s="748">
        <f t="shared" si="62"/>
        <v>0</v>
      </c>
      <c r="L674" s="753"/>
      <c r="M674" s="753"/>
      <c r="N674" s="753"/>
      <c r="O674" s="753"/>
      <c r="P674" s="756">
        <f t="shared" si="61"/>
        <v>0</v>
      </c>
      <c r="Q674" s="755"/>
      <c r="R674" s="750">
        <f t="shared" si="63"/>
        <v>0</v>
      </c>
    </row>
    <row r="675" spans="2:18" s="757" customFormat="1" outlineLevel="2" x14ac:dyDescent="0.2">
      <c r="B675" s="745" t="s">
        <v>4294</v>
      </c>
      <c r="C675" s="751" t="s">
        <v>2756</v>
      </c>
      <c r="D675" s="752" t="s">
        <v>246</v>
      </c>
      <c r="E675" s="753"/>
      <c r="F675" s="753"/>
      <c r="G675" s="753"/>
      <c r="H675" s="753"/>
      <c r="I675" s="754">
        <f t="shared" si="60"/>
        <v>0</v>
      </c>
      <c r="J675" s="755"/>
      <c r="K675" s="748">
        <f t="shared" si="62"/>
        <v>0</v>
      </c>
      <c r="L675" s="753"/>
      <c r="M675" s="753"/>
      <c r="N675" s="753"/>
      <c r="O675" s="753"/>
      <c r="P675" s="756">
        <f t="shared" si="61"/>
        <v>0</v>
      </c>
      <c r="Q675" s="755"/>
      <c r="R675" s="750">
        <f t="shared" si="63"/>
        <v>0</v>
      </c>
    </row>
    <row r="676" spans="2:18" s="757" customFormat="1" outlineLevel="2" x14ac:dyDescent="0.2">
      <c r="B676" s="745" t="s">
        <v>4295</v>
      </c>
      <c r="C676" s="751" t="s">
        <v>2757</v>
      </c>
      <c r="D676" s="752" t="s">
        <v>246</v>
      </c>
      <c r="E676" s="753"/>
      <c r="F676" s="753"/>
      <c r="G676" s="753"/>
      <c r="H676" s="753"/>
      <c r="I676" s="754">
        <f t="shared" si="60"/>
        <v>0</v>
      </c>
      <c r="J676" s="755"/>
      <c r="K676" s="748">
        <f t="shared" si="62"/>
        <v>0</v>
      </c>
      <c r="L676" s="753"/>
      <c r="M676" s="753"/>
      <c r="N676" s="753"/>
      <c r="O676" s="753"/>
      <c r="P676" s="756">
        <f t="shared" si="61"/>
        <v>0</v>
      </c>
      <c r="Q676" s="755"/>
      <c r="R676" s="750">
        <f t="shared" si="63"/>
        <v>0</v>
      </c>
    </row>
    <row r="677" spans="2:18" s="757" customFormat="1" outlineLevel="2" x14ac:dyDescent="0.2">
      <c r="B677" s="745" t="s">
        <v>4296</v>
      </c>
      <c r="C677" s="751" t="s">
        <v>2758</v>
      </c>
      <c r="D677" s="752" t="s">
        <v>246</v>
      </c>
      <c r="E677" s="753"/>
      <c r="F677" s="753"/>
      <c r="G677" s="753"/>
      <c r="H677" s="753"/>
      <c r="I677" s="754">
        <f t="shared" si="60"/>
        <v>0</v>
      </c>
      <c r="J677" s="755"/>
      <c r="K677" s="748">
        <f t="shared" si="62"/>
        <v>0</v>
      </c>
      <c r="L677" s="753"/>
      <c r="M677" s="753"/>
      <c r="N677" s="753"/>
      <c r="O677" s="753"/>
      <c r="P677" s="756">
        <f t="shared" si="61"/>
        <v>0</v>
      </c>
      <c r="Q677" s="755"/>
      <c r="R677" s="750">
        <f t="shared" si="63"/>
        <v>0</v>
      </c>
    </row>
    <row r="678" spans="2:18" s="757" customFormat="1" outlineLevel="2" x14ac:dyDescent="0.2">
      <c r="B678" s="745" t="s">
        <v>4297</v>
      </c>
      <c r="C678" s="751" t="s">
        <v>2759</v>
      </c>
      <c r="D678" s="752" t="s">
        <v>246</v>
      </c>
      <c r="E678" s="753"/>
      <c r="F678" s="753"/>
      <c r="G678" s="753"/>
      <c r="H678" s="753"/>
      <c r="I678" s="754">
        <f t="shared" si="60"/>
        <v>0</v>
      </c>
      <c r="J678" s="755"/>
      <c r="K678" s="748">
        <f t="shared" si="62"/>
        <v>0</v>
      </c>
      <c r="L678" s="753"/>
      <c r="M678" s="753"/>
      <c r="N678" s="753"/>
      <c r="O678" s="753"/>
      <c r="P678" s="756">
        <f t="shared" si="61"/>
        <v>0</v>
      </c>
      <c r="Q678" s="755"/>
      <c r="R678" s="750">
        <f t="shared" si="63"/>
        <v>0</v>
      </c>
    </row>
    <row r="679" spans="2:18" s="757" customFormat="1" outlineLevel="2" x14ac:dyDescent="0.2">
      <c r="B679" s="745" t="s">
        <v>4298</v>
      </c>
      <c r="C679" s="751" t="s">
        <v>2760</v>
      </c>
      <c r="D679" s="752" t="s">
        <v>246</v>
      </c>
      <c r="E679" s="753"/>
      <c r="F679" s="753"/>
      <c r="G679" s="753"/>
      <c r="H679" s="753"/>
      <c r="I679" s="754">
        <f t="shared" si="60"/>
        <v>0</v>
      </c>
      <c r="J679" s="755"/>
      <c r="K679" s="748">
        <f t="shared" si="62"/>
        <v>0</v>
      </c>
      <c r="L679" s="753"/>
      <c r="M679" s="753"/>
      <c r="N679" s="753"/>
      <c r="O679" s="753"/>
      <c r="P679" s="756">
        <f t="shared" si="61"/>
        <v>0</v>
      </c>
      <c r="Q679" s="755"/>
      <c r="R679" s="750">
        <f t="shared" si="63"/>
        <v>0</v>
      </c>
    </row>
    <row r="680" spans="2:18" s="757" customFormat="1" outlineLevel="2" x14ac:dyDescent="0.2">
      <c r="B680" s="745" t="s">
        <v>4299</v>
      </c>
      <c r="C680" s="751" t="s">
        <v>2761</v>
      </c>
      <c r="D680" s="752" t="s">
        <v>246</v>
      </c>
      <c r="E680" s="753"/>
      <c r="F680" s="753"/>
      <c r="G680" s="753"/>
      <c r="H680" s="753"/>
      <c r="I680" s="754">
        <f t="shared" si="60"/>
        <v>0</v>
      </c>
      <c r="J680" s="755"/>
      <c r="K680" s="748">
        <f t="shared" si="62"/>
        <v>0</v>
      </c>
      <c r="L680" s="753"/>
      <c r="M680" s="753"/>
      <c r="N680" s="753"/>
      <c r="O680" s="753"/>
      <c r="P680" s="756">
        <f t="shared" si="61"/>
        <v>0</v>
      </c>
      <c r="Q680" s="755"/>
      <c r="R680" s="750">
        <f t="shared" si="63"/>
        <v>0</v>
      </c>
    </row>
    <row r="681" spans="2:18" s="757" customFormat="1" outlineLevel="2" x14ac:dyDescent="0.2">
      <c r="B681" s="745" t="s">
        <v>4300</v>
      </c>
      <c r="C681" s="751" t="s">
        <v>2762</v>
      </c>
      <c r="D681" s="752" t="s">
        <v>246</v>
      </c>
      <c r="E681" s="753"/>
      <c r="F681" s="753"/>
      <c r="G681" s="753"/>
      <c r="H681" s="753"/>
      <c r="I681" s="754">
        <f t="shared" si="60"/>
        <v>0</v>
      </c>
      <c r="J681" s="755"/>
      <c r="K681" s="748">
        <f t="shared" si="62"/>
        <v>0</v>
      </c>
      <c r="L681" s="753"/>
      <c r="M681" s="753"/>
      <c r="N681" s="753"/>
      <c r="O681" s="753"/>
      <c r="P681" s="756">
        <f t="shared" si="61"/>
        <v>0</v>
      </c>
      <c r="Q681" s="755"/>
      <c r="R681" s="750">
        <f t="shared" si="63"/>
        <v>0</v>
      </c>
    </row>
    <row r="682" spans="2:18" s="757" customFormat="1" outlineLevel="2" x14ac:dyDescent="0.2">
      <c r="B682" s="745" t="s">
        <v>4301</v>
      </c>
      <c r="C682" s="751" t="s">
        <v>2763</v>
      </c>
      <c r="D682" s="752" t="s">
        <v>246</v>
      </c>
      <c r="E682" s="753"/>
      <c r="F682" s="753"/>
      <c r="G682" s="753"/>
      <c r="H682" s="753"/>
      <c r="I682" s="754">
        <f t="shared" si="60"/>
        <v>0</v>
      </c>
      <c r="J682" s="755"/>
      <c r="K682" s="748">
        <f t="shared" si="62"/>
        <v>0</v>
      </c>
      <c r="L682" s="753"/>
      <c r="M682" s="753"/>
      <c r="N682" s="753"/>
      <c r="O682" s="753"/>
      <c r="P682" s="756">
        <f t="shared" si="61"/>
        <v>0</v>
      </c>
      <c r="Q682" s="755"/>
      <c r="R682" s="750">
        <f t="shared" si="63"/>
        <v>0</v>
      </c>
    </row>
    <row r="683" spans="2:18" s="757" customFormat="1" outlineLevel="2" x14ac:dyDescent="0.2">
      <c r="B683" s="745" t="s">
        <v>4302</v>
      </c>
      <c r="C683" s="751" t="s">
        <v>2764</v>
      </c>
      <c r="D683" s="752" t="s">
        <v>246</v>
      </c>
      <c r="E683" s="753"/>
      <c r="F683" s="753"/>
      <c r="G683" s="753"/>
      <c r="H683" s="753"/>
      <c r="I683" s="754">
        <f t="shared" si="60"/>
        <v>0</v>
      </c>
      <c r="J683" s="755"/>
      <c r="K683" s="748">
        <f t="shared" si="62"/>
        <v>0</v>
      </c>
      <c r="L683" s="753"/>
      <c r="M683" s="753"/>
      <c r="N683" s="753"/>
      <c r="O683" s="753"/>
      <c r="P683" s="756">
        <f t="shared" si="61"/>
        <v>0</v>
      </c>
      <c r="Q683" s="755"/>
      <c r="R683" s="750">
        <f t="shared" si="63"/>
        <v>0</v>
      </c>
    </row>
    <row r="684" spans="2:18" s="757" customFormat="1" outlineLevel="2" x14ac:dyDescent="0.2">
      <c r="B684" s="745" t="s">
        <v>4303</v>
      </c>
      <c r="C684" s="751" t="s">
        <v>2765</v>
      </c>
      <c r="D684" s="752" t="s">
        <v>246</v>
      </c>
      <c r="E684" s="753"/>
      <c r="F684" s="753"/>
      <c r="G684" s="753"/>
      <c r="H684" s="753"/>
      <c r="I684" s="754">
        <f t="shared" si="60"/>
        <v>0</v>
      </c>
      <c r="J684" s="755"/>
      <c r="K684" s="748">
        <f t="shared" si="62"/>
        <v>0</v>
      </c>
      <c r="L684" s="753"/>
      <c r="M684" s="753"/>
      <c r="N684" s="753"/>
      <c r="O684" s="753"/>
      <c r="P684" s="756">
        <f t="shared" si="61"/>
        <v>0</v>
      </c>
      <c r="Q684" s="755"/>
      <c r="R684" s="750">
        <f t="shared" si="63"/>
        <v>0</v>
      </c>
    </row>
    <row r="685" spans="2:18" s="757" customFormat="1" outlineLevel="2" x14ac:dyDescent="0.2">
      <c r="B685" s="745" t="s">
        <v>4304</v>
      </c>
      <c r="C685" s="751" t="s">
        <v>2766</v>
      </c>
      <c r="D685" s="752" t="s">
        <v>246</v>
      </c>
      <c r="E685" s="753"/>
      <c r="F685" s="753"/>
      <c r="G685" s="753"/>
      <c r="H685" s="753"/>
      <c r="I685" s="754">
        <f t="shared" si="60"/>
        <v>0</v>
      </c>
      <c r="J685" s="755"/>
      <c r="K685" s="748">
        <f t="shared" si="62"/>
        <v>0</v>
      </c>
      <c r="L685" s="753"/>
      <c r="M685" s="753"/>
      <c r="N685" s="753"/>
      <c r="O685" s="753"/>
      <c r="P685" s="756">
        <f t="shared" si="61"/>
        <v>0</v>
      </c>
      <c r="Q685" s="755"/>
      <c r="R685" s="750">
        <f t="shared" si="63"/>
        <v>0</v>
      </c>
    </row>
    <row r="686" spans="2:18" s="757" customFormat="1" outlineLevel="2" x14ac:dyDescent="0.2">
      <c r="B686" s="745" t="s">
        <v>4305</v>
      </c>
      <c r="C686" s="751" t="s">
        <v>2767</v>
      </c>
      <c r="D686" s="752" t="s">
        <v>246</v>
      </c>
      <c r="E686" s="753"/>
      <c r="F686" s="753"/>
      <c r="G686" s="753"/>
      <c r="H686" s="753"/>
      <c r="I686" s="754">
        <f t="shared" si="60"/>
        <v>0</v>
      </c>
      <c r="J686" s="755"/>
      <c r="K686" s="748">
        <f t="shared" si="62"/>
        <v>0</v>
      </c>
      <c r="L686" s="753"/>
      <c r="M686" s="753"/>
      <c r="N686" s="753"/>
      <c r="O686" s="753"/>
      <c r="P686" s="756">
        <f t="shared" si="61"/>
        <v>0</v>
      </c>
      <c r="Q686" s="755"/>
      <c r="R686" s="750">
        <f t="shared" si="63"/>
        <v>0</v>
      </c>
    </row>
    <row r="687" spans="2:18" s="757" customFormat="1" outlineLevel="2" x14ac:dyDescent="0.2">
      <c r="B687" s="745" t="s">
        <v>4306</v>
      </c>
      <c r="C687" s="751" t="s">
        <v>2768</v>
      </c>
      <c r="D687" s="752" t="s">
        <v>246</v>
      </c>
      <c r="E687" s="753"/>
      <c r="F687" s="753"/>
      <c r="G687" s="753"/>
      <c r="H687" s="753"/>
      <c r="I687" s="754">
        <f t="shared" si="60"/>
        <v>0</v>
      </c>
      <c r="J687" s="755"/>
      <c r="K687" s="748">
        <f t="shared" si="62"/>
        <v>0</v>
      </c>
      <c r="L687" s="753"/>
      <c r="M687" s="753"/>
      <c r="N687" s="753"/>
      <c r="O687" s="753"/>
      <c r="P687" s="756">
        <f t="shared" si="61"/>
        <v>0</v>
      </c>
      <c r="Q687" s="755"/>
      <c r="R687" s="750">
        <f t="shared" si="63"/>
        <v>0</v>
      </c>
    </row>
    <row r="688" spans="2:18" s="757" customFormat="1" outlineLevel="2" x14ac:dyDescent="0.2">
      <c r="B688" s="745" t="s">
        <v>4307</v>
      </c>
      <c r="C688" s="751" t="s">
        <v>2769</v>
      </c>
      <c r="D688" s="752" t="s">
        <v>246</v>
      </c>
      <c r="E688" s="753"/>
      <c r="F688" s="753"/>
      <c r="G688" s="753"/>
      <c r="H688" s="753"/>
      <c r="I688" s="754">
        <f t="shared" si="60"/>
        <v>0</v>
      </c>
      <c r="J688" s="755"/>
      <c r="K688" s="748">
        <f t="shared" si="62"/>
        <v>0</v>
      </c>
      <c r="L688" s="753"/>
      <c r="M688" s="753"/>
      <c r="N688" s="753"/>
      <c r="O688" s="753"/>
      <c r="P688" s="756">
        <f t="shared" si="61"/>
        <v>0</v>
      </c>
      <c r="Q688" s="755"/>
      <c r="R688" s="750">
        <f t="shared" si="63"/>
        <v>0</v>
      </c>
    </row>
    <row r="689" spans="2:18" s="757" customFormat="1" outlineLevel="2" x14ac:dyDescent="0.2">
      <c r="B689" s="745" t="s">
        <v>4308</v>
      </c>
      <c r="C689" s="751" t="s">
        <v>2770</v>
      </c>
      <c r="D689" s="752" t="s">
        <v>246</v>
      </c>
      <c r="E689" s="753"/>
      <c r="F689" s="753"/>
      <c r="G689" s="753"/>
      <c r="H689" s="753"/>
      <c r="I689" s="754">
        <f t="shared" si="60"/>
        <v>0</v>
      </c>
      <c r="J689" s="755"/>
      <c r="K689" s="748">
        <f t="shared" si="62"/>
        <v>0</v>
      </c>
      <c r="L689" s="753"/>
      <c r="M689" s="753"/>
      <c r="N689" s="753"/>
      <c r="O689" s="753"/>
      <c r="P689" s="756">
        <f t="shared" si="61"/>
        <v>0</v>
      </c>
      <c r="Q689" s="755"/>
      <c r="R689" s="750">
        <f t="shared" si="63"/>
        <v>0</v>
      </c>
    </row>
    <row r="690" spans="2:18" s="757" customFormat="1" outlineLevel="2" x14ac:dyDescent="0.2">
      <c r="B690" s="745" t="s">
        <v>4309</v>
      </c>
      <c r="C690" s="751" t="s">
        <v>2771</v>
      </c>
      <c r="D690" s="752" t="s">
        <v>246</v>
      </c>
      <c r="E690" s="753"/>
      <c r="F690" s="753"/>
      <c r="G690" s="753"/>
      <c r="H690" s="753"/>
      <c r="I690" s="754">
        <f t="shared" si="60"/>
        <v>0</v>
      </c>
      <c r="J690" s="755"/>
      <c r="K690" s="748">
        <f t="shared" si="62"/>
        <v>0</v>
      </c>
      <c r="L690" s="753"/>
      <c r="M690" s="753"/>
      <c r="N690" s="753"/>
      <c r="O690" s="753"/>
      <c r="P690" s="756">
        <f t="shared" si="61"/>
        <v>0</v>
      </c>
      <c r="Q690" s="755"/>
      <c r="R690" s="750">
        <f t="shared" si="63"/>
        <v>0</v>
      </c>
    </row>
    <row r="691" spans="2:18" s="757" customFormat="1" outlineLevel="2" x14ac:dyDescent="0.2">
      <c r="B691" s="745" t="s">
        <v>4310</v>
      </c>
      <c r="C691" s="751" t="s">
        <v>2772</v>
      </c>
      <c r="D691" s="752" t="s">
        <v>246</v>
      </c>
      <c r="E691" s="753"/>
      <c r="F691" s="753"/>
      <c r="G691" s="753"/>
      <c r="H691" s="753"/>
      <c r="I691" s="754">
        <f t="shared" si="60"/>
        <v>0</v>
      </c>
      <c r="J691" s="755"/>
      <c r="K691" s="748">
        <f t="shared" si="62"/>
        <v>0</v>
      </c>
      <c r="L691" s="753"/>
      <c r="M691" s="753"/>
      <c r="N691" s="753"/>
      <c r="O691" s="753"/>
      <c r="P691" s="756">
        <f t="shared" si="61"/>
        <v>0</v>
      </c>
      <c r="Q691" s="755"/>
      <c r="R691" s="750">
        <f t="shared" si="63"/>
        <v>0</v>
      </c>
    </row>
    <row r="692" spans="2:18" s="757" customFormat="1" outlineLevel="2" x14ac:dyDescent="0.2">
      <c r="B692" s="745" t="s">
        <v>4311</v>
      </c>
      <c r="C692" s="751" t="s">
        <v>2773</v>
      </c>
      <c r="D692" s="752" t="s">
        <v>246</v>
      </c>
      <c r="E692" s="753"/>
      <c r="F692" s="753"/>
      <c r="G692" s="753"/>
      <c r="H692" s="753"/>
      <c r="I692" s="754">
        <f t="shared" si="60"/>
        <v>0</v>
      </c>
      <c r="J692" s="755"/>
      <c r="K692" s="748">
        <f t="shared" si="62"/>
        <v>0</v>
      </c>
      <c r="L692" s="753"/>
      <c r="M692" s="753"/>
      <c r="N692" s="753"/>
      <c r="O692" s="753"/>
      <c r="P692" s="756">
        <f t="shared" si="61"/>
        <v>0</v>
      </c>
      <c r="Q692" s="755"/>
      <c r="R692" s="750">
        <f t="shared" si="63"/>
        <v>0</v>
      </c>
    </row>
    <row r="693" spans="2:18" s="757" customFormat="1" outlineLevel="2" x14ac:dyDescent="0.2">
      <c r="B693" s="745" t="s">
        <v>4312</v>
      </c>
      <c r="C693" s="751" t="s">
        <v>2774</v>
      </c>
      <c r="D693" s="752" t="s">
        <v>246</v>
      </c>
      <c r="E693" s="753"/>
      <c r="F693" s="753"/>
      <c r="G693" s="753"/>
      <c r="H693" s="753"/>
      <c r="I693" s="754">
        <f t="shared" si="60"/>
        <v>0</v>
      </c>
      <c r="J693" s="755"/>
      <c r="K693" s="748">
        <f t="shared" si="62"/>
        <v>0</v>
      </c>
      <c r="L693" s="753"/>
      <c r="M693" s="753"/>
      <c r="N693" s="753"/>
      <c r="O693" s="753"/>
      <c r="P693" s="756">
        <f t="shared" si="61"/>
        <v>0</v>
      </c>
      <c r="Q693" s="755"/>
      <c r="R693" s="750">
        <f t="shared" si="63"/>
        <v>0</v>
      </c>
    </row>
    <row r="694" spans="2:18" s="757" customFormat="1" outlineLevel="2" x14ac:dyDescent="0.2">
      <c r="B694" s="745" t="s">
        <v>4313</v>
      </c>
      <c r="C694" s="751" t="s">
        <v>2775</v>
      </c>
      <c r="D694" s="752" t="s">
        <v>246</v>
      </c>
      <c r="E694" s="753"/>
      <c r="F694" s="753"/>
      <c r="G694" s="753"/>
      <c r="H694" s="753"/>
      <c r="I694" s="754">
        <f t="shared" si="60"/>
        <v>0</v>
      </c>
      <c r="J694" s="755"/>
      <c r="K694" s="748">
        <f t="shared" si="62"/>
        <v>0</v>
      </c>
      <c r="L694" s="753"/>
      <c r="M694" s="753"/>
      <c r="N694" s="753"/>
      <c r="O694" s="753"/>
      <c r="P694" s="756">
        <f t="shared" si="61"/>
        <v>0</v>
      </c>
      <c r="Q694" s="755"/>
      <c r="R694" s="750">
        <f t="shared" si="63"/>
        <v>0</v>
      </c>
    </row>
    <row r="695" spans="2:18" s="757" customFormat="1" outlineLevel="2" x14ac:dyDescent="0.2">
      <c r="B695" s="745" t="s">
        <v>4314</v>
      </c>
      <c r="C695" s="751" t="s">
        <v>2776</v>
      </c>
      <c r="D695" s="752" t="s">
        <v>246</v>
      </c>
      <c r="E695" s="753"/>
      <c r="F695" s="753"/>
      <c r="G695" s="753"/>
      <c r="H695" s="753"/>
      <c r="I695" s="754">
        <f t="shared" si="60"/>
        <v>0</v>
      </c>
      <c r="J695" s="755"/>
      <c r="K695" s="748">
        <f t="shared" si="62"/>
        <v>0</v>
      </c>
      <c r="L695" s="753"/>
      <c r="M695" s="753"/>
      <c r="N695" s="753"/>
      <c r="O695" s="753"/>
      <c r="P695" s="756">
        <f t="shared" si="61"/>
        <v>0</v>
      </c>
      <c r="Q695" s="755"/>
      <c r="R695" s="750">
        <f t="shared" si="63"/>
        <v>0</v>
      </c>
    </row>
    <row r="696" spans="2:18" s="757" customFormat="1" outlineLevel="2" x14ac:dyDescent="0.2">
      <c r="B696" s="745" t="s">
        <v>4315</v>
      </c>
      <c r="C696" s="751" t="s">
        <v>2777</v>
      </c>
      <c r="D696" s="752" t="s">
        <v>246</v>
      </c>
      <c r="E696" s="753"/>
      <c r="F696" s="753"/>
      <c r="G696" s="753"/>
      <c r="H696" s="753"/>
      <c r="I696" s="754">
        <f t="shared" si="60"/>
        <v>0</v>
      </c>
      <c r="J696" s="755"/>
      <c r="K696" s="748">
        <f t="shared" si="62"/>
        <v>0</v>
      </c>
      <c r="L696" s="753"/>
      <c r="M696" s="753"/>
      <c r="N696" s="753"/>
      <c r="O696" s="753"/>
      <c r="P696" s="756">
        <f t="shared" si="61"/>
        <v>0</v>
      </c>
      <c r="Q696" s="755"/>
      <c r="R696" s="750">
        <f t="shared" si="63"/>
        <v>0</v>
      </c>
    </row>
    <row r="697" spans="2:18" s="757" customFormat="1" outlineLevel="2" x14ac:dyDescent="0.2">
      <c r="B697" s="745" t="s">
        <v>4316</v>
      </c>
      <c r="C697" s="751" t="s">
        <v>2778</v>
      </c>
      <c r="D697" s="752" t="s">
        <v>246</v>
      </c>
      <c r="E697" s="753"/>
      <c r="F697" s="753"/>
      <c r="G697" s="753"/>
      <c r="H697" s="753"/>
      <c r="I697" s="754">
        <f t="shared" si="60"/>
        <v>0</v>
      </c>
      <c r="J697" s="755"/>
      <c r="K697" s="748">
        <f t="shared" si="62"/>
        <v>0</v>
      </c>
      <c r="L697" s="753"/>
      <c r="M697" s="753"/>
      <c r="N697" s="753"/>
      <c r="O697" s="753"/>
      <c r="P697" s="756">
        <f t="shared" si="61"/>
        <v>0</v>
      </c>
      <c r="Q697" s="755"/>
      <c r="R697" s="750">
        <f t="shared" si="63"/>
        <v>0</v>
      </c>
    </row>
    <row r="698" spans="2:18" s="757" customFormat="1" outlineLevel="2" x14ac:dyDescent="0.2">
      <c r="B698" s="745" t="s">
        <v>4317</v>
      </c>
      <c r="C698" s="751" t="s">
        <v>2779</v>
      </c>
      <c r="D698" s="752" t="s">
        <v>246</v>
      </c>
      <c r="E698" s="753"/>
      <c r="F698" s="753"/>
      <c r="G698" s="753"/>
      <c r="H698" s="753"/>
      <c r="I698" s="754">
        <f t="shared" si="60"/>
        <v>0</v>
      </c>
      <c r="J698" s="755"/>
      <c r="K698" s="748">
        <f t="shared" si="62"/>
        <v>0</v>
      </c>
      <c r="L698" s="753"/>
      <c r="M698" s="753"/>
      <c r="N698" s="753"/>
      <c r="O698" s="753"/>
      <c r="P698" s="756">
        <f t="shared" si="61"/>
        <v>0</v>
      </c>
      <c r="Q698" s="755"/>
      <c r="R698" s="750">
        <f t="shared" si="63"/>
        <v>0</v>
      </c>
    </row>
    <row r="699" spans="2:18" s="744" customFormat="1" x14ac:dyDescent="0.2">
      <c r="B699" s="745" t="s">
        <v>4318</v>
      </c>
      <c r="C699" s="758">
        <v>7</v>
      </c>
      <c r="D699" s="150" t="s">
        <v>152</v>
      </c>
      <c r="E699" s="759">
        <f t="shared" ref="E699:R699" si="64">E700+E711</f>
        <v>0</v>
      </c>
      <c r="F699" s="759">
        <f t="shared" si="64"/>
        <v>0</v>
      </c>
      <c r="G699" s="759">
        <f t="shared" si="64"/>
        <v>0</v>
      </c>
      <c r="H699" s="759">
        <f t="shared" si="64"/>
        <v>0</v>
      </c>
      <c r="I699" s="760">
        <f t="shared" si="64"/>
        <v>0</v>
      </c>
      <c r="J699" s="761">
        <f t="shared" si="64"/>
        <v>0</v>
      </c>
      <c r="K699" s="760">
        <f t="shared" si="64"/>
        <v>0</v>
      </c>
      <c r="L699" s="759">
        <f t="shared" si="64"/>
        <v>0</v>
      </c>
      <c r="M699" s="759">
        <f t="shared" si="64"/>
        <v>0</v>
      </c>
      <c r="N699" s="759">
        <f t="shared" si="64"/>
        <v>0</v>
      </c>
      <c r="O699" s="759">
        <f t="shared" si="64"/>
        <v>0</v>
      </c>
      <c r="P699" s="764">
        <f t="shared" si="64"/>
        <v>0</v>
      </c>
      <c r="Q699" s="761">
        <f t="shared" si="64"/>
        <v>0</v>
      </c>
      <c r="R699" s="763">
        <f t="shared" si="64"/>
        <v>0</v>
      </c>
    </row>
    <row r="700" spans="2:18" s="744" customFormat="1" outlineLevel="1" x14ac:dyDescent="0.2">
      <c r="B700" s="745" t="s">
        <v>4319</v>
      </c>
      <c r="C700" s="746">
        <v>7.1</v>
      </c>
      <c r="D700" s="312" t="s">
        <v>152</v>
      </c>
      <c r="E700" s="747">
        <f t="shared" ref="E700:Q700" si="65">SUM(E701:E710)</f>
        <v>0</v>
      </c>
      <c r="F700" s="747">
        <f t="shared" si="65"/>
        <v>0</v>
      </c>
      <c r="G700" s="747">
        <f t="shared" si="65"/>
        <v>0</v>
      </c>
      <c r="H700" s="747">
        <f t="shared" si="65"/>
        <v>0</v>
      </c>
      <c r="I700" s="748">
        <f t="shared" si="65"/>
        <v>0</v>
      </c>
      <c r="J700" s="747">
        <f t="shared" si="65"/>
        <v>0</v>
      </c>
      <c r="K700" s="748">
        <f t="shared" si="62"/>
        <v>0</v>
      </c>
      <c r="L700" s="747">
        <f t="shared" si="65"/>
        <v>0</v>
      </c>
      <c r="M700" s="747">
        <f t="shared" si="65"/>
        <v>0</v>
      </c>
      <c r="N700" s="747">
        <f t="shared" si="65"/>
        <v>0</v>
      </c>
      <c r="O700" s="747">
        <f t="shared" si="65"/>
        <v>0</v>
      </c>
      <c r="P700" s="764">
        <f t="shared" si="65"/>
        <v>0</v>
      </c>
      <c r="Q700" s="747">
        <f t="shared" si="65"/>
        <v>0</v>
      </c>
      <c r="R700" s="750">
        <f t="shared" ref="R700:R721" si="66">P700-Q700</f>
        <v>0</v>
      </c>
    </row>
    <row r="701" spans="2:18" s="757" customFormat="1" outlineLevel="2" x14ac:dyDescent="0.2">
      <c r="B701" s="745" t="s">
        <v>4320</v>
      </c>
      <c r="C701" s="751" t="s">
        <v>1804</v>
      </c>
      <c r="D701" s="752" t="s">
        <v>153</v>
      </c>
      <c r="E701" s="765"/>
      <c r="F701" s="765"/>
      <c r="G701" s="765"/>
      <c r="H701" s="765"/>
      <c r="I701" s="766">
        <f t="shared" ref="I701:I721" si="67">SUM(E701:H701)</f>
        <v>0</v>
      </c>
      <c r="J701" s="765"/>
      <c r="K701" s="748">
        <f t="shared" si="62"/>
        <v>0</v>
      </c>
      <c r="L701" s="765"/>
      <c r="M701" s="765"/>
      <c r="N701" s="765"/>
      <c r="O701" s="765"/>
      <c r="P701" s="764">
        <f t="shared" ref="P701:P721" si="68">SUM(L701:O701)</f>
        <v>0</v>
      </c>
      <c r="Q701" s="765"/>
      <c r="R701" s="750">
        <f t="shared" si="66"/>
        <v>0</v>
      </c>
    </row>
    <row r="702" spans="2:18" s="757" customFormat="1" outlineLevel="2" x14ac:dyDescent="0.2">
      <c r="B702" s="745" t="s">
        <v>4321</v>
      </c>
      <c r="C702" s="751" t="s">
        <v>1805</v>
      </c>
      <c r="D702" s="752" t="s">
        <v>153</v>
      </c>
      <c r="E702" s="765"/>
      <c r="F702" s="765"/>
      <c r="G702" s="765"/>
      <c r="H702" s="765"/>
      <c r="I702" s="766">
        <f t="shared" si="67"/>
        <v>0</v>
      </c>
      <c r="J702" s="765"/>
      <c r="K702" s="748">
        <f t="shared" si="62"/>
        <v>0</v>
      </c>
      <c r="L702" s="765"/>
      <c r="M702" s="765"/>
      <c r="N702" s="765"/>
      <c r="O702" s="765"/>
      <c r="P702" s="764">
        <f t="shared" si="68"/>
        <v>0</v>
      </c>
      <c r="Q702" s="765"/>
      <c r="R702" s="750">
        <f t="shared" si="66"/>
        <v>0</v>
      </c>
    </row>
    <row r="703" spans="2:18" s="757" customFormat="1" outlineLevel="2" x14ac:dyDescent="0.2">
      <c r="B703" s="745" t="s">
        <v>4322</v>
      </c>
      <c r="C703" s="751" t="s">
        <v>1806</v>
      </c>
      <c r="D703" s="752" t="s">
        <v>153</v>
      </c>
      <c r="E703" s="765"/>
      <c r="F703" s="765"/>
      <c r="G703" s="765"/>
      <c r="H703" s="765"/>
      <c r="I703" s="766">
        <f t="shared" si="67"/>
        <v>0</v>
      </c>
      <c r="J703" s="765"/>
      <c r="K703" s="748">
        <f t="shared" si="62"/>
        <v>0</v>
      </c>
      <c r="L703" s="765"/>
      <c r="M703" s="765"/>
      <c r="N703" s="765"/>
      <c r="O703" s="765"/>
      <c r="P703" s="764">
        <f t="shared" si="68"/>
        <v>0</v>
      </c>
      <c r="Q703" s="765"/>
      <c r="R703" s="750">
        <f t="shared" si="66"/>
        <v>0</v>
      </c>
    </row>
    <row r="704" spans="2:18" s="757" customFormat="1" outlineLevel="2" x14ac:dyDescent="0.2">
      <c r="B704" s="745" t="s">
        <v>4323</v>
      </c>
      <c r="C704" s="751" t="s">
        <v>1807</v>
      </c>
      <c r="D704" s="752" t="s">
        <v>153</v>
      </c>
      <c r="E704" s="765"/>
      <c r="F704" s="765"/>
      <c r="G704" s="765"/>
      <c r="H704" s="765"/>
      <c r="I704" s="766">
        <f t="shared" si="67"/>
        <v>0</v>
      </c>
      <c r="J704" s="765"/>
      <c r="K704" s="748">
        <f t="shared" si="62"/>
        <v>0</v>
      </c>
      <c r="L704" s="765"/>
      <c r="M704" s="765"/>
      <c r="N704" s="765"/>
      <c r="O704" s="765"/>
      <c r="P704" s="764">
        <f t="shared" si="68"/>
        <v>0</v>
      </c>
      <c r="Q704" s="765"/>
      <c r="R704" s="750">
        <f t="shared" si="66"/>
        <v>0</v>
      </c>
    </row>
    <row r="705" spans="2:18" s="757" customFormat="1" outlineLevel="2" x14ac:dyDescent="0.2">
      <c r="B705" s="745" t="s">
        <v>4324</v>
      </c>
      <c r="C705" s="751" t="s">
        <v>1808</v>
      </c>
      <c r="D705" s="752" t="s">
        <v>153</v>
      </c>
      <c r="E705" s="765"/>
      <c r="F705" s="765"/>
      <c r="G705" s="765"/>
      <c r="H705" s="765"/>
      <c r="I705" s="766">
        <f t="shared" si="67"/>
        <v>0</v>
      </c>
      <c r="J705" s="765"/>
      <c r="K705" s="748">
        <f t="shared" si="62"/>
        <v>0</v>
      </c>
      <c r="L705" s="765"/>
      <c r="M705" s="765"/>
      <c r="N705" s="765"/>
      <c r="O705" s="765"/>
      <c r="P705" s="764">
        <f t="shared" si="68"/>
        <v>0</v>
      </c>
      <c r="Q705" s="765"/>
      <c r="R705" s="750">
        <f t="shared" si="66"/>
        <v>0</v>
      </c>
    </row>
    <row r="706" spans="2:18" s="757" customFormat="1" outlineLevel="2" x14ac:dyDescent="0.2">
      <c r="B706" s="745" t="s">
        <v>4325</v>
      </c>
      <c r="C706" s="751" t="s">
        <v>1809</v>
      </c>
      <c r="D706" s="752" t="s">
        <v>153</v>
      </c>
      <c r="E706" s="765"/>
      <c r="F706" s="765"/>
      <c r="G706" s="765"/>
      <c r="H706" s="765"/>
      <c r="I706" s="766">
        <f t="shared" si="67"/>
        <v>0</v>
      </c>
      <c r="J706" s="765"/>
      <c r="K706" s="748">
        <f t="shared" si="62"/>
        <v>0</v>
      </c>
      <c r="L706" s="765"/>
      <c r="M706" s="765"/>
      <c r="N706" s="765"/>
      <c r="O706" s="765"/>
      <c r="P706" s="764">
        <f t="shared" si="68"/>
        <v>0</v>
      </c>
      <c r="Q706" s="765"/>
      <c r="R706" s="750">
        <f t="shared" si="66"/>
        <v>0</v>
      </c>
    </row>
    <row r="707" spans="2:18" s="757" customFormat="1" outlineLevel="2" x14ac:dyDescent="0.2">
      <c r="B707" s="745" t="s">
        <v>4326</v>
      </c>
      <c r="C707" s="751" t="s">
        <v>1810</v>
      </c>
      <c r="D707" s="752" t="s">
        <v>153</v>
      </c>
      <c r="E707" s="765"/>
      <c r="F707" s="765"/>
      <c r="G707" s="765"/>
      <c r="H707" s="765"/>
      <c r="I707" s="766">
        <f t="shared" si="67"/>
        <v>0</v>
      </c>
      <c r="J707" s="765"/>
      <c r="K707" s="748">
        <f t="shared" si="62"/>
        <v>0</v>
      </c>
      <c r="L707" s="765"/>
      <c r="M707" s="765"/>
      <c r="N707" s="765"/>
      <c r="O707" s="765"/>
      <c r="P707" s="764">
        <f t="shared" si="68"/>
        <v>0</v>
      </c>
      <c r="Q707" s="765"/>
      <c r="R707" s="750">
        <f t="shared" si="66"/>
        <v>0</v>
      </c>
    </row>
    <row r="708" spans="2:18" s="757" customFormat="1" outlineLevel="2" x14ac:dyDescent="0.2">
      <c r="B708" s="745" t="s">
        <v>4327</v>
      </c>
      <c r="C708" s="751" t="s">
        <v>1811</v>
      </c>
      <c r="D708" s="752" t="s">
        <v>153</v>
      </c>
      <c r="E708" s="765"/>
      <c r="F708" s="765"/>
      <c r="G708" s="765"/>
      <c r="H708" s="765"/>
      <c r="I708" s="766">
        <f t="shared" si="67"/>
        <v>0</v>
      </c>
      <c r="J708" s="765"/>
      <c r="K708" s="748">
        <f t="shared" si="62"/>
        <v>0</v>
      </c>
      <c r="L708" s="765"/>
      <c r="M708" s="765"/>
      <c r="N708" s="765"/>
      <c r="O708" s="765"/>
      <c r="P708" s="764">
        <f t="shared" si="68"/>
        <v>0</v>
      </c>
      <c r="Q708" s="765"/>
      <c r="R708" s="750">
        <f t="shared" si="66"/>
        <v>0</v>
      </c>
    </row>
    <row r="709" spans="2:18" s="757" customFormat="1" outlineLevel="2" x14ac:dyDescent="0.2">
      <c r="B709" s="745" t="s">
        <v>4328</v>
      </c>
      <c r="C709" s="751" t="s">
        <v>1812</v>
      </c>
      <c r="D709" s="752" t="s">
        <v>153</v>
      </c>
      <c r="E709" s="765"/>
      <c r="F709" s="765"/>
      <c r="G709" s="765"/>
      <c r="H709" s="765"/>
      <c r="I709" s="766">
        <f t="shared" si="67"/>
        <v>0</v>
      </c>
      <c r="J709" s="765"/>
      <c r="K709" s="748">
        <f t="shared" si="62"/>
        <v>0</v>
      </c>
      <c r="L709" s="765"/>
      <c r="M709" s="765"/>
      <c r="N709" s="765"/>
      <c r="O709" s="765"/>
      <c r="P709" s="764">
        <f t="shared" si="68"/>
        <v>0</v>
      </c>
      <c r="Q709" s="765"/>
      <c r="R709" s="750">
        <f t="shared" si="66"/>
        <v>0</v>
      </c>
    </row>
    <row r="710" spans="2:18" s="757" customFormat="1" outlineLevel="2" x14ac:dyDescent="0.2">
      <c r="B710" s="745" t="s">
        <v>4329</v>
      </c>
      <c r="C710" s="751" t="s">
        <v>1813</v>
      </c>
      <c r="D710" s="752" t="s">
        <v>153</v>
      </c>
      <c r="E710" s="765"/>
      <c r="F710" s="765"/>
      <c r="G710" s="765"/>
      <c r="H710" s="765"/>
      <c r="I710" s="766">
        <f t="shared" si="67"/>
        <v>0</v>
      </c>
      <c r="J710" s="765"/>
      <c r="K710" s="748">
        <f t="shared" si="62"/>
        <v>0</v>
      </c>
      <c r="L710" s="765"/>
      <c r="M710" s="765"/>
      <c r="N710" s="765"/>
      <c r="O710" s="765"/>
      <c r="P710" s="764">
        <f t="shared" si="68"/>
        <v>0</v>
      </c>
      <c r="Q710" s="765"/>
      <c r="R710" s="750">
        <f t="shared" si="66"/>
        <v>0</v>
      </c>
    </row>
    <row r="711" spans="2:18" s="757" customFormat="1" outlineLevel="1" x14ac:dyDescent="0.2">
      <c r="B711" s="745" t="s">
        <v>4330</v>
      </c>
      <c r="C711" s="746">
        <v>7.2</v>
      </c>
      <c r="D711" s="312" t="s">
        <v>4664</v>
      </c>
      <c r="E711" s="747">
        <f t="shared" ref="E711:Q711" si="69">SUM(E712:E721)</f>
        <v>0</v>
      </c>
      <c r="F711" s="747">
        <f t="shared" si="69"/>
        <v>0</v>
      </c>
      <c r="G711" s="747">
        <f t="shared" si="69"/>
        <v>0</v>
      </c>
      <c r="H711" s="747">
        <f t="shared" si="69"/>
        <v>0</v>
      </c>
      <c r="I711" s="748">
        <f t="shared" si="69"/>
        <v>0</v>
      </c>
      <c r="J711" s="747">
        <f t="shared" si="69"/>
        <v>0</v>
      </c>
      <c r="K711" s="748">
        <f t="shared" si="62"/>
        <v>0</v>
      </c>
      <c r="L711" s="747">
        <f t="shared" si="69"/>
        <v>0</v>
      </c>
      <c r="M711" s="747">
        <f t="shared" si="69"/>
        <v>0</v>
      </c>
      <c r="N711" s="747">
        <f t="shared" si="69"/>
        <v>0</v>
      </c>
      <c r="O711" s="747">
        <f t="shared" si="69"/>
        <v>0</v>
      </c>
      <c r="P711" s="764">
        <f t="shared" si="69"/>
        <v>0</v>
      </c>
      <c r="Q711" s="747">
        <f t="shared" si="69"/>
        <v>0</v>
      </c>
      <c r="R711" s="750">
        <f t="shared" si="66"/>
        <v>0</v>
      </c>
    </row>
    <row r="712" spans="2:18" s="744" customFormat="1" outlineLevel="2" x14ac:dyDescent="0.2">
      <c r="B712" s="745" t="s">
        <v>4331</v>
      </c>
      <c r="C712" s="751" t="s">
        <v>1824</v>
      </c>
      <c r="D712" s="312" t="s">
        <v>152</v>
      </c>
      <c r="E712" s="767"/>
      <c r="F712" s="767"/>
      <c r="G712" s="767"/>
      <c r="H712" s="767"/>
      <c r="I712" s="768">
        <f t="shared" si="67"/>
        <v>0</v>
      </c>
      <c r="J712" s="769"/>
      <c r="K712" s="748">
        <f t="shared" si="62"/>
        <v>0</v>
      </c>
      <c r="L712" s="767"/>
      <c r="M712" s="767"/>
      <c r="N712" s="767"/>
      <c r="O712" s="767"/>
      <c r="P712" s="770">
        <f t="shared" si="68"/>
        <v>0</v>
      </c>
      <c r="Q712" s="769"/>
      <c r="R712" s="750">
        <f t="shared" si="66"/>
        <v>0</v>
      </c>
    </row>
    <row r="713" spans="2:18" s="757" customFormat="1" outlineLevel="2" x14ac:dyDescent="0.2">
      <c r="B713" s="745" t="s">
        <v>4332</v>
      </c>
      <c r="C713" s="751" t="s">
        <v>1825</v>
      </c>
      <c r="D713" s="752" t="s">
        <v>153</v>
      </c>
      <c r="E713" s="765"/>
      <c r="F713" s="765"/>
      <c r="G713" s="765"/>
      <c r="H713" s="765"/>
      <c r="I713" s="766">
        <f t="shared" si="67"/>
        <v>0</v>
      </c>
      <c r="J713" s="771"/>
      <c r="K713" s="748">
        <f t="shared" si="62"/>
        <v>0</v>
      </c>
      <c r="L713" s="765"/>
      <c r="M713" s="765"/>
      <c r="N713" s="765"/>
      <c r="O713" s="765"/>
      <c r="P713" s="764">
        <f t="shared" si="68"/>
        <v>0</v>
      </c>
      <c r="Q713" s="771"/>
      <c r="R713" s="750">
        <f t="shared" si="66"/>
        <v>0</v>
      </c>
    </row>
    <row r="714" spans="2:18" s="757" customFormat="1" outlineLevel="2" x14ac:dyDescent="0.2">
      <c r="B714" s="745" t="s">
        <v>4333</v>
      </c>
      <c r="C714" s="751" t="s">
        <v>1826</v>
      </c>
      <c r="D714" s="752" t="s">
        <v>153</v>
      </c>
      <c r="E714" s="765"/>
      <c r="F714" s="765"/>
      <c r="G714" s="765"/>
      <c r="H714" s="765"/>
      <c r="I714" s="766">
        <f t="shared" si="67"/>
        <v>0</v>
      </c>
      <c r="J714" s="771"/>
      <c r="K714" s="748">
        <f t="shared" si="62"/>
        <v>0</v>
      </c>
      <c r="L714" s="765"/>
      <c r="M714" s="765"/>
      <c r="N714" s="765"/>
      <c r="O714" s="765"/>
      <c r="P714" s="764">
        <f t="shared" si="68"/>
        <v>0</v>
      </c>
      <c r="Q714" s="771"/>
      <c r="R714" s="750">
        <f t="shared" si="66"/>
        <v>0</v>
      </c>
    </row>
    <row r="715" spans="2:18" s="757" customFormat="1" outlineLevel="2" x14ac:dyDescent="0.2">
      <c r="B715" s="745" t="s">
        <v>4334</v>
      </c>
      <c r="C715" s="751" t="s">
        <v>1827</v>
      </c>
      <c r="D715" s="752" t="s">
        <v>153</v>
      </c>
      <c r="E715" s="765"/>
      <c r="F715" s="765"/>
      <c r="G715" s="765"/>
      <c r="H715" s="765"/>
      <c r="I715" s="766">
        <f t="shared" si="67"/>
        <v>0</v>
      </c>
      <c r="J715" s="771"/>
      <c r="K715" s="748">
        <f t="shared" ref="K715:K721" si="70">I715-J715</f>
        <v>0</v>
      </c>
      <c r="L715" s="765"/>
      <c r="M715" s="765"/>
      <c r="N715" s="765"/>
      <c r="O715" s="765"/>
      <c r="P715" s="764">
        <f t="shared" si="68"/>
        <v>0</v>
      </c>
      <c r="Q715" s="771"/>
      <c r="R715" s="750">
        <f t="shared" si="66"/>
        <v>0</v>
      </c>
    </row>
    <row r="716" spans="2:18" s="757" customFormat="1" outlineLevel="2" x14ac:dyDescent="0.2">
      <c r="B716" s="745" t="s">
        <v>4335</v>
      </c>
      <c r="C716" s="751" t="s">
        <v>1828</v>
      </c>
      <c r="D716" s="752" t="s">
        <v>153</v>
      </c>
      <c r="E716" s="765"/>
      <c r="F716" s="765"/>
      <c r="G716" s="765"/>
      <c r="H716" s="765"/>
      <c r="I716" s="766">
        <f t="shared" si="67"/>
        <v>0</v>
      </c>
      <c r="J716" s="771"/>
      <c r="K716" s="748">
        <f t="shared" si="70"/>
        <v>0</v>
      </c>
      <c r="L716" s="765"/>
      <c r="M716" s="765"/>
      <c r="N716" s="765"/>
      <c r="O716" s="765"/>
      <c r="P716" s="764">
        <f t="shared" si="68"/>
        <v>0</v>
      </c>
      <c r="Q716" s="771"/>
      <c r="R716" s="750">
        <f t="shared" si="66"/>
        <v>0</v>
      </c>
    </row>
    <row r="717" spans="2:18" s="757" customFormat="1" outlineLevel="2" x14ac:dyDescent="0.2">
      <c r="B717" s="745" t="s">
        <v>4336</v>
      </c>
      <c r="C717" s="751" t="s">
        <v>1829</v>
      </c>
      <c r="D717" s="752" t="s">
        <v>153</v>
      </c>
      <c r="E717" s="765"/>
      <c r="F717" s="765"/>
      <c r="G717" s="765"/>
      <c r="H717" s="765"/>
      <c r="I717" s="766">
        <f t="shared" si="67"/>
        <v>0</v>
      </c>
      <c r="J717" s="771"/>
      <c r="K717" s="748">
        <f t="shared" si="70"/>
        <v>0</v>
      </c>
      <c r="L717" s="765"/>
      <c r="M717" s="765"/>
      <c r="N717" s="765"/>
      <c r="O717" s="765"/>
      <c r="P717" s="764">
        <f t="shared" si="68"/>
        <v>0</v>
      </c>
      <c r="Q717" s="771"/>
      <c r="R717" s="750">
        <f t="shared" si="66"/>
        <v>0</v>
      </c>
    </row>
    <row r="718" spans="2:18" s="757" customFormat="1" outlineLevel="2" x14ac:dyDescent="0.2">
      <c r="B718" s="745" t="s">
        <v>4337</v>
      </c>
      <c r="C718" s="751" t="s">
        <v>1830</v>
      </c>
      <c r="D718" s="752" t="s">
        <v>153</v>
      </c>
      <c r="E718" s="765"/>
      <c r="F718" s="765"/>
      <c r="G718" s="765"/>
      <c r="H718" s="765"/>
      <c r="I718" s="766">
        <f t="shared" si="67"/>
        <v>0</v>
      </c>
      <c r="J718" s="771"/>
      <c r="K718" s="748">
        <f t="shared" si="70"/>
        <v>0</v>
      </c>
      <c r="L718" s="765"/>
      <c r="M718" s="765"/>
      <c r="N718" s="765"/>
      <c r="O718" s="765"/>
      <c r="P718" s="764">
        <f t="shared" si="68"/>
        <v>0</v>
      </c>
      <c r="Q718" s="771"/>
      <c r="R718" s="750">
        <f t="shared" si="66"/>
        <v>0</v>
      </c>
    </row>
    <row r="719" spans="2:18" s="757" customFormat="1" outlineLevel="2" x14ac:dyDescent="0.2">
      <c r="B719" s="745" t="s">
        <v>4338</v>
      </c>
      <c r="C719" s="751" t="s">
        <v>1831</v>
      </c>
      <c r="D719" s="752" t="s">
        <v>153</v>
      </c>
      <c r="E719" s="765"/>
      <c r="F719" s="765"/>
      <c r="G719" s="765"/>
      <c r="H719" s="765"/>
      <c r="I719" s="766">
        <f t="shared" si="67"/>
        <v>0</v>
      </c>
      <c r="J719" s="771"/>
      <c r="K719" s="748">
        <f t="shared" si="70"/>
        <v>0</v>
      </c>
      <c r="L719" s="765"/>
      <c r="M719" s="765"/>
      <c r="N719" s="765"/>
      <c r="O719" s="765"/>
      <c r="P719" s="764">
        <f t="shared" si="68"/>
        <v>0</v>
      </c>
      <c r="Q719" s="771"/>
      <c r="R719" s="750">
        <f t="shared" si="66"/>
        <v>0</v>
      </c>
    </row>
    <row r="720" spans="2:18" s="757" customFormat="1" outlineLevel="2" x14ac:dyDescent="0.2">
      <c r="B720" s="745" t="s">
        <v>4339</v>
      </c>
      <c r="C720" s="751" t="s">
        <v>1832</v>
      </c>
      <c r="D720" s="752" t="s">
        <v>153</v>
      </c>
      <c r="E720" s="765"/>
      <c r="F720" s="765"/>
      <c r="G720" s="765"/>
      <c r="H720" s="765"/>
      <c r="I720" s="766">
        <f t="shared" si="67"/>
        <v>0</v>
      </c>
      <c r="J720" s="771"/>
      <c r="K720" s="748">
        <f t="shared" si="70"/>
        <v>0</v>
      </c>
      <c r="L720" s="765"/>
      <c r="M720" s="765"/>
      <c r="N720" s="765"/>
      <c r="O720" s="765"/>
      <c r="P720" s="764">
        <f t="shared" si="68"/>
        <v>0</v>
      </c>
      <c r="Q720" s="771"/>
      <c r="R720" s="750">
        <f t="shared" si="66"/>
        <v>0</v>
      </c>
    </row>
    <row r="721" spans="2:18" s="757" customFormat="1" outlineLevel="2" x14ac:dyDescent="0.2">
      <c r="B721" s="745" t="s">
        <v>4340</v>
      </c>
      <c r="C721" s="751" t="s">
        <v>1833</v>
      </c>
      <c r="D721" s="752" t="s">
        <v>153</v>
      </c>
      <c r="E721" s="765"/>
      <c r="F721" s="765"/>
      <c r="G721" s="765"/>
      <c r="H721" s="765"/>
      <c r="I721" s="766">
        <f t="shared" si="67"/>
        <v>0</v>
      </c>
      <c r="J721" s="771"/>
      <c r="K721" s="748">
        <f t="shared" si="70"/>
        <v>0</v>
      </c>
      <c r="L721" s="765"/>
      <c r="M721" s="765"/>
      <c r="N721" s="765"/>
      <c r="O721" s="765"/>
      <c r="P721" s="764">
        <f t="shared" si="68"/>
        <v>0</v>
      </c>
      <c r="Q721" s="771"/>
      <c r="R721" s="750">
        <f t="shared" si="66"/>
        <v>0</v>
      </c>
    </row>
    <row r="722" spans="2:18" s="778" customFormat="1" ht="15.75" thickBot="1" x14ac:dyDescent="0.25">
      <c r="B722" s="772" t="s">
        <v>4341</v>
      </c>
      <c r="C722" s="813" t="s">
        <v>3368</v>
      </c>
      <c r="D722" s="830"/>
      <c r="E722" s="773">
        <f>E9+E136+E263+E390+E493+E596+E699</f>
        <v>0</v>
      </c>
      <c r="F722" s="773">
        <f t="shared" ref="F722:R722" si="71">F9+F136+F263+F390+F493+F596+F699</f>
        <v>0</v>
      </c>
      <c r="G722" s="773">
        <f t="shared" si="71"/>
        <v>0</v>
      </c>
      <c r="H722" s="773">
        <f t="shared" si="71"/>
        <v>0</v>
      </c>
      <c r="I722" s="773">
        <f t="shared" si="71"/>
        <v>0</v>
      </c>
      <c r="J722" s="774">
        <f t="shared" si="71"/>
        <v>0</v>
      </c>
      <c r="K722" s="773">
        <f t="shared" si="71"/>
        <v>0</v>
      </c>
      <c r="L722" s="773">
        <f t="shared" si="71"/>
        <v>0</v>
      </c>
      <c r="M722" s="773">
        <f t="shared" si="71"/>
        <v>0</v>
      </c>
      <c r="N722" s="773">
        <f t="shared" si="71"/>
        <v>0</v>
      </c>
      <c r="O722" s="773">
        <f t="shared" si="71"/>
        <v>0</v>
      </c>
      <c r="P722" s="775">
        <f t="shared" si="71"/>
        <v>0</v>
      </c>
      <c r="Q722" s="776">
        <f t="shared" si="71"/>
        <v>0</v>
      </c>
      <c r="R722" s="777">
        <f t="shared" si="71"/>
        <v>0</v>
      </c>
    </row>
    <row r="725" spans="2:18" x14ac:dyDescent="0.3">
      <c r="C725" s="829"/>
      <c r="D725" s="829"/>
      <c r="E725" s="829"/>
      <c r="F725" s="829"/>
      <c r="G725" s="829"/>
    </row>
    <row r="726" spans="2:18" x14ac:dyDescent="0.2">
      <c r="C726" s="828"/>
      <c r="D726" s="828"/>
      <c r="E726" s="828"/>
      <c r="F726" s="828"/>
      <c r="G726" s="828"/>
    </row>
    <row r="727" spans="2:18" x14ac:dyDescent="0.3">
      <c r="C727" s="829"/>
      <c r="D727" s="829"/>
      <c r="E727" s="829"/>
      <c r="F727" s="829"/>
      <c r="G727" s="829"/>
    </row>
    <row r="728" spans="2:18" x14ac:dyDescent="0.2">
      <c r="C728" s="828"/>
      <c r="D728" s="828"/>
      <c r="E728" s="828"/>
      <c r="F728" s="828"/>
      <c r="G728" s="828"/>
    </row>
    <row r="729" spans="2:18" x14ac:dyDescent="0.3">
      <c r="C729" s="829"/>
      <c r="D729" s="829"/>
      <c r="E729" s="829"/>
      <c r="F729" s="829"/>
      <c r="G729" s="829"/>
    </row>
    <row r="730" spans="2:18" x14ac:dyDescent="0.2">
      <c r="C730" s="828"/>
      <c r="D730" s="828"/>
      <c r="E730" s="828"/>
      <c r="F730" s="828"/>
      <c r="G730" s="828"/>
    </row>
    <row r="732" spans="2:18" x14ac:dyDescent="0.25">
      <c r="E732" s="780"/>
      <c r="F732" s="725"/>
      <c r="G732" s="725"/>
      <c r="H732" s="725"/>
      <c r="I732" s="725"/>
      <c r="K732" s="725"/>
      <c r="L732" s="725"/>
      <c r="M732" s="725"/>
      <c r="N732" s="725"/>
    </row>
    <row r="733" spans="2:18" x14ac:dyDescent="0.25">
      <c r="E733" s="780"/>
      <c r="F733" s="725"/>
      <c r="G733" s="725"/>
      <c r="H733" s="725"/>
      <c r="I733" s="725"/>
      <c r="K733" s="725"/>
      <c r="L733" s="725"/>
      <c r="M733" s="725"/>
      <c r="N733" s="725"/>
    </row>
  </sheetData>
  <customSheetViews>
    <customSheetView guid="{F18E25A1-ACAC-4BA2-9084-15C64EADD71F}" fitToPage="1" topLeftCell="A4">
      <selection activeCell="C38" sqref="C38"/>
      <pageMargins left="0.42" right="0.17" top="0.33" bottom="0.4" header="0.33" footer="0.4"/>
      <pageSetup paperSize="9" scale="71" fitToWidth="2" orientation="landscape" horizontalDpi="300" verticalDpi="300" r:id="rId1"/>
      <headerFooter alignWithMargins="0"/>
    </customSheetView>
    <customSheetView guid="{42441662-3193-455A-AAAC-E0697E2ED236}" showPageBreaks="1" fitToPage="1" topLeftCell="A19">
      <selection activeCell="B15" sqref="B15"/>
      <pageMargins left="0.42" right="0.17" top="0.33" bottom="0.4" header="0.33" footer="0.4"/>
      <pageSetup paperSize="9" scale="71" fitToWidth="2" orientation="landscape" horizontalDpi="300" verticalDpi="300" r:id="rId2"/>
      <headerFooter alignWithMargins="0"/>
    </customSheetView>
    <customSheetView guid="{AB1DC9E9-A3E4-4BE0-8A49-B02D340E9D12}" fitToPage="1" topLeftCell="A31">
      <selection activeCell="B5" sqref="B5"/>
      <pageMargins left="0.42" right="0.17" top="0.33" bottom="0.4" header="0.33" footer="0.4"/>
      <pageSetup paperSize="9" scale="69" fitToWidth="2" orientation="landscape" horizontalDpi="300" verticalDpi="300" r:id="rId3"/>
      <headerFooter alignWithMargins="0"/>
    </customSheetView>
    <customSheetView guid="{BC7A4191-54CC-4009-AB21-42ED557A5091}" showPageBreaks="1" fitToPage="1" showRuler="0" topLeftCell="A31">
      <selection activeCell="C1" sqref="C1"/>
      <pageMargins left="0.42" right="0.17" top="0.33" bottom="0.4" header="0.33" footer="0.4"/>
      <pageSetup paperSize="9" scale="69" fitToWidth="2" orientation="landscape" horizontalDpi="300" verticalDpi="300" r:id="rId4"/>
      <headerFooter alignWithMargins="0"/>
    </customSheetView>
  </customSheetViews>
  <mergeCells count="17">
    <mergeCell ref="C728:G728"/>
    <mergeCell ref="C729:G729"/>
    <mergeCell ref="C730:G730"/>
    <mergeCell ref="C722:D722"/>
    <mergeCell ref="C725:G725"/>
    <mergeCell ref="C726:G726"/>
    <mergeCell ref="C727:G727"/>
    <mergeCell ref="P1:R1"/>
    <mergeCell ref="B2:P2"/>
    <mergeCell ref="D4:P4"/>
    <mergeCell ref="P5:R5"/>
    <mergeCell ref="E6:K6"/>
    <mergeCell ref="L6:R6"/>
    <mergeCell ref="B1:C1"/>
    <mergeCell ref="B6:B7"/>
    <mergeCell ref="D6:D7"/>
    <mergeCell ref="C6:C7"/>
  </mergeCells>
  <phoneticPr fontId="3" type="noConversion"/>
  <printOptions horizontalCentered="1"/>
  <pageMargins left="0.2" right="0.2" top="0.21" bottom="0.2" header="0.17" footer="0.17"/>
  <pageSetup paperSize="9" scale="80" fitToWidth="2" orientation="landscape" horizontalDpi="300" verticalDpi="300" r:id="rId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ummaryRight="0"/>
  </sheetPr>
  <dimension ref="B1:H953"/>
  <sheetViews>
    <sheetView showGridLines="0" zoomScale="90" zoomScaleNormal="90" workbookViewId="0">
      <pane ySplit="6" topLeftCell="A278" activePane="bottomLeft" state="frozen"/>
      <selection pane="bottomLeft" activeCell="L293" sqref="L293"/>
    </sheetView>
  </sheetViews>
  <sheetFormatPr defaultColWidth="9.140625" defaultRowHeight="15" outlineLevelRow="1" x14ac:dyDescent="0.2"/>
  <cols>
    <col min="1" max="1" width="2" style="134" customWidth="1"/>
    <col min="2" max="2" width="11.140625" style="134" customWidth="1"/>
    <col min="3" max="3" width="5.85546875" style="134" customWidth="1"/>
    <col min="4" max="4" width="73" style="134" customWidth="1"/>
    <col min="5" max="6" width="16.140625" style="134" customWidth="1"/>
    <col min="7" max="16384" width="9.140625" style="134"/>
  </cols>
  <sheetData>
    <row r="1" spans="2:6" s="30" customFormat="1" x14ac:dyDescent="0.2">
      <c r="B1" s="831" t="s">
        <v>315</v>
      </c>
      <c r="C1" s="831"/>
      <c r="D1" s="158"/>
      <c r="E1" s="832" t="s">
        <v>1217</v>
      </c>
      <c r="F1" s="832"/>
    </row>
    <row r="2" spans="2:6" ht="13.5" customHeight="1" x14ac:dyDescent="0.2">
      <c r="B2" s="831" t="s">
        <v>1209</v>
      </c>
      <c r="C2" s="831"/>
      <c r="D2" s="831"/>
      <c r="E2" s="831"/>
      <c r="F2" s="831"/>
    </row>
    <row r="3" spans="2:6" x14ac:dyDescent="0.2">
      <c r="E3" s="79"/>
    </row>
    <row r="4" spans="2:6" s="160" customFormat="1" ht="13.5" customHeight="1" x14ac:dyDescent="0.35">
      <c r="B4" s="90"/>
      <c r="D4" s="815" t="s">
        <v>4653</v>
      </c>
      <c r="E4" s="815"/>
      <c r="F4" s="815"/>
    </row>
    <row r="5" spans="2:6" ht="12.75" customHeight="1" thickBot="1" x14ac:dyDescent="0.3">
      <c r="D5" s="145"/>
      <c r="E5" s="833" t="s">
        <v>323</v>
      </c>
      <c r="F5" s="833"/>
    </row>
    <row r="6" spans="2:6" s="54" customFormat="1" ht="45.75" thickBot="1" x14ac:dyDescent="0.25">
      <c r="B6" s="509" t="s">
        <v>4627</v>
      </c>
      <c r="C6" s="492" t="s">
        <v>1211</v>
      </c>
      <c r="D6" s="415"/>
      <c r="E6" s="416" t="s">
        <v>322</v>
      </c>
      <c r="F6" s="417" t="s">
        <v>333</v>
      </c>
    </row>
    <row r="7" spans="2:6" s="30" customFormat="1" ht="5.25" customHeight="1" x14ac:dyDescent="0.2">
      <c r="B7" s="53"/>
      <c r="C7" s="26"/>
      <c r="D7" s="79"/>
      <c r="E7" s="53"/>
      <c r="F7" s="53"/>
    </row>
    <row r="8" spans="2:6" s="32" customFormat="1" ht="15.75" x14ac:dyDescent="0.3">
      <c r="C8" s="834" t="s">
        <v>3333</v>
      </c>
      <c r="D8" s="834"/>
      <c r="E8" s="834"/>
      <c r="F8" s="834"/>
    </row>
    <row r="9" spans="2:6" s="30" customFormat="1" ht="7.5" customHeight="1" thickBot="1" x14ac:dyDescent="0.25">
      <c r="C9" s="26"/>
      <c r="D9" s="79"/>
      <c r="E9" s="53"/>
      <c r="F9" s="53"/>
    </row>
    <row r="10" spans="2:6" s="132" customFormat="1" ht="15" customHeight="1" x14ac:dyDescent="0.2">
      <c r="B10" s="418" t="s">
        <v>3628</v>
      </c>
      <c r="C10" s="406">
        <v>1</v>
      </c>
      <c r="D10" s="412" t="s">
        <v>205</v>
      </c>
      <c r="E10" s="504">
        <f>SUM(E11:E30)</f>
        <v>0</v>
      </c>
      <c r="F10" s="508">
        <f>SUM(F11:F30)</f>
        <v>0</v>
      </c>
    </row>
    <row r="11" spans="2:6" s="165" customFormat="1" ht="15.4" customHeight="1" outlineLevel="1" x14ac:dyDescent="0.2">
      <c r="B11" s="60" t="s">
        <v>3629</v>
      </c>
      <c r="C11" s="510">
        <v>1.1000000000000001</v>
      </c>
      <c r="D11" s="166" t="s">
        <v>258</v>
      </c>
      <c r="E11" s="173"/>
      <c r="F11" s="174"/>
    </row>
    <row r="12" spans="2:6" s="165" customFormat="1" ht="15.4" customHeight="1" outlineLevel="1" x14ac:dyDescent="0.2">
      <c r="B12" s="60" t="s">
        <v>3630</v>
      </c>
      <c r="C12" s="510" t="s">
        <v>431</v>
      </c>
      <c r="D12" s="166" t="s">
        <v>258</v>
      </c>
      <c r="E12" s="173"/>
      <c r="F12" s="174"/>
    </row>
    <row r="13" spans="2:6" s="165" customFormat="1" ht="15.4" customHeight="1" outlineLevel="1" x14ac:dyDescent="0.2">
      <c r="B13" s="60" t="s">
        <v>3631</v>
      </c>
      <c r="C13" s="510" t="s">
        <v>432</v>
      </c>
      <c r="D13" s="166" t="s">
        <v>258</v>
      </c>
      <c r="E13" s="173"/>
      <c r="F13" s="174"/>
    </row>
    <row r="14" spans="2:6" s="165" customFormat="1" ht="15.4" customHeight="1" outlineLevel="1" x14ac:dyDescent="0.2">
      <c r="B14" s="60" t="s">
        <v>3632</v>
      </c>
      <c r="C14" s="510" t="s">
        <v>433</v>
      </c>
      <c r="D14" s="166" t="s">
        <v>258</v>
      </c>
      <c r="E14" s="173"/>
      <c r="F14" s="174"/>
    </row>
    <row r="15" spans="2:6" s="165" customFormat="1" ht="15.4" customHeight="1" outlineLevel="1" x14ac:dyDescent="0.2">
      <c r="B15" s="60" t="s">
        <v>3633</v>
      </c>
      <c r="C15" s="510" t="s">
        <v>400</v>
      </c>
      <c r="D15" s="166" t="s">
        <v>258</v>
      </c>
      <c r="E15" s="173"/>
      <c r="F15" s="174"/>
    </row>
    <row r="16" spans="2:6" s="165" customFormat="1" ht="15.4" customHeight="1" outlineLevel="1" x14ac:dyDescent="0.2">
      <c r="B16" s="60" t="s">
        <v>3634</v>
      </c>
      <c r="C16" s="510" t="s">
        <v>462</v>
      </c>
      <c r="D16" s="166" t="s">
        <v>258</v>
      </c>
      <c r="E16" s="173"/>
      <c r="F16" s="174"/>
    </row>
    <row r="17" spans="2:8" s="165" customFormat="1" ht="15.4" customHeight="1" outlineLevel="1" x14ac:dyDescent="0.2">
      <c r="B17" s="60" t="s">
        <v>3635</v>
      </c>
      <c r="C17" s="510" t="s">
        <v>463</v>
      </c>
      <c r="D17" s="166" t="s">
        <v>258</v>
      </c>
      <c r="E17" s="173"/>
      <c r="F17" s="174"/>
    </row>
    <row r="18" spans="2:8" s="165" customFormat="1" ht="15.4" customHeight="1" outlineLevel="1" x14ac:dyDescent="0.2">
      <c r="B18" s="60" t="s">
        <v>3636</v>
      </c>
      <c r="C18" s="510" t="s">
        <v>464</v>
      </c>
      <c r="D18" s="166" t="s">
        <v>258</v>
      </c>
      <c r="E18" s="173"/>
      <c r="F18" s="174"/>
    </row>
    <row r="19" spans="2:8" s="165" customFormat="1" ht="15.4" customHeight="1" outlineLevel="1" x14ac:dyDescent="0.2">
      <c r="B19" s="60" t="s">
        <v>3637</v>
      </c>
      <c r="C19" s="510" t="s">
        <v>465</v>
      </c>
      <c r="D19" s="166" t="s">
        <v>258</v>
      </c>
      <c r="E19" s="173"/>
      <c r="F19" s="174"/>
    </row>
    <row r="20" spans="2:8" s="165" customFormat="1" ht="15.4" customHeight="1" outlineLevel="1" x14ac:dyDescent="0.2">
      <c r="B20" s="60" t="s">
        <v>3638</v>
      </c>
      <c r="C20" s="510" t="s">
        <v>466</v>
      </c>
      <c r="D20" s="166" t="s">
        <v>258</v>
      </c>
      <c r="E20" s="173"/>
      <c r="F20" s="174"/>
    </row>
    <row r="21" spans="2:8" s="165" customFormat="1" ht="15.4" customHeight="1" outlineLevel="1" x14ac:dyDescent="0.2">
      <c r="B21" s="60" t="s">
        <v>3639</v>
      </c>
      <c r="C21" s="510" t="s">
        <v>467</v>
      </c>
      <c r="D21" s="166" t="s">
        <v>258</v>
      </c>
      <c r="E21" s="173"/>
      <c r="F21" s="174"/>
    </row>
    <row r="22" spans="2:8" s="165" customFormat="1" ht="15.4" customHeight="1" outlineLevel="1" x14ac:dyDescent="0.2">
      <c r="B22" s="60" t="s">
        <v>3640</v>
      </c>
      <c r="C22" s="510" t="s">
        <v>468</v>
      </c>
      <c r="D22" s="166" t="s">
        <v>258</v>
      </c>
      <c r="E22" s="173"/>
      <c r="F22" s="174"/>
    </row>
    <row r="23" spans="2:8" s="165" customFormat="1" ht="15.4" customHeight="1" outlineLevel="1" x14ac:dyDescent="0.2">
      <c r="B23" s="60" t="s">
        <v>3641</v>
      </c>
      <c r="C23" s="510" t="s">
        <v>469</v>
      </c>
      <c r="D23" s="166" t="s">
        <v>258</v>
      </c>
      <c r="E23" s="173"/>
      <c r="F23" s="174"/>
    </row>
    <row r="24" spans="2:8" s="165" customFormat="1" ht="15.4" customHeight="1" outlineLevel="1" x14ac:dyDescent="0.2">
      <c r="B24" s="60" t="s">
        <v>3642</v>
      </c>
      <c r="C24" s="510" t="s">
        <v>470</v>
      </c>
      <c r="D24" s="166" t="s">
        <v>258</v>
      </c>
      <c r="E24" s="173"/>
      <c r="F24" s="174"/>
    </row>
    <row r="25" spans="2:8" s="165" customFormat="1" ht="15.4" customHeight="1" outlineLevel="1" x14ac:dyDescent="0.2">
      <c r="B25" s="60" t="s">
        <v>3643</v>
      </c>
      <c r="C25" s="510" t="s">
        <v>471</v>
      </c>
      <c r="D25" s="166" t="s">
        <v>258</v>
      </c>
      <c r="E25" s="173"/>
      <c r="F25" s="174"/>
    </row>
    <row r="26" spans="2:8" s="165" customFormat="1" ht="15.4" customHeight="1" outlineLevel="1" x14ac:dyDescent="0.2">
      <c r="B26" s="60" t="s">
        <v>3644</v>
      </c>
      <c r="C26" s="510" t="s">
        <v>472</v>
      </c>
      <c r="D26" s="166" t="s">
        <v>258</v>
      </c>
      <c r="E26" s="173"/>
      <c r="F26" s="174"/>
    </row>
    <row r="27" spans="2:8" s="165" customFormat="1" ht="15.4" customHeight="1" outlineLevel="1" x14ac:dyDescent="0.2">
      <c r="B27" s="60" t="s">
        <v>3645</v>
      </c>
      <c r="C27" s="510" t="s">
        <v>473</v>
      </c>
      <c r="D27" s="166" t="s">
        <v>258</v>
      </c>
      <c r="E27" s="173"/>
      <c r="F27" s="174"/>
    </row>
    <row r="28" spans="2:8" s="165" customFormat="1" ht="15.4" customHeight="1" outlineLevel="1" x14ac:dyDescent="0.2">
      <c r="B28" s="60" t="s">
        <v>3646</v>
      </c>
      <c r="C28" s="510" t="s">
        <v>474</v>
      </c>
      <c r="D28" s="166" t="s">
        <v>258</v>
      </c>
      <c r="E28" s="173"/>
      <c r="F28" s="174"/>
    </row>
    <row r="29" spans="2:8" s="165" customFormat="1" ht="15.4" customHeight="1" outlineLevel="1" x14ac:dyDescent="0.2">
      <c r="B29" s="60" t="s">
        <v>3647</v>
      </c>
      <c r="C29" s="510" t="s">
        <v>475</v>
      </c>
      <c r="D29" s="166" t="s">
        <v>258</v>
      </c>
      <c r="E29" s="173"/>
      <c r="F29" s="174"/>
    </row>
    <row r="30" spans="2:8" s="165" customFormat="1" ht="15.4" customHeight="1" outlineLevel="1" x14ac:dyDescent="0.2">
      <c r="B30" s="60" t="s">
        <v>3648</v>
      </c>
      <c r="C30" s="510" t="s">
        <v>476</v>
      </c>
      <c r="D30" s="166" t="s">
        <v>258</v>
      </c>
      <c r="E30" s="173"/>
      <c r="F30" s="174"/>
    </row>
    <row r="31" spans="2:8" s="132" customFormat="1" ht="15" customHeight="1" x14ac:dyDescent="0.2">
      <c r="B31" s="60" t="s">
        <v>3649</v>
      </c>
      <c r="C31" s="511" t="s">
        <v>437</v>
      </c>
      <c r="D31" s="94" t="s">
        <v>1218</v>
      </c>
      <c r="E31" s="635">
        <f>E32+E53+E74+E95+E116+E137</f>
        <v>0</v>
      </c>
      <c r="F31" s="638">
        <f>F32+F53+F74+F95+F116+F137</f>
        <v>0</v>
      </c>
      <c r="H31" s="143"/>
    </row>
    <row r="32" spans="2:8" ht="15" customHeight="1" x14ac:dyDescent="0.2">
      <c r="B32" s="60" t="s">
        <v>3650</v>
      </c>
      <c r="C32" s="512" t="s">
        <v>424</v>
      </c>
      <c r="D32" s="164" t="s">
        <v>206</v>
      </c>
      <c r="E32" s="91">
        <f>SUM(E33:E52)</f>
        <v>0</v>
      </c>
      <c r="F32" s="92">
        <f>SUM(F33:F52)</f>
        <v>0</v>
      </c>
      <c r="H32" s="138"/>
    </row>
    <row r="33" spans="2:8" s="167" customFormat="1" ht="15.4" customHeight="1" outlineLevel="1" x14ac:dyDescent="0.2">
      <c r="B33" s="60" t="s">
        <v>3651</v>
      </c>
      <c r="C33" s="513" t="s">
        <v>448</v>
      </c>
      <c r="D33" s="151" t="s">
        <v>260</v>
      </c>
      <c r="E33" s="154"/>
      <c r="F33" s="175"/>
      <c r="H33" s="165"/>
    </row>
    <row r="34" spans="2:8" s="167" customFormat="1" ht="15.4" customHeight="1" outlineLevel="1" x14ac:dyDescent="0.2">
      <c r="B34" s="60" t="s">
        <v>3652</v>
      </c>
      <c r="C34" s="513" t="s">
        <v>449</v>
      </c>
      <c r="D34" s="151" t="s">
        <v>260</v>
      </c>
      <c r="E34" s="154"/>
      <c r="F34" s="175"/>
      <c r="H34" s="165"/>
    </row>
    <row r="35" spans="2:8" s="167" customFormat="1" ht="15.4" customHeight="1" outlineLevel="1" x14ac:dyDescent="0.2">
      <c r="B35" s="60" t="s">
        <v>3653</v>
      </c>
      <c r="C35" s="513" t="s">
        <v>562</v>
      </c>
      <c r="D35" s="151" t="s">
        <v>260</v>
      </c>
      <c r="E35" s="154"/>
      <c r="F35" s="175"/>
      <c r="H35" s="165"/>
    </row>
    <row r="36" spans="2:8" s="167" customFormat="1" ht="15.4" customHeight="1" outlineLevel="1" x14ac:dyDescent="0.2">
      <c r="B36" s="60" t="s">
        <v>3654</v>
      </c>
      <c r="C36" s="513" t="s">
        <v>563</v>
      </c>
      <c r="D36" s="151" t="s">
        <v>260</v>
      </c>
      <c r="E36" s="154"/>
      <c r="F36" s="175"/>
      <c r="H36" s="165"/>
    </row>
    <row r="37" spans="2:8" s="167" customFormat="1" ht="15.4" customHeight="1" outlineLevel="1" x14ac:dyDescent="0.2">
      <c r="B37" s="60" t="s">
        <v>3655</v>
      </c>
      <c r="C37" s="513" t="s">
        <v>564</v>
      </c>
      <c r="D37" s="151" t="s">
        <v>260</v>
      </c>
      <c r="E37" s="154"/>
      <c r="F37" s="175"/>
      <c r="H37" s="165"/>
    </row>
    <row r="38" spans="2:8" s="167" customFormat="1" ht="15.4" customHeight="1" outlineLevel="1" x14ac:dyDescent="0.2">
      <c r="B38" s="60" t="s">
        <v>3656</v>
      </c>
      <c r="C38" s="513" t="s">
        <v>565</v>
      </c>
      <c r="D38" s="151" t="s">
        <v>260</v>
      </c>
      <c r="E38" s="154"/>
      <c r="F38" s="175"/>
      <c r="H38" s="165"/>
    </row>
    <row r="39" spans="2:8" s="167" customFormat="1" ht="15.4" customHeight="1" outlineLevel="1" x14ac:dyDescent="0.2">
      <c r="B39" s="60" t="s">
        <v>3657</v>
      </c>
      <c r="C39" s="513" t="s">
        <v>566</v>
      </c>
      <c r="D39" s="151" t="s">
        <v>260</v>
      </c>
      <c r="E39" s="154"/>
      <c r="F39" s="175"/>
      <c r="H39" s="165"/>
    </row>
    <row r="40" spans="2:8" s="167" customFormat="1" ht="15.4" customHeight="1" outlineLevel="1" x14ac:dyDescent="0.2">
      <c r="B40" s="60" t="s">
        <v>3658</v>
      </c>
      <c r="C40" s="513" t="s">
        <v>567</v>
      </c>
      <c r="D40" s="151" t="s">
        <v>260</v>
      </c>
      <c r="E40" s="154"/>
      <c r="F40" s="175"/>
      <c r="H40" s="165"/>
    </row>
    <row r="41" spans="2:8" s="167" customFormat="1" ht="15.4" customHeight="1" outlineLevel="1" x14ac:dyDescent="0.2">
      <c r="B41" s="60" t="s">
        <v>3659</v>
      </c>
      <c r="C41" s="513" t="s">
        <v>568</v>
      </c>
      <c r="D41" s="151" t="s">
        <v>260</v>
      </c>
      <c r="E41" s="154"/>
      <c r="F41" s="175"/>
      <c r="H41" s="165"/>
    </row>
    <row r="42" spans="2:8" s="167" customFormat="1" ht="15.4" customHeight="1" outlineLevel="1" x14ac:dyDescent="0.2">
      <c r="B42" s="60" t="s">
        <v>3660</v>
      </c>
      <c r="C42" s="513" t="s">
        <v>569</v>
      </c>
      <c r="D42" s="151" t="s">
        <v>260</v>
      </c>
      <c r="E42" s="154"/>
      <c r="F42" s="175"/>
      <c r="H42" s="165"/>
    </row>
    <row r="43" spans="2:8" s="167" customFormat="1" ht="15.4" customHeight="1" outlineLevel="1" x14ac:dyDescent="0.2">
      <c r="B43" s="60" t="s">
        <v>3661</v>
      </c>
      <c r="C43" s="513" t="s">
        <v>570</v>
      </c>
      <c r="D43" s="151" t="s">
        <v>260</v>
      </c>
      <c r="E43" s="154"/>
      <c r="F43" s="175"/>
      <c r="H43" s="165"/>
    </row>
    <row r="44" spans="2:8" s="167" customFormat="1" ht="15.4" customHeight="1" outlineLevel="1" x14ac:dyDescent="0.2">
      <c r="B44" s="60" t="s">
        <v>3662</v>
      </c>
      <c r="C44" s="513" t="s">
        <v>571</v>
      </c>
      <c r="D44" s="151" t="s">
        <v>260</v>
      </c>
      <c r="E44" s="154"/>
      <c r="F44" s="175"/>
      <c r="H44" s="165"/>
    </row>
    <row r="45" spans="2:8" s="167" customFormat="1" ht="15.4" customHeight="1" outlineLevel="1" x14ac:dyDescent="0.2">
      <c r="B45" s="60" t="s">
        <v>3663</v>
      </c>
      <c r="C45" s="513" t="s">
        <v>572</v>
      </c>
      <c r="D45" s="151" t="s">
        <v>260</v>
      </c>
      <c r="E45" s="154"/>
      <c r="F45" s="175"/>
      <c r="H45" s="165"/>
    </row>
    <row r="46" spans="2:8" s="167" customFormat="1" ht="15.4" customHeight="1" outlineLevel="1" x14ac:dyDescent="0.2">
      <c r="B46" s="60" t="s">
        <v>3664</v>
      </c>
      <c r="C46" s="513" t="s">
        <v>573</v>
      </c>
      <c r="D46" s="151" t="s">
        <v>260</v>
      </c>
      <c r="E46" s="154"/>
      <c r="F46" s="175"/>
      <c r="H46" s="165"/>
    </row>
    <row r="47" spans="2:8" s="167" customFormat="1" ht="15.4" customHeight="1" outlineLevel="1" x14ac:dyDescent="0.2">
      <c r="B47" s="60" t="s">
        <v>3665</v>
      </c>
      <c r="C47" s="513" t="s">
        <v>574</v>
      </c>
      <c r="D47" s="151" t="s">
        <v>260</v>
      </c>
      <c r="E47" s="154"/>
      <c r="F47" s="175"/>
      <c r="H47" s="165"/>
    </row>
    <row r="48" spans="2:8" s="167" customFormat="1" ht="15.4" customHeight="1" outlineLevel="1" x14ac:dyDescent="0.2">
      <c r="B48" s="60" t="s">
        <v>3666</v>
      </c>
      <c r="C48" s="513" t="s">
        <v>575</v>
      </c>
      <c r="D48" s="151" t="s">
        <v>260</v>
      </c>
      <c r="E48" s="154"/>
      <c r="F48" s="175"/>
      <c r="H48" s="165"/>
    </row>
    <row r="49" spans="2:8" s="167" customFormat="1" ht="15.4" customHeight="1" outlineLevel="1" x14ac:dyDescent="0.2">
      <c r="B49" s="60" t="s">
        <v>3667</v>
      </c>
      <c r="C49" s="513" t="s">
        <v>576</v>
      </c>
      <c r="D49" s="151" t="s">
        <v>260</v>
      </c>
      <c r="E49" s="154"/>
      <c r="F49" s="175"/>
      <c r="H49" s="165"/>
    </row>
    <row r="50" spans="2:8" s="167" customFormat="1" ht="15.4" customHeight="1" outlineLevel="1" x14ac:dyDescent="0.2">
      <c r="B50" s="60" t="s">
        <v>3668</v>
      </c>
      <c r="C50" s="513" t="s">
        <v>577</v>
      </c>
      <c r="D50" s="151" t="s">
        <v>260</v>
      </c>
      <c r="E50" s="154"/>
      <c r="F50" s="175"/>
      <c r="H50" s="165"/>
    </row>
    <row r="51" spans="2:8" s="167" customFormat="1" ht="15.4" customHeight="1" outlineLevel="1" x14ac:dyDescent="0.2">
      <c r="B51" s="60" t="s">
        <v>3669</v>
      </c>
      <c r="C51" s="513" t="s">
        <v>578</v>
      </c>
      <c r="D51" s="151" t="s">
        <v>260</v>
      </c>
      <c r="E51" s="154"/>
      <c r="F51" s="175"/>
      <c r="H51" s="165"/>
    </row>
    <row r="52" spans="2:8" s="167" customFormat="1" ht="15.4" customHeight="1" outlineLevel="1" x14ac:dyDescent="0.2">
      <c r="B52" s="60" t="s">
        <v>3670</v>
      </c>
      <c r="C52" s="513" t="s">
        <v>579</v>
      </c>
      <c r="D52" s="151" t="s">
        <v>260</v>
      </c>
      <c r="E52" s="154"/>
      <c r="F52" s="175"/>
      <c r="H52" s="165"/>
    </row>
    <row r="53" spans="2:8" ht="15" customHeight="1" x14ac:dyDescent="0.2">
      <c r="B53" s="60" t="s">
        <v>3671</v>
      </c>
      <c r="C53" s="512" t="s">
        <v>425</v>
      </c>
      <c r="D53" s="164" t="s">
        <v>4666</v>
      </c>
      <c r="E53" s="91">
        <f>SUM(E54:E73)</f>
        <v>0</v>
      </c>
      <c r="F53" s="92">
        <f>SUM(F54:F73)</f>
        <v>0</v>
      </c>
      <c r="H53" s="138"/>
    </row>
    <row r="54" spans="2:8" s="167" customFormat="1" ht="15.4" customHeight="1" outlineLevel="1" x14ac:dyDescent="0.2">
      <c r="B54" s="60" t="s">
        <v>3672</v>
      </c>
      <c r="C54" s="513" t="s">
        <v>580</v>
      </c>
      <c r="D54" s="151" t="s">
        <v>260</v>
      </c>
      <c r="E54" s="154"/>
      <c r="F54" s="175"/>
      <c r="H54" s="165"/>
    </row>
    <row r="55" spans="2:8" s="167" customFormat="1" ht="15.4" customHeight="1" outlineLevel="1" x14ac:dyDescent="0.2">
      <c r="B55" s="60" t="s">
        <v>3673</v>
      </c>
      <c r="C55" s="513" t="s">
        <v>581</v>
      </c>
      <c r="D55" s="151" t="s">
        <v>260</v>
      </c>
      <c r="E55" s="154"/>
      <c r="F55" s="175"/>
      <c r="H55" s="165"/>
    </row>
    <row r="56" spans="2:8" s="167" customFormat="1" ht="15.4" customHeight="1" outlineLevel="1" x14ac:dyDescent="0.2">
      <c r="B56" s="60" t="s">
        <v>3674</v>
      </c>
      <c r="C56" s="513" t="s">
        <v>582</v>
      </c>
      <c r="D56" s="151" t="s">
        <v>260</v>
      </c>
      <c r="E56" s="154"/>
      <c r="F56" s="175"/>
      <c r="H56" s="165"/>
    </row>
    <row r="57" spans="2:8" s="167" customFormat="1" ht="15.4" customHeight="1" outlineLevel="1" x14ac:dyDescent="0.2">
      <c r="B57" s="60" t="s">
        <v>3675</v>
      </c>
      <c r="C57" s="513" t="s">
        <v>583</v>
      </c>
      <c r="D57" s="151" t="s">
        <v>260</v>
      </c>
      <c r="E57" s="154"/>
      <c r="F57" s="175"/>
      <c r="H57" s="165"/>
    </row>
    <row r="58" spans="2:8" s="167" customFormat="1" ht="15.4" customHeight="1" outlineLevel="1" x14ac:dyDescent="0.2">
      <c r="B58" s="60" t="s">
        <v>3676</v>
      </c>
      <c r="C58" s="513" t="s">
        <v>584</v>
      </c>
      <c r="D58" s="151" t="s">
        <v>260</v>
      </c>
      <c r="E58" s="154"/>
      <c r="F58" s="175"/>
      <c r="H58" s="165"/>
    </row>
    <row r="59" spans="2:8" s="167" customFormat="1" ht="15.4" customHeight="1" outlineLevel="1" x14ac:dyDescent="0.2">
      <c r="B59" s="60" t="s">
        <v>3677</v>
      </c>
      <c r="C59" s="513" t="s">
        <v>585</v>
      </c>
      <c r="D59" s="151" t="s">
        <v>260</v>
      </c>
      <c r="E59" s="154"/>
      <c r="F59" s="175"/>
      <c r="H59" s="165"/>
    </row>
    <row r="60" spans="2:8" s="167" customFormat="1" ht="15.4" customHeight="1" outlineLevel="1" x14ac:dyDescent="0.2">
      <c r="B60" s="60" t="s">
        <v>3678</v>
      </c>
      <c r="C60" s="513" t="s">
        <v>586</v>
      </c>
      <c r="D60" s="151" t="s">
        <v>260</v>
      </c>
      <c r="E60" s="154"/>
      <c r="F60" s="175"/>
      <c r="H60" s="165"/>
    </row>
    <row r="61" spans="2:8" s="167" customFormat="1" ht="15.4" customHeight="1" outlineLevel="1" x14ac:dyDescent="0.2">
      <c r="B61" s="60" t="s">
        <v>3679</v>
      </c>
      <c r="C61" s="513" t="s">
        <v>587</v>
      </c>
      <c r="D61" s="151" t="s">
        <v>260</v>
      </c>
      <c r="E61" s="154"/>
      <c r="F61" s="175"/>
      <c r="H61" s="165"/>
    </row>
    <row r="62" spans="2:8" s="167" customFormat="1" ht="15.4" customHeight="1" outlineLevel="1" x14ac:dyDescent="0.2">
      <c r="B62" s="60" t="s">
        <v>3680</v>
      </c>
      <c r="C62" s="513" t="s">
        <v>588</v>
      </c>
      <c r="D62" s="151" t="s">
        <v>260</v>
      </c>
      <c r="E62" s="154"/>
      <c r="F62" s="175"/>
      <c r="H62" s="165"/>
    </row>
    <row r="63" spans="2:8" s="167" customFormat="1" ht="15.4" customHeight="1" outlineLevel="1" x14ac:dyDescent="0.2">
      <c r="B63" s="60" t="s">
        <v>3681</v>
      </c>
      <c r="C63" s="513" t="s">
        <v>589</v>
      </c>
      <c r="D63" s="151" t="s">
        <v>260</v>
      </c>
      <c r="E63" s="154"/>
      <c r="F63" s="175"/>
      <c r="H63" s="165"/>
    </row>
    <row r="64" spans="2:8" s="167" customFormat="1" ht="15.4" customHeight="1" outlineLevel="1" x14ac:dyDescent="0.2">
      <c r="B64" s="60" t="s">
        <v>3682</v>
      </c>
      <c r="C64" s="513" t="s">
        <v>590</v>
      </c>
      <c r="D64" s="151" t="s">
        <v>260</v>
      </c>
      <c r="E64" s="154"/>
      <c r="F64" s="175"/>
      <c r="H64" s="165"/>
    </row>
    <row r="65" spans="2:8" s="167" customFormat="1" ht="15.4" customHeight="1" outlineLevel="1" x14ac:dyDescent="0.2">
      <c r="B65" s="60" t="s">
        <v>3683</v>
      </c>
      <c r="C65" s="513" t="s">
        <v>591</v>
      </c>
      <c r="D65" s="151" t="s">
        <v>260</v>
      </c>
      <c r="E65" s="154"/>
      <c r="F65" s="175"/>
      <c r="H65" s="165"/>
    </row>
    <row r="66" spans="2:8" s="167" customFormat="1" ht="15.4" customHeight="1" outlineLevel="1" x14ac:dyDescent="0.2">
      <c r="B66" s="60" t="s">
        <v>3684</v>
      </c>
      <c r="C66" s="513" t="s">
        <v>592</v>
      </c>
      <c r="D66" s="151" t="s">
        <v>260</v>
      </c>
      <c r="E66" s="154"/>
      <c r="F66" s="175"/>
      <c r="H66" s="165"/>
    </row>
    <row r="67" spans="2:8" s="167" customFormat="1" ht="15.4" customHeight="1" outlineLevel="1" x14ac:dyDescent="0.2">
      <c r="B67" s="60" t="s">
        <v>3685</v>
      </c>
      <c r="C67" s="513" t="s">
        <v>593</v>
      </c>
      <c r="D67" s="151" t="s">
        <v>260</v>
      </c>
      <c r="E67" s="154"/>
      <c r="F67" s="175"/>
      <c r="H67" s="165"/>
    </row>
    <row r="68" spans="2:8" s="167" customFormat="1" ht="15.4" customHeight="1" outlineLevel="1" x14ac:dyDescent="0.2">
      <c r="B68" s="60" t="s">
        <v>3686</v>
      </c>
      <c r="C68" s="513" t="s">
        <v>594</v>
      </c>
      <c r="D68" s="151" t="s">
        <v>260</v>
      </c>
      <c r="E68" s="154"/>
      <c r="F68" s="175"/>
      <c r="H68" s="165"/>
    </row>
    <row r="69" spans="2:8" s="167" customFormat="1" ht="15.4" customHeight="1" outlineLevel="1" x14ac:dyDescent="0.2">
      <c r="B69" s="60" t="s">
        <v>3687</v>
      </c>
      <c r="C69" s="513" t="s">
        <v>595</v>
      </c>
      <c r="D69" s="151" t="s">
        <v>260</v>
      </c>
      <c r="E69" s="154"/>
      <c r="F69" s="175"/>
      <c r="H69" s="165"/>
    </row>
    <row r="70" spans="2:8" s="167" customFormat="1" ht="15.4" customHeight="1" outlineLevel="1" x14ac:dyDescent="0.2">
      <c r="B70" s="60" t="s">
        <v>3688</v>
      </c>
      <c r="C70" s="513" t="s">
        <v>596</v>
      </c>
      <c r="D70" s="151" t="s">
        <v>260</v>
      </c>
      <c r="E70" s="154"/>
      <c r="F70" s="175"/>
      <c r="H70" s="165"/>
    </row>
    <row r="71" spans="2:8" s="167" customFormat="1" ht="15.4" customHeight="1" outlineLevel="1" x14ac:dyDescent="0.2">
      <c r="B71" s="60" t="s">
        <v>3689</v>
      </c>
      <c r="C71" s="513" t="s">
        <v>597</v>
      </c>
      <c r="D71" s="151" t="s">
        <v>260</v>
      </c>
      <c r="E71" s="154"/>
      <c r="F71" s="175"/>
      <c r="H71" s="165"/>
    </row>
    <row r="72" spans="2:8" s="167" customFormat="1" ht="15.4" customHeight="1" outlineLevel="1" x14ac:dyDescent="0.2">
      <c r="B72" s="60" t="s">
        <v>3690</v>
      </c>
      <c r="C72" s="513" t="s">
        <v>598</v>
      </c>
      <c r="D72" s="151" t="s">
        <v>260</v>
      </c>
      <c r="E72" s="154"/>
      <c r="F72" s="175"/>
      <c r="H72" s="165"/>
    </row>
    <row r="73" spans="2:8" s="167" customFormat="1" ht="15.4" customHeight="1" outlineLevel="1" x14ac:dyDescent="0.2">
      <c r="B73" s="60" t="s">
        <v>3691</v>
      </c>
      <c r="C73" s="513" t="s">
        <v>599</v>
      </c>
      <c r="D73" s="151" t="s">
        <v>260</v>
      </c>
      <c r="E73" s="154"/>
      <c r="F73" s="175"/>
      <c r="H73" s="165"/>
    </row>
    <row r="74" spans="2:8" ht="15" customHeight="1" x14ac:dyDescent="0.2">
      <c r="B74" s="60" t="s">
        <v>3692</v>
      </c>
      <c r="C74" s="512" t="s">
        <v>441</v>
      </c>
      <c r="D74" s="164" t="s">
        <v>207</v>
      </c>
      <c r="E74" s="91">
        <f>SUM(E75:E94)</f>
        <v>0</v>
      </c>
      <c r="F74" s="92">
        <f>SUM(F75:F94)</f>
        <v>0</v>
      </c>
      <c r="H74" s="138"/>
    </row>
    <row r="75" spans="2:8" s="167" customFormat="1" ht="15.4" customHeight="1" outlineLevel="1" x14ac:dyDescent="0.2">
      <c r="B75" s="60" t="s">
        <v>3693</v>
      </c>
      <c r="C75" s="513" t="s">
        <v>1604</v>
      </c>
      <c r="D75" s="151" t="s">
        <v>260</v>
      </c>
      <c r="E75" s="154"/>
      <c r="F75" s="175"/>
      <c r="H75" s="165"/>
    </row>
    <row r="76" spans="2:8" s="167" customFormat="1" ht="15.4" customHeight="1" outlineLevel="1" x14ac:dyDescent="0.2">
      <c r="B76" s="60" t="s">
        <v>3694</v>
      </c>
      <c r="C76" s="513" t="s">
        <v>1605</v>
      </c>
      <c r="D76" s="151" t="s">
        <v>260</v>
      </c>
      <c r="E76" s="154"/>
      <c r="F76" s="175"/>
      <c r="H76" s="165"/>
    </row>
    <row r="77" spans="2:8" s="167" customFormat="1" ht="15.4" customHeight="1" outlineLevel="1" x14ac:dyDescent="0.2">
      <c r="B77" s="60" t="s">
        <v>3695</v>
      </c>
      <c r="C77" s="513" t="s">
        <v>1606</v>
      </c>
      <c r="D77" s="151" t="s">
        <v>260</v>
      </c>
      <c r="E77" s="154"/>
      <c r="F77" s="175"/>
      <c r="H77" s="165"/>
    </row>
    <row r="78" spans="2:8" s="167" customFormat="1" ht="15.4" customHeight="1" outlineLevel="1" x14ac:dyDescent="0.2">
      <c r="B78" s="60" t="s">
        <v>3696</v>
      </c>
      <c r="C78" s="513" t="s">
        <v>1607</v>
      </c>
      <c r="D78" s="151" t="s">
        <v>260</v>
      </c>
      <c r="E78" s="154"/>
      <c r="F78" s="175"/>
      <c r="H78" s="165"/>
    </row>
    <row r="79" spans="2:8" s="167" customFormat="1" ht="15.4" customHeight="1" outlineLevel="1" x14ac:dyDescent="0.2">
      <c r="B79" s="60" t="s">
        <v>3697</v>
      </c>
      <c r="C79" s="513" t="s">
        <v>1608</v>
      </c>
      <c r="D79" s="151" t="s">
        <v>260</v>
      </c>
      <c r="E79" s="154"/>
      <c r="F79" s="175"/>
      <c r="H79" s="165"/>
    </row>
    <row r="80" spans="2:8" s="167" customFormat="1" ht="15.4" customHeight="1" outlineLevel="1" x14ac:dyDescent="0.2">
      <c r="B80" s="60" t="s">
        <v>3698</v>
      </c>
      <c r="C80" s="513" t="s">
        <v>1609</v>
      </c>
      <c r="D80" s="151" t="s">
        <v>260</v>
      </c>
      <c r="E80" s="154"/>
      <c r="F80" s="175"/>
      <c r="H80" s="165"/>
    </row>
    <row r="81" spans="2:8" s="167" customFormat="1" ht="15.4" customHeight="1" outlineLevel="1" x14ac:dyDescent="0.2">
      <c r="B81" s="60" t="s">
        <v>3699</v>
      </c>
      <c r="C81" s="513" t="s">
        <v>1610</v>
      </c>
      <c r="D81" s="151" t="s">
        <v>260</v>
      </c>
      <c r="E81" s="154"/>
      <c r="F81" s="175"/>
      <c r="H81" s="165"/>
    </row>
    <row r="82" spans="2:8" s="167" customFormat="1" ht="15.4" customHeight="1" outlineLevel="1" x14ac:dyDescent="0.2">
      <c r="B82" s="60" t="s">
        <v>3700</v>
      </c>
      <c r="C82" s="513" t="s">
        <v>1611</v>
      </c>
      <c r="D82" s="151" t="s">
        <v>260</v>
      </c>
      <c r="E82" s="154"/>
      <c r="F82" s="175"/>
      <c r="H82" s="165"/>
    </row>
    <row r="83" spans="2:8" s="167" customFormat="1" ht="15.4" customHeight="1" outlineLevel="1" x14ac:dyDescent="0.2">
      <c r="B83" s="60" t="s">
        <v>3701</v>
      </c>
      <c r="C83" s="513" t="s">
        <v>1612</v>
      </c>
      <c r="D83" s="151" t="s">
        <v>260</v>
      </c>
      <c r="E83" s="154"/>
      <c r="F83" s="175"/>
      <c r="H83" s="165"/>
    </row>
    <row r="84" spans="2:8" s="167" customFormat="1" ht="15.4" customHeight="1" outlineLevel="1" x14ac:dyDescent="0.2">
      <c r="B84" s="60" t="s">
        <v>3702</v>
      </c>
      <c r="C84" s="513" t="s">
        <v>1613</v>
      </c>
      <c r="D84" s="151" t="s">
        <v>260</v>
      </c>
      <c r="E84" s="154"/>
      <c r="F84" s="175"/>
      <c r="H84" s="165"/>
    </row>
    <row r="85" spans="2:8" s="167" customFormat="1" ht="15.4" customHeight="1" outlineLevel="1" x14ac:dyDescent="0.2">
      <c r="B85" s="60" t="s">
        <v>3703</v>
      </c>
      <c r="C85" s="513" t="s">
        <v>1614</v>
      </c>
      <c r="D85" s="151" t="s">
        <v>260</v>
      </c>
      <c r="E85" s="154"/>
      <c r="F85" s="175"/>
      <c r="H85" s="165"/>
    </row>
    <row r="86" spans="2:8" s="167" customFormat="1" ht="15.4" customHeight="1" outlineLevel="1" x14ac:dyDescent="0.2">
      <c r="B86" s="60" t="s">
        <v>3704</v>
      </c>
      <c r="C86" s="513" t="s">
        <v>1615</v>
      </c>
      <c r="D86" s="151" t="s">
        <v>260</v>
      </c>
      <c r="E86" s="154"/>
      <c r="F86" s="175"/>
      <c r="H86" s="165"/>
    </row>
    <row r="87" spans="2:8" s="167" customFormat="1" ht="15.4" customHeight="1" outlineLevel="1" x14ac:dyDescent="0.2">
      <c r="B87" s="60" t="s">
        <v>3705</v>
      </c>
      <c r="C87" s="513" t="s">
        <v>1616</v>
      </c>
      <c r="D87" s="151" t="s">
        <v>260</v>
      </c>
      <c r="E87" s="154"/>
      <c r="F87" s="175"/>
      <c r="H87" s="165"/>
    </row>
    <row r="88" spans="2:8" s="167" customFormat="1" ht="15.4" customHeight="1" outlineLevel="1" x14ac:dyDescent="0.2">
      <c r="B88" s="60" t="s">
        <v>3706</v>
      </c>
      <c r="C88" s="513" t="s">
        <v>1617</v>
      </c>
      <c r="D88" s="151" t="s">
        <v>260</v>
      </c>
      <c r="E88" s="154"/>
      <c r="F88" s="175"/>
      <c r="H88" s="165"/>
    </row>
    <row r="89" spans="2:8" s="167" customFormat="1" ht="15.4" customHeight="1" outlineLevel="1" x14ac:dyDescent="0.2">
      <c r="B89" s="60" t="s">
        <v>3707</v>
      </c>
      <c r="C89" s="513" t="s">
        <v>1618</v>
      </c>
      <c r="D89" s="151" t="s">
        <v>260</v>
      </c>
      <c r="E89" s="154"/>
      <c r="F89" s="175"/>
      <c r="H89" s="165"/>
    </row>
    <row r="90" spans="2:8" s="167" customFormat="1" ht="15.4" customHeight="1" outlineLevel="1" x14ac:dyDescent="0.2">
      <c r="B90" s="60" t="s">
        <v>3708</v>
      </c>
      <c r="C90" s="513" t="s">
        <v>1619</v>
      </c>
      <c r="D90" s="151" t="s">
        <v>260</v>
      </c>
      <c r="E90" s="154"/>
      <c r="F90" s="175"/>
      <c r="H90" s="165"/>
    </row>
    <row r="91" spans="2:8" s="167" customFormat="1" ht="15.4" customHeight="1" outlineLevel="1" x14ac:dyDescent="0.2">
      <c r="B91" s="60" t="s">
        <v>3709</v>
      </c>
      <c r="C91" s="513" t="s">
        <v>1620</v>
      </c>
      <c r="D91" s="151" t="s">
        <v>260</v>
      </c>
      <c r="E91" s="154"/>
      <c r="F91" s="175"/>
      <c r="H91" s="165"/>
    </row>
    <row r="92" spans="2:8" s="167" customFormat="1" ht="15.4" customHeight="1" outlineLevel="1" x14ac:dyDescent="0.2">
      <c r="B92" s="60" t="s">
        <v>3710</v>
      </c>
      <c r="C92" s="513" t="s">
        <v>1621</v>
      </c>
      <c r="D92" s="151" t="s">
        <v>260</v>
      </c>
      <c r="E92" s="154"/>
      <c r="F92" s="175"/>
      <c r="H92" s="165"/>
    </row>
    <row r="93" spans="2:8" s="167" customFormat="1" ht="15.4" customHeight="1" outlineLevel="1" x14ac:dyDescent="0.2">
      <c r="B93" s="60" t="s">
        <v>3711</v>
      </c>
      <c r="C93" s="513" t="s">
        <v>1622</v>
      </c>
      <c r="D93" s="151" t="s">
        <v>260</v>
      </c>
      <c r="E93" s="154"/>
      <c r="F93" s="175"/>
      <c r="H93" s="165"/>
    </row>
    <row r="94" spans="2:8" s="167" customFormat="1" ht="15.4" customHeight="1" outlineLevel="1" x14ac:dyDescent="0.2">
      <c r="B94" s="60" t="s">
        <v>3712</v>
      </c>
      <c r="C94" s="513" t="s">
        <v>1623</v>
      </c>
      <c r="D94" s="151" t="s">
        <v>260</v>
      </c>
      <c r="E94" s="154"/>
      <c r="F94" s="175"/>
      <c r="H94" s="165"/>
    </row>
    <row r="95" spans="2:8" ht="15" customHeight="1" x14ac:dyDescent="0.2">
      <c r="B95" s="60" t="s">
        <v>3713</v>
      </c>
      <c r="C95" s="512" t="s">
        <v>477</v>
      </c>
      <c r="D95" s="164" t="s">
        <v>208</v>
      </c>
      <c r="E95" s="91">
        <f>SUM(E96:E115)</f>
        <v>0</v>
      </c>
      <c r="F95" s="92">
        <f>SUM(F96:F115)</f>
        <v>0</v>
      </c>
      <c r="H95" s="138"/>
    </row>
    <row r="96" spans="2:8" s="167" customFormat="1" ht="15.4" customHeight="1" outlineLevel="1" x14ac:dyDescent="0.2">
      <c r="B96" s="60" t="s">
        <v>3714</v>
      </c>
      <c r="C96" s="513" t="s">
        <v>1624</v>
      </c>
      <c r="D96" s="151" t="s">
        <v>260</v>
      </c>
      <c r="E96" s="154"/>
      <c r="F96" s="175"/>
      <c r="H96" s="165"/>
    </row>
    <row r="97" spans="2:8" s="167" customFormat="1" ht="15.4" customHeight="1" outlineLevel="1" x14ac:dyDescent="0.2">
      <c r="B97" s="60" t="s">
        <v>3715</v>
      </c>
      <c r="C97" s="513" t="s">
        <v>1625</v>
      </c>
      <c r="D97" s="151" t="s">
        <v>260</v>
      </c>
      <c r="E97" s="154"/>
      <c r="F97" s="175"/>
      <c r="H97" s="165"/>
    </row>
    <row r="98" spans="2:8" s="167" customFormat="1" ht="15.4" customHeight="1" outlineLevel="1" x14ac:dyDescent="0.2">
      <c r="B98" s="60" t="s">
        <v>3716</v>
      </c>
      <c r="C98" s="513" t="s">
        <v>1626</v>
      </c>
      <c r="D98" s="151" t="s">
        <v>260</v>
      </c>
      <c r="E98" s="154"/>
      <c r="F98" s="175"/>
      <c r="H98" s="165"/>
    </row>
    <row r="99" spans="2:8" s="167" customFormat="1" ht="15.4" customHeight="1" outlineLevel="1" x14ac:dyDescent="0.2">
      <c r="B99" s="60" t="s">
        <v>3717</v>
      </c>
      <c r="C99" s="513" t="s">
        <v>1627</v>
      </c>
      <c r="D99" s="151" t="s">
        <v>260</v>
      </c>
      <c r="E99" s="154"/>
      <c r="F99" s="175"/>
      <c r="H99" s="165"/>
    </row>
    <row r="100" spans="2:8" s="167" customFormat="1" ht="15.4" customHeight="1" outlineLevel="1" x14ac:dyDescent="0.2">
      <c r="B100" s="60" t="s">
        <v>3718</v>
      </c>
      <c r="C100" s="513" t="s">
        <v>1628</v>
      </c>
      <c r="D100" s="151" t="s">
        <v>260</v>
      </c>
      <c r="E100" s="154"/>
      <c r="F100" s="175"/>
      <c r="H100" s="165"/>
    </row>
    <row r="101" spans="2:8" s="167" customFormat="1" ht="15.4" customHeight="1" outlineLevel="1" x14ac:dyDescent="0.2">
      <c r="B101" s="60" t="s">
        <v>3719</v>
      </c>
      <c r="C101" s="513" t="s">
        <v>1629</v>
      </c>
      <c r="D101" s="151" t="s">
        <v>260</v>
      </c>
      <c r="E101" s="154"/>
      <c r="F101" s="175"/>
      <c r="H101" s="165"/>
    </row>
    <row r="102" spans="2:8" s="167" customFormat="1" ht="15.4" customHeight="1" outlineLevel="1" x14ac:dyDescent="0.2">
      <c r="B102" s="60" t="s">
        <v>3720</v>
      </c>
      <c r="C102" s="513" t="s">
        <v>1630</v>
      </c>
      <c r="D102" s="151" t="s">
        <v>260</v>
      </c>
      <c r="E102" s="154"/>
      <c r="F102" s="175"/>
      <c r="H102" s="165"/>
    </row>
    <row r="103" spans="2:8" s="167" customFormat="1" ht="15.4" customHeight="1" outlineLevel="1" x14ac:dyDescent="0.2">
      <c r="B103" s="60" t="s">
        <v>3721</v>
      </c>
      <c r="C103" s="513" t="s">
        <v>1631</v>
      </c>
      <c r="D103" s="151" t="s">
        <v>260</v>
      </c>
      <c r="E103" s="154"/>
      <c r="F103" s="175"/>
      <c r="H103" s="165"/>
    </row>
    <row r="104" spans="2:8" s="167" customFormat="1" ht="15.4" customHeight="1" outlineLevel="1" x14ac:dyDescent="0.2">
      <c r="B104" s="60" t="s">
        <v>3722</v>
      </c>
      <c r="C104" s="513" t="s">
        <v>1632</v>
      </c>
      <c r="D104" s="151" t="s">
        <v>260</v>
      </c>
      <c r="E104" s="154"/>
      <c r="F104" s="175"/>
      <c r="H104" s="165"/>
    </row>
    <row r="105" spans="2:8" s="167" customFormat="1" ht="15.4" customHeight="1" outlineLevel="1" x14ac:dyDescent="0.2">
      <c r="B105" s="60" t="s">
        <v>3723</v>
      </c>
      <c r="C105" s="513" t="s">
        <v>1633</v>
      </c>
      <c r="D105" s="151" t="s">
        <v>260</v>
      </c>
      <c r="E105" s="154"/>
      <c r="F105" s="175"/>
      <c r="H105" s="165"/>
    </row>
    <row r="106" spans="2:8" s="167" customFormat="1" ht="15.4" customHeight="1" outlineLevel="1" x14ac:dyDescent="0.2">
      <c r="B106" s="60" t="s">
        <v>3724</v>
      </c>
      <c r="C106" s="513" t="s">
        <v>1634</v>
      </c>
      <c r="D106" s="151" t="s">
        <v>260</v>
      </c>
      <c r="E106" s="154"/>
      <c r="F106" s="175"/>
      <c r="H106" s="165"/>
    </row>
    <row r="107" spans="2:8" s="167" customFormat="1" ht="15.4" customHeight="1" outlineLevel="1" x14ac:dyDescent="0.2">
      <c r="B107" s="60" t="s">
        <v>3725</v>
      </c>
      <c r="C107" s="513" t="s">
        <v>1635</v>
      </c>
      <c r="D107" s="151" t="s">
        <v>260</v>
      </c>
      <c r="E107" s="154"/>
      <c r="F107" s="175"/>
      <c r="H107" s="165"/>
    </row>
    <row r="108" spans="2:8" s="167" customFormat="1" ht="15.4" customHeight="1" outlineLevel="1" x14ac:dyDescent="0.2">
      <c r="B108" s="60" t="s">
        <v>3726</v>
      </c>
      <c r="C108" s="513" t="s">
        <v>1636</v>
      </c>
      <c r="D108" s="151" t="s">
        <v>260</v>
      </c>
      <c r="E108" s="154"/>
      <c r="F108" s="175"/>
      <c r="H108" s="165"/>
    </row>
    <row r="109" spans="2:8" s="167" customFormat="1" ht="15.4" customHeight="1" outlineLevel="1" x14ac:dyDescent="0.2">
      <c r="B109" s="60" t="s">
        <v>3727</v>
      </c>
      <c r="C109" s="513" t="s">
        <v>1637</v>
      </c>
      <c r="D109" s="151" t="s">
        <v>260</v>
      </c>
      <c r="E109" s="154"/>
      <c r="F109" s="175"/>
      <c r="H109" s="165"/>
    </row>
    <row r="110" spans="2:8" s="167" customFormat="1" ht="15.4" customHeight="1" outlineLevel="1" x14ac:dyDescent="0.2">
      <c r="B110" s="60" t="s">
        <v>3728</v>
      </c>
      <c r="C110" s="513" t="s">
        <v>1638</v>
      </c>
      <c r="D110" s="151" t="s">
        <v>260</v>
      </c>
      <c r="E110" s="154"/>
      <c r="F110" s="175"/>
      <c r="H110" s="165"/>
    </row>
    <row r="111" spans="2:8" s="167" customFormat="1" ht="15.4" customHeight="1" outlineLevel="1" x14ac:dyDescent="0.2">
      <c r="B111" s="60" t="s">
        <v>3729</v>
      </c>
      <c r="C111" s="513" t="s">
        <v>1639</v>
      </c>
      <c r="D111" s="151" t="s">
        <v>260</v>
      </c>
      <c r="E111" s="154"/>
      <c r="F111" s="175"/>
      <c r="H111" s="165"/>
    </row>
    <row r="112" spans="2:8" s="167" customFormat="1" ht="15.4" customHeight="1" outlineLevel="1" x14ac:dyDescent="0.2">
      <c r="B112" s="60" t="s">
        <v>3730</v>
      </c>
      <c r="C112" s="513" t="s">
        <v>1640</v>
      </c>
      <c r="D112" s="151" t="s">
        <v>260</v>
      </c>
      <c r="E112" s="154"/>
      <c r="F112" s="175"/>
      <c r="H112" s="165"/>
    </row>
    <row r="113" spans="2:8" s="167" customFormat="1" ht="15.4" customHeight="1" outlineLevel="1" x14ac:dyDescent="0.2">
      <c r="B113" s="60" t="s">
        <v>3731</v>
      </c>
      <c r="C113" s="513" t="s">
        <v>1641</v>
      </c>
      <c r="D113" s="151" t="s">
        <v>260</v>
      </c>
      <c r="E113" s="154"/>
      <c r="F113" s="175"/>
      <c r="H113" s="165"/>
    </row>
    <row r="114" spans="2:8" s="167" customFormat="1" ht="15.4" customHeight="1" outlineLevel="1" x14ac:dyDescent="0.2">
      <c r="B114" s="60" t="s">
        <v>3732</v>
      </c>
      <c r="C114" s="513" t="s">
        <v>1642</v>
      </c>
      <c r="D114" s="151" t="s">
        <v>260</v>
      </c>
      <c r="E114" s="154"/>
      <c r="F114" s="175"/>
      <c r="H114" s="165"/>
    </row>
    <row r="115" spans="2:8" s="167" customFormat="1" ht="15.4" customHeight="1" outlineLevel="1" x14ac:dyDescent="0.2">
      <c r="B115" s="60" t="s">
        <v>3733</v>
      </c>
      <c r="C115" s="513" t="s">
        <v>1643</v>
      </c>
      <c r="D115" s="151" t="s">
        <v>260</v>
      </c>
      <c r="E115" s="154"/>
      <c r="F115" s="175"/>
      <c r="H115" s="165"/>
    </row>
    <row r="116" spans="2:8" ht="15" customHeight="1" x14ac:dyDescent="0.2">
      <c r="B116" s="60" t="s">
        <v>3734</v>
      </c>
      <c r="C116" s="512" t="s">
        <v>478</v>
      </c>
      <c r="D116" s="164" t="s">
        <v>209</v>
      </c>
      <c r="E116" s="91">
        <f>SUM(E117:E136)</f>
        <v>0</v>
      </c>
      <c r="F116" s="92">
        <f>SUM(F117:F136)</f>
        <v>0</v>
      </c>
      <c r="H116" s="138"/>
    </row>
    <row r="117" spans="2:8" s="167" customFormat="1" ht="15.4" customHeight="1" outlineLevel="1" x14ac:dyDescent="0.2">
      <c r="B117" s="60" t="s">
        <v>3735</v>
      </c>
      <c r="C117" s="513" t="s">
        <v>2391</v>
      </c>
      <c r="D117" s="151" t="s">
        <v>260</v>
      </c>
      <c r="E117" s="154"/>
      <c r="F117" s="175"/>
    </row>
    <row r="118" spans="2:8" s="167" customFormat="1" ht="15.4" customHeight="1" outlineLevel="1" x14ac:dyDescent="0.2">
      <c r="B118" s="60" t="s">
        <v>3736</v>
      </c>
      <c r="C118" s="513" t="s">
        <v>2392</v>
      </c>
      <c r="D118" s="151" t="s">
        <v>260</v>
      </c>
      <c r="E118" s="154"/>
      <c r="F118" s="175"/>
    </row>
    <row r="119" spans="2:8" s="167" customFormat="1" ht="15.4" customHeight="1" outlineLevel="1" x14ac:dyDescent="0.2">
      <c r="B119" s="60" t="s">
        <v>3737</v>
      </c>
      <c r="C119" s="513" t="s">
        <v>2393</v>
      </c>
      <c r="D119" s="151" t="s">
        <v>260</v>
      </c>
      <c r="E119" s="154"/>
      <c r="F119" s="175"/>
    </row>
    <row r="120" spans="2:8" s="167" customFormat="1" ht="15.4" customHeight="1" outlineLevel="1" x14ac:dyDescent="0.2">
      <c r="B120" s="60" t="s">
        <v>3738</v>
      </c>
      <c r="C120" s="513" t="s">
        <v>2394</v>
      </c>
      <c r="D120" s="151" t="s">
        <v>260</v>
      </c>
      <c r="E120" s="154"/>
      <c r="F120" s="175"/>
    </row>
    <row r="121" spans="2:8" s="167" customFormat="1" ht="15.4" customHeight="1" outlineLevel="1" x14ac:dyDescent="0.2">
      <c r="B121" s="60" t="s">
        <v>3739</v>
      </c>
      <c r="C121" s="513" t="s">
        <v>2395</v>
      </c>
      <c r="D121" s="151" t="s">
        <v>260</v>
      </c>
      <c r="E121" s="154"/>
      <c r="F121" s="175"/>
    </row>
    <row r="122" spans="2:8" s="167" customFormat="1" ht="15.4" customHeight="1" outlineLevel="1" x14ac:dyDescent="0.2">
      <c r="B122" s="60" t="s">
        <v>3740</v>
      </c>
      <c r="C122" s="513" t="s">
        <v>2396</v>
      </c>
      <c r="D122" s="151" t="s">
        <v>260</v>
      </c>
      <c r="E122" s="154"/>
      <c r="F122" s="175"/>
    </row>
    <row r="123" spans="2:8" s="167" customFormat="1" ht="15.4" customHeight="1" outlineLevel="1" x14ac:dyDescent="0.2">
      <c r="B123" s="60" t="s">
        <v>3741</v>
      </c>
      <c r="C123" s="513" t="s">
        <v>2397</v>
      </c>
      <c r="D123" s="151" t="s">
        <v>260</v>
      </c>
      <c r="E123" s="154"/>
      <c r="F123" s="175"/>
    </row>
    <row r="124" spans="2:8" s="167" customFormat="1" ht="15.4" customHeight="1" outlineLevel="1" x14ac:dyDescent="0.2">
      <c r="B124" s="60" t="s">
        <v>3742</v>
      </c>
      <c r="C124" s="513" t="s">
        <v>2398</v>
      </c>
      <c r="D124" s="151" t="s">
        <v>260</v>
      </c>
      <c r="E124" s="154"/>
      <c r="F124" s="175"/>
    </row>
    <row r="125" spans="2:8" s="167" customFormat="1" ht="15.4" customHeight="1" outlineLevel="1" x14ac:dyDescent="0.2">
      <c r="B125" s="60" t="s">
        <v>3743</v>
      </c>
      <c r="C125" s="513" t="s">
        <v>2399</v>
      </c>
      <c r="D125" s="151" t="s">
        <v>260</v>
      </c>
      <c r="E125" s="154"/>
      <c r="F125" s="175"/>
    </row>
    <row r="126" spans="2:8" s="167" customFormat="1" ht="15.4" customHeight="1" outlineLevel="1" x14ac:dyDescent="0.2">
      <c r="B126" s="60" t="s">
        <v>3744</v>
      </c>
      <c r="C126" s="513" t="s">
        <v>2400</v>
      </c>
      <c r="D126" s="151" t="s">
        <v>260</v>
      </c>
      <c r="E126" s="154"/>
      <c r="F126" s="175"/>
    </row>
    <row r="127" spans="2:8" s="167" customFormat="1" ht="15.4" customHeight="1" outlineLevel="1" x14ac:dyDescent="0.2">
      <c r="B127" s="60" t="s">
        <v>3745</v>
      </c>
      <c r="C127" s="513" t="s">
        <v>2401</v>
      </c>
      <c r="D127" s="151" t="s">
        <v>260</v>
      </c>
      <c r="E127" s="154"/>
      <c r="F127" s="175"/>
    </row>
    <row r="128" spans="2:8" s="167" customFormat="1" ht="15.4" customHeight="1" outlineLevel="1" x14ac:dyDescent="0.2">
      <c r="B128" s="60" t="s">
        <v>3746</v>
      </c>
      <c r="C128" s="513" t="s">
        <v>2402</v>
      </c>
      <c r="D128" s="151" t="s">
        <v>260</v>
      </c>
      <c r="E128" s="154"/>
      <c r="F128" s="175"/>
    </row>
    <row r="129" spans="2:8" s="167" customFormat="1" ht="15.4" customHeight="1" outlineLevel="1" x14ac:dyDescent="0.2">
      <c r="B129" s="60" t="s">
        <v>3747</v>
      </c>
      <c r="C129" s="513" t="s">
        <v>2403</v>
      </c>
      <c r="D129" s="151" t="s">
        <v>260</v>
      </c>
      <c r="E129" s="154"/>
      <c r="F129" s="175"/>
    </row>
    <row r="130" spans="2:8" s="167" customFormat="1" ht="15.4" customHeight="1" outlineLevel="1" x14ac:dyDescent="0.2">
      <c r="B130" s="60" t="s">
        <v>3748</v>
      </c>
      <c r="C130" s="513" t="s">
        <v>2404</v>
      </c>
      <c r="D130" s="151" t="s">
        <v>260</v>
      </c>
      <c r="E130" s="154"/>
      <c r="F130" s="175"/>
    </row>
    <row r="131" spans="2:8" s="167" customFormat="1" ht="15.4" customHeight="1" outlineLevel="1" x14ac:dyDescent="0.2">
      <c r="B131" s="60" t="s">
        <v>3749</v>
      </c>
      <c r="C131" s="513" t="s">
        <v>2405</v>
      </c>
      <c r="D131" s="151" t="s">
        <v>260</v>
      </c>
      <c r="E131" s="154"/>
      <c r="F131" s="175"/>
    </row>
    <row r="132" spans="2:8" s="167" customFormat="1" ht="15.4" customHeight="1" outlineLevel="1" x14ac:dyDescent="0.2">
      <c r="B132" s="60" t="s">
        <v>3750</v>
      </c>
      <c r="C132" s="513" t="s">
        <v>2406</v>
      </c>
      <c r="D132" s="151" t="s">
        <v>260</v>
      </c>
      <c r="E132" s="154"/>
      <c r="F132" s="175"/>
    </row>
    <row r="133" spans="2:8" s="167" customFormat="1" ht="15.4" customHeight="1" outlineLevel="1" x14ac:dyDescent="0.2">
      <c r="B133" s="60" t="s">
        <v>3751</v>
      </c>
      <c r="C133" s="513" t="s">
        <v>2407</v>
      </c>
      <c r="D133" s="151" t="s">
        <v>260</v>
      </c>
      <c r="E133" s="154"/>
      <c r="F133" s="175"/>
    </row>
    <row r="134" spans="2:8" s="167" customFormat="1" ht="15.4" customHeight="1" outlineLevel="1" x14ac:dyDescent="0.2">
      <c r="B134" s="60" t="s">
        <v>3752</v>
      </c>
      <c r="C134" s="513" t="s">
        <v>2408</v>
      </c>
      <c r="D134" s="151" t="s">
        <v>260</v>
      </c>
      <c r="E134" s="154"/>
      <c r="F134" s="175"/>
    </row>
    <row r="135" spans="2:8" s="167" customFormat="1" ht="15.4" customHeight="1" outlineLevel="1" x14ac:dyDescent="0.2">
      <c r="B135" s="60" t="s">
        <v>3753</v>
      </c>
      <c r="C135" s="513" t="s">
        <v>2409</v>
      </c>
      <c r="D135" s="151" t="s">
        <v>260</v>
      </c>
      <c r="E135" s="154"/>
      <c r="F135" s="175"/>
    </row>
    <row r="136" spans="2:8" s="167" customFormat="1" ht="15.4" customHeight="1" outlineLevel="1" x14ac:dyDescent="0.2">
      <c r="B136" s="60" t="s">
        <v>3754</v>
      </c>
      <c r="C136" s="513" t="s">
        <v>2410</v>
      </c>
      <c r="D136" s="151" t="s">
        <v>260</v>
      </c>
      <c r="E136" s="154"/>
      <c r="F136" s="175"/>
    </row>
    <row r="137" spans="2:8" ht="15" customHeight="1" x14ac:dyDescent="0.2">
      <c r="B137" s="60" t="s">
        <v>3755</v>
      </c>
      <c r="C137" s="512" t="s">
        <v>479</v>
      </c>
      <c r="D137" s="164" t="s">
        <v>4667</v>
      </c>
      <c r="E137" s="91">
        <f>SUM(E138:E157)</f>
        <v>0</v>
      </c>
      <c r="F137" s="92">
        <f>SUM(F138:F157)</f>
        <v>0</v>
      </c>
      <c r="H137" s="138"/>
    </row>
    <row r="138" spans="2:8" s="167" customFormat="1" ht="15.4" customHeight="1" outlineLevel="1" x14ac:dyDescent="0.2">
      <c r="B138" s="60" t="s">
        <v>3756</v>
      </c>
      <c r="C138" s="513" t="s">
        <v>2411</v>
      </c>
      <c r="D138" s="151" t="s">
        <v>260</v>
      </c>
      <c r="E138" s="154"/>
      <c r="F138" s="175"/>
    </row>
    <row r="139" spans="2:8" s="167" customFormat="1" ht="15.4" customHeight="1" outlineLevel="1" x14ac:dyDescent="0.2">
      <c r="B139" s="60" t="s">
        <v>3757</v>
      </c>
      <c r="C139" s="513" t="s">
        <v>2412</v>
      </c>
      <c r="D139" s="151" t="s">
        <v>260</v>
      </c>
      <c r="E139" s="154"/>
      <c r="F139" s="175"/>
    </row>
    <row r="140" spans="2:8" s="167" customFormat="1" ht="15.4" customHeight="1" outlineLevel="1" x14ac:dyDescent="0.2">
      <c r="B140" s="60" t="s">
        <v>3758</v>
      </c>
      <c r="C140" s="513" t="s">
        <v>2413</v>
      </c>
      <c r="D140" s="151" t="s">
        <v>260</v>
      </c>
      <c r="E140" s="154"/>
      <c r="F140" s="175"/>
    </row>
    <row r="141" spans="2:8" s="167" customFormat="1" ht="15.4" customHeight="1" outlineLevel="1" x14ac:dyDescent="0.2">
      <c r="B141" s="60" t="s">
        <v>3759</v>
      </c>
      <c r="C141" s="513" t="s">
        <v>2414</v>
      </c>
      <c r="D141" s="151" t="s">
        <v>260</v>
      </c>
      <c r="E141" s="154"/>
      <c r="F141" s="175"/>
    </row>
    <row r="142" spans="2:8" s="167" customFormat="1" ht="15.4" customHeight="1" outlineLevel="1" x14ac:dyDescent="0.2">
      <c r="B142" s="60" t="s">
        <v>3760</v>
      </c>
      <c r="C142" s="513" t="s">
        <v>2415</v>
      </c>
      <c r="D142" s="151" t="s">
        <v>260</v>
      </c>
      <c r="E142" s="154"/>
      <c r="F142" s="175"/>
    </row>
    <row r="143" spans="2:8" s="167" customFormat="1" ht="15.4" customHeight="1" outlineLevel="1" x14ac:dyDescent="0.2">
      <c r="B143" s="60" t="s">
        <v>3761</v>
      </c>
      <c r="C143" s="513" t="s">
        <v>2416</v>
      </c>
      <c r="D143" s="151" t="s">
        <v>260</v>
      </c>
      <c r="E143" s="154"/>
      <c r="F143" s="175"/>
    </row>
    <row r="144" spans="2:8" s="167" customFormat="1" ht="15.4" customHeight="1" outlineLevel="1" x14ac:dyDescent="0.2">
      <c r="B144" s="60" t="s">
        <v>3762</v>
      </c>
      <c r="C144" s="513" t="s">
        <v>2417</v>
      </c>
      <c r="D144" s="151" t="s">
        <v>260</v>
      </c>
      <c r="E144" s="154"/>
      <c r="F144" s="175"/>
    </row>
    <row r="145" spans="2:6" s="167" customFormat="1" ht="15.4" customHeight="1" outlineLevel="1" x14ac:dyDescent="0.2">
      <c r="B145" s="60" t="s">
        <v>3763</v>
      </c>
      <c r="C145" s="513" t="s">
        <v>2418</v>
      </c>
      <c r="D145" s="151" t="s">
        <v>260</v>
      </c>
      <c r="E145" s="154"/>
      <c r="F145" s="175"/>
    </row>
    <row r="146" spans="2:6" s="167" customFormat="1" ht="15.4" customHeight="1" outlineLevel="1" x14ac:dyDescent="0.2">
      <c r="B146" s="60" t="s">
        <v>3764</v>
      </c>
      <c r="C146" s="513" t="s">
        <v>2419</v>
      </c>
      <c r="D146" s="151" t="s">
        <v>260</v>
      </c>
      <c r="E146" s="154"/>
      <c r="F146" s="175"/>
    </row>
    <row r="147" spans="2:6" s="167" customFormat="1" ht="15.4" customHeight="1" outlineLevel="1" x14ac:dyDescent="0.2">
      <c r="B147" s="60" t="s">
        <v>3765</v>
      </c>
      <c r="C147" s="513" t="s">
        <v>2420</v>
      </c>
      <c r="D147" s="151" t="s">
        <v>260</v>
      </c>
      <c r="E147" s="154"/>
      <c r="F147" s="175"/>
    </row>
    <row r="148" spans="2:6" s="167" customFormat="1" ht="15.4" customHeight="1" outlineLevel="1" x14ac:dyDescent="0.2">
      <c r="B148" s="60" t="s">
        <v>3766</v>
      </c>
      <c r="C148" s="513" t="s">
        <v>2421</v>
      </c>
      <c r="D148" s="151" t="s">
        <v>260</v>
      </c>
      <c r="E148" s="154"/>
      <c r="F148" s="175"/>
    </row>
    <row r="149" spans="2:6" s="167" customFormat="1" ht="15.4" customHeight="1" outlineLevel="1" x14ac:dyDescent="0.2">
      <c r="B149" s="60" t="s">
        <v>3767</v>
      </c>
      <c r="C149" s="513" t="s">
        <v>2422</v>
      </c>
      <c r="D149" s="151" t="s">
        <v>260</v>
      </c>
      <c r="E149" s="154"/>
      <c r="F149" s="175"/>
    </row>
    <row r="150" spans="2:6" s="167" customFormat="1" ht="15.4" customHeight="1" outlineLevel="1" x14ac:dyDescent="0.2">
      <c r="B150" s="60" t="s">
        <v>3768</v>
      </c>
      <c r="C150" s="513" t="s">
        <v>2423</v>
      </c>
      <c r="D150" s="151" t="s">
        <v>260</v>
      </c>
      <c r="E150" s="154"/>
      <c r="F150" s="175"/>
    </row>
    <row r="151" spans="2:6" s="167" customFormat="1" ht="15.4" customHeight="1" outlineLevel="1" x14ac:dyDescent="0.2">
      <c r="B151" s="60" t="s">
        <v>3769</v>
      </c>
      <c r="C151" s="513" t="s">
        <v>2424</v>
      </c>
      <c r="D151" s="151" t="s">
        <v>260</v>
      </c>
      <c r="E151" s="154"/>
      <c r="F151" s="175"/>
    </row>
    <row r="152" spans="2:6" s="167" customFormat="1" ht="15.4" customHeight="1" outlineLevel="1" x14ac:dyDescent="0.2">
      <c r="B152" s="60" t="s">
        <v>3770</v>
      </c>
      <c r="C152" s="513" t="s">
        <v>2425</v>
      </c>
      <c r="D152" s="151" t="s">
        <v>260</v>
      </c>
      <c r="E152" s="154"/>
      <c r="F152" s="175"/>
    </row>
    <row r="153" spans="2:6" s="167" customFormat="1" ht="15.4" customHeight="1" outlineLevel="1" x14ac:dyDescent="0.2">
      <c r="B153" s="60" t="s">
        <v>3771</v>
      </c>
      <c r="C153" s="513" t="s">
        <v>2426</v>
      </c>
      <c r="D153" s="151" t="s">
        <v>260</v>
      </c>
      <c r="E153" s="154"/>
      <c r="F153" s="175"/>
    </row>
    <row r="154" spans="2:6" s="167" customFormat="1" ht="15.4" customHeight="1" outlineLevel="1" x14ac:dyDescent="0.2">
      <c r="B154" s="60" t="s">
        <v>3772</v>
      </c>
      <c r="C154" s="513" t="s">
        <v>2427</v>
      </c>
      <c r="D154" s="151" t="s">
        <v>260</v>
      </c>
      <c r="E154" s="154"/>
      <c r="F154" s="175"/>
    </row>
    <row r="155" spans="2:6" s="167" customFormat="1" ht="15.4" customHeight="1" outlineLevel="1" x14ac:dyDescent="0.2">
      <c r="B155" s="60" t="s">
        <v>3773</v>
      </c>
      <c r="C155" s="513" t="s">
        <v>2428</v>
      </c>
      <c r="D155" s="151" t="s">
        <v>260</v>
      </c>
      <c r="E155" s="154"/>
      <c r="F155" s="175"/>
    </row>
    <row r="156" spans="2:6" s="167" customFormat="1" ht="15.4" customHeight="1" outlineLevel="1" x14ac:dyDescent="0.2">
      <c r="B156" s="60" t="s">
        <v>3774</v>
      </c>
      <c r="C156" s="513" t="s">
        <v>2429</v>
      </c>
      <c r="D156" s="151" t="s">
        <v>260</v>
      </c>
      <c r="E156" s="154"/>
      <c r="F156" s="175"/>
    </row>
    <row r="157" spans="2:6" s="167" customFormat="1" ht="15.4" customHeight="1" outlineLevel="1" x14ac:dyDescent="0.2">
      <c r="B157" s="60" t="s">
        <v>3775</v>
      </c>
      <c r="C157" s="513" t="s">
        <v>2430</v>
      </c>
      <c r="D157" s="151" t="s">
        <v>260</v>
      </c>
      <c r="E157" s="154"/>
      <c r="F157" s="175"/>
    </row>
    <row r="158" spans="2:6" s="132" customFormat="1" ht="15" customHeight="1" x14ac:dyDescent="0.2">
      <c r="B158" s="60" t="s">
        <v>3776</v>
      </c>
      <c r="C158" s="511" t="s">
        <v>438</v>
      </c>
      <c r="D158" s="94" t="s">
        <v>210</v>
      </c>
      <c r="E158" s="635">
        <f>E159+E180+E201+E222+E243+E264</f>
        <v>0</v>
      </c>
      <c r="F158" s="638">
        <f>F159+F180+F201+F222+F243+F264</f>
        <v>0</v>
      </c>
    </row>
    <row r="159" spans="2:6" s="138" customFormat="1" ht="15" customHeight="1" x14ac:dyDescent="0.2">
      <c r="B159" s="60" t="s">
        <v>3777</v>
      </c>
      <c r="C159" s="514" t="s">
        <v>409</v>
      </c>
      <c r="D159" s="164" t="s">
        <v>238</v>
      </c>
      <c r="E159" s="636">
        <f>SUM(E160:E179)</f>
        <v>0</v>
      </c>
      <c r="F159" s="637">
        <f>SUM(F160:F179)</f>
        <v>0</v>
      </c>
    </row>
    <row r="160" spans="2:6" s="165" customFormat="1" ht="15.4" customHeight="1" outlineLevel="1" x14ac:dyDescent="0.2">
      <c r="B160" s="60" t="s">
        <v>3778</v>
      </c>
      <c r="C160" s="513" t="s">
        <v>450</v>
      </c>
      <c r="D160" s="166" t="s">
        <v>211</v>
      </c>
      <c r="E160" s="173"/>
      <c r="F160" s="174"/>
    </row>
    <row r="161" spans="2:6" s="165" customFormat="1" ht="15.4" customHeight="1" outlineLevel="1" x14ac:dyDescent="0.2">
      <c r="B161" s="60" t="s">
        <v>3779</v>
      </c>
      <c r="C161" s="513" t="s">
        <v>451</v>
      </c>
      <c r="D161" s="166" t="s">
        <v>211</v>
      </c>
      <c r="E161" s="173"/>
      <c r="F161" s="174"/>
    </row>
    <row r="162" spans="2:6" s="165" customFormat="1" ht="15.4" customHeight="1" outlineLevel="1" x14ac:dyDescent="0.2">
      <c r="B162" s="60" t="s">
        <v>3780</v>
      </c>
      <c r="C162" s="513" t="s">
        <v>458</v>
      </c>
      <c r="D162" s="166" t="s">
        <v>211</v>
      </c>
      <c r="E162" s="173"/>
      <c r="F162" s="174"/>
    </row>
    <row r="163" spans="2:6" s="165" customFormat="1" ht="15.4" customHeight="1" outlineLevel="1" x14ac:dyDescent="0.2">
      <c r="B163" s="60" t="s">
        <v>3781</v>
      </c>
      <c r="C163" s="513" t="s">
        <v>600</v>
      </c>
      <c r="D163" s="166" t="s">
        <v>211</v>
      </c>
      <c r="E163" s="173"/>
      <c r="F163" s="174"/>
    </row>
    <row r="164" spans="2:6" s="165" customFormat="1" ht="15.4" customHeight="1" outlineLevel="1" x14ac:dyDescent="0.2">
      <c r="B164" s="60" t="s">
        <v>3782</v>
      </c>
      <c r="C164" s="513" t="s">
        <v>601</v>
      </c>
      <c r="D164" s="166" t="s">
        <v>211</v>
      </c>
      <c r="E164" s="173"/>
      <c r="F164" s="174"/>
    </row>
    <row r="165" spans="2:6" s="165" customFormat="1" ht="15.4" customHeight="1" outlineLevel="1" x14ac:dyDescent="0.2">
      <c r="B165" s="60" t="s">
        <v>3783</v>
      </c>
      <c r="C165" s="513" t="s">
        <v>602</v>
      </c>
      <c r="D165" s="166" t="s">
        <v>211</v>
      </c>
      <c r="E165" s="173"/>
      <c r="F165" s="174"/>
    </row>
    <row r="166" spans="2:6" s="165" customFormat="1" ht="15.4" customHeight="1" outlineLevel="1" x14ac:dyDescent="0.2">
      <c r="B166" s="60" t="s">
        <v>3784</v>
      </c>
      <c r="C166" s="513" t="s">
        <v>603</v>
      </c>
      <c r="D166" s="166" t="s">
        <v>211</v>
      </c>
      <c r="E166" s="173"/>
      <c r="F166" s="174"/>
    </row>
    <row r="167" spans="2:6" s="165" customFormat="1" ht="15.4" customHeight="1" outlineLevel="1" x14ac:dyDescent="0.2">
      <c r="B167" s="60" t="s">
        <v>3785</v>
      </c>
      <c r="C167" s="513" t="s">
        <v>604</v>
      </c>
      <c r="D167" s="166" t="s">
        <v>211</v>
      </c>
      <c r="E167" s="173"/>
      <c r="F167" s="174"/>
    </row>
    <row r="168" spans="2:6" s="165" customFormat="1" ht="15.4" customHeight="1" outlineLevel="1" x14ac:dyDescent="0.2">
      <c r="B168" s="60" t="s">
        <v>3786</v>
      </c>
      <c r="C168" s="513" t="s">
        <v>605</v>
      </c>
      <c r="D168" s="166" t="s">
        <v>211</v>
      </c>
      <c r="E168" s="173"/>
      <c r="F168" s="174"/>
    </row>
    <row r="169" spans="2:6" s="165" customFormat="1" ht="15.4" customHeight="1" outlineLevel="1" x14ac:dyDescent="0.2">
      <c r="B169" s="60" t="s">
        <v>3787</v>
      </c>
      <c r="C169" s="513" t="s">
        <v>606</v>
      </c>
      <c r="D169" s="166" t="s">
        <v>211</v>
      </c>
      <c r="E169" s="173"/>
      <c r="F169" s="174"/>
    </row>
    <row r="170" spans="2:6" s="165" customFormat="1" ht="15.4" customHeight="1" outlineLevel="1" x14ac:dyDescent="0.2">
      <c r="B170" s="60" t="s">
        <v>3788</v>
      </c>
      <c r="C170" s="513" t="s">
        <v>607</v>
      </c>
      <c r="D170" s="166" t="s">
        <v>211</v>
      </c>
      <c r="E170" s="173"/>
      <c r="F170" s="174"/>
    </row>
    <row r="171" spans="2:6" s="165" customFormat="1" ht="15.4" customHeight="1" outlineLevel="1" x14ac:dyDescent="0.2">
      <c r="B171" s="60" t="s">
        <v>3789</v>
      </c>
      <c r="C171" s="513" t="s">
        <v>608</v>
      </c>
      <c r="D171" s="166" t="s">
        <v>211</v>
      </c>
      <c r="E171" s="173"/>
      <c r="F171" s="174"/>
    </row>
    <row r="172" spans="2:6" s="165" customFormat="1" ht="15.4" customHeight="1" outlineLevel="1" x14ac:dyDescent="0.2">
      <c r="B172" s="60" t="s">
        <v>3790</v>
      </c>
      <c r="C172" s="513" t="s">
        <v>609</v>
      </c>
      <c r="D172" s="166" t="s">
        <v>211</v>
      </c>
      <c r="E172" s="173"/>
      <c r="F172" s="174"/>
    </row>
    <row r="173" spans="2:6" s="165" customFormat="1" ht="15.4" customHeight="1" outlineLevel="1" x14ac:dyDescent="0.2">
      <c r="B173" s="60" t="s">
        <v>3791</v>
      </c>
      <c r="C173" s="513" t="s">
        <v>610</v>
      </c>
      <c r="D173" s="166" t="s">
        <v>211</v>
      </c>
      <c r="E173" s="173"/>
      <c r="F173" s="174"/>
    </row>
    <row r="174" spans="2:6" s="165" customFormat="1" ht="15.4" customHeight="1" outlineLevel="1" x14ac:dyDescent="0.2">
      <c r="B174" s="60" t="s">
        <v>3792</v>
      </c>
      <c r="C174" s="513" t="s">
        <v>611</v>
      </c>
      <c r="D174" s="166" t="s">
        <v>211</v>
      </c>
      <c r="E174" s="173"/>
      <c r="F174" s="174"/>
    </row>
    <row r="175" spans="2:6" s="165" customFormat="1" ht="15.4" customHeight="1" outlineLevel="1" x14ac:dyDescent="0.2">
      <c r="B175" s="60" t="s">
        <v>3793</v>
      </c>
      <c r="C175" s="513" t="s">
        <v>612</v>
      </c>
      <c r="D175" s="166" t="s">
        <v>211</v>
      </c>
      <c r="E175" s="173"/>
      <c r="F175" s="174"/>
    </row>
    <row r="176" spans="2:6" s="165" customFormat="1" ht="15.4" customHeight="1" outlineLevel="1" x14ac:dyDescent="0.2">
      <c r="B176" s="60" t="s">
        <v>3794</v>
      </c>
      <c r="C176" s="513" t="s">
        <v>613</v>
      </c>
      <c r="D176" s="166" t="s">
        <v>211</v>
      </c>
      <c r="E176" s="173"/>
      <c r="F176" s="174"/>
    </row>
    <row r="177" spans="2:6" s="165" customFormat="1" ht="15.4" customHeight="1" outlineLevel="1" x14ac:dyDescent="0.2">
      <c r="B177" s="60" t="s">
        <v>3795</v>
      </c>
      <c r="C177" s="513" t="s">
        <v>614</v>
      </c>
      <c r="D177" s="166" t="s">
        <v>211</v>
      </c>
      <c r="E177" s="173"/>
      <c r="F177" s="174"/>
    </row>
    <row r="178" spans="2:6" s="165" customFormat="1" ht="15.4" customHeight="1" outlineLevel="1" x14ac:dyDescent="0.2">
      <c r="B178" s="60" t="s">
        <v>3796</v>
      </c>
      <c r="C178" s="513" t="s">
        <v>615</v>
      </c>
      <c r="D178" s="166" t="s">
        <v>211</v>
      </c>
      <c r="E178" s="173"/>
      <c r="F178" s="174"/>
    </row>
    <row r="179" spans="2:6" s="165" customFormat="1" ht="15.4" customHeight="1" outlineLevel="1" x14ac:dyDescent="0.2">
      <c r="B179" s="60" t="s">
        <v>3797</v>
      </c>
      <c r="C179" s="513" t="s">
        <v>616</v>
      </c>
      <c r="D179" s="166" t="s">
        <v>211</v>
      </c>
      <c r="E179" s="173"/>
      <c r="F179" s="174"/>
    </row>
    <row r="180" spans="2:6" s="138" customFormat="1" ht="15" customHeight="1" x14ac:dyDescent="0.2">
      <c r="B180" s="60" t="s">
        <v>3798</v>
      </c>
      <c r="C180" s="514" t="s">
        <v>410</v>
      </c>
      <c r="D180" s="164" t="s">
        <v>4665</v>
      </c>
      <c r="E180" s="636">
        <f>SUM(E181:E200)</f>
        <v>0</v>
      </c>
      <c r="F180" s="637">
        <f>SUM(F181:F200)</f>
        <v>0</v>
      </c>
    </row>
    <row r="181" spans="2:6" s="165" customFormat="1" ht="15.4" customHeight="1" outlineLevel="1" x14ac:dyDescent="0.2">
      <c r="B181" s="60" t="s">
        <v>3799</v>
      </c>
      <c r="C181" s="513" t="s">
        <v>454</v>
      </c>
      <c r="D181" s="166" t="s">
        <v>211</v>
      </c>
      <c r="E181" s="173"/>
      <c r="F181" s="174"/>
    </row>
    <row r="182" spans="2:6" s="165" customFormat="1" ht="15.4" customHeight="1" outlineLevel="1" x14ac:dyDescent="0.2">
      <c r="B182" s="60" t="s">
        <v>3800</v>
      </c>
      <c r="C182" s="513" t="s">
        <v>455</v>
      </c>
      <c r="D182" s="166" t="s">
        <v>211</v>
      </c>
      <c r="E182" s="173"/>
      <c r="F182" s="174"/>
    </row>
    <row r="183" spans="2:6" s="165" customFormat="1" ht="15.4" customHeight="1" outlineLevel="1" x14ac:dyDescent="0.2">
      <c r="B183" s="60" t="s">
        <v>3801</v>
      </c>
      <c r="C183" s="513" t="s">
        <v>459</v>
      </c>
      <c r="D183" s="166" t="s">
        <v>211</v>
      </c>
      <c r="E183" s="173"/>
      <c r="F183" s="174"/>
    </row>
    <row r="184" spans="2:6" s="165" customFormat="1" ht="15.4" customHeight="1" outlineLevel="1" x14ac:dyDescent="0.2">
      <c r="B184" s="60" t="s">
        <v>3802</v>
      </c>
      <c r="C184" s="513" t="s">
        <v>617</v>
      </c>
      <c r="D184" s="166" t="s">
        <v>211</v>
      </c>
      <c r="E184" s="173"/>
      <c r="F184" s="174"/>
    </row>
    <row r="185" spans="2:6" s="165" customFormat="1" ht="15.4" customHeight="1" outlineLevel="1" x14ac:dyDescent="0.2">
      <c r="B185" s="60" t="s">
        <v>3803</v>
      </c>
      <c r="C185" s="513" t="s">
        <v>618</v>
      </c>
      <c r="D185" s="166" t="s">
        <v>211</v>
      </c>
      <c r="E185" s="173"/>
      <c r="F185" s="174"/>
    </row>
    <row r="186" spans="2:6" s="165" customFormat="1" ht="15.4" customHeight="1" outlineLevel="1" x14ac:dyDescent="0.2">
      <c r="B186" s="60" t="s">
        <v>3804</v>
      </c>
      <c r="C186" s="513" t="s">
        <v>619</v>
      </c>
      <c r="D186" s="166" t="s">
        <v>211</v>
      </c>
      <c r="E186" s="173"/>
      <c r="F186" s="174"/>
    </row>
    <row r="187" spans="2:6" s="165" customFormat="1" ht="15.4" customHeight="1" outlineLevel="1" x14ac:dyDescent="0.2">
      <c r="B187" s="60" t="s">
        <v>3805</v>
      </c>
      <c r="C187" s="513" t="s">
        <v>620</v>
      </c>
      <c r="D187" s="166" t="s">
        <v>211</v>
      </c>
      <c r="E187" s="173"/>
      <c r="F187" s="174"/>
    </row>
    <row r="188" spans="2:6" s="165" customFormat="1" ht="15.4" customHeight="1" outlineLevel="1" x14ac:dyDescent="0.2">
      <c r="B188" s="60" t="s">
        <v>3806</v>
      </c>
      <c r="C188" s="513" t="s">
        <v>621</v>
      </c>
      <c r="D188" s="166" t="s">
        <v>211</v>
      </c>
      <c r="E188" s="173"/>
      <c r="F188" s="174"/>
    </row>
    <row r="189" spans="2:6" s="165" customFormat="1" ht="15.4" customHeight="1" outlineLevel="1" x14ac:dyDescent="0.2">
      <c r="B189" s="60" t="s">
        <v>3807</v>
      </c>
      <c r="C189" s="513" t="s">
        <v>622</v>
      </c>
      <c r="D189" s="166" t="s">
        <v>211</v>
      </c>
      <c r="E189" s="173"/>
      <c r="F189" s="174"/>
    </row>
    <row r="190" spans="2:6" s="165" customFormat="1" ht="15.4" customHeight="1" outlineLevel="1" x14ac:dyDescent="0.2">
      <c r="B190" s="60" t="s">
        <v>3808</v>
      </c>
      <c r="C190" s="513" t="s">
        <v>623</v>
      </c>
      <c r="D190" s="166" t="s">
        <v>211</v>
      </c>
      <c r="E190" s="173"/>
      <c r="F190" s="174"/>
    </row>
    <row r="191" spans="2:6" s="165" customFormat="1" ht="15.4" customHeight="1" outlineLevel="1" x14ac:dyDescent="0.2">
      <c r="B191" s="60" t="s">
        <v>3809</v>
      </c>
      <c r="C191" s="513" t="s">
        <v>624</v>
      </c>
      <c r="D191" s="166" t="s">
        <v>211</v>
      </c>
      <c r="E191" s="173"/>
      <c r="F191" s="174"/>
    </row>
    <row r="192" spans="2:6" s="165" customFormat="1" ht="15.4" customHeight="1" outlineLevel="1" x14ac:dyDescent="0.2">
      <c r="B192" s="60" t="s">
        <v>3810</v>
      </c>
      <c r="C192" s="513" t="s">
        <v>625</v>
      </c>
      <c r="D192" s="166" t="s">
        <v>211</v>
      </c>
      <c r="E192" s="173"/>
      <c r="F192" s="174"/>
    </row>
    <row r="193" spans="2:6" s="165" customFormat="1" ht="15.4" customHeight="1" outlineLevel="1" x14ac:dyDescent="0.2">
      <c r="B193" s="60" t="s">
        <v>3811</v>
      </c>
      <c r="C193" s="513" t="s">
        <v>626</v>
      </c>
      <c r="D193" s="166" t="s">
        <v>211</v>
      </c>
      <c r="E193" s="173"/>
      <c r="F193" s="174"/>
    </row>
    <row r="194" spans="2:6" s="165" customFormat="1" ht="15.4" customHeight="1" outlineLevel="1" x14ac:dyDescent="0.2">
      <c r="B194" s="60" t="s">
        <v>3812</v>
      </c>
      <c r="C194" s="513" t="s">
        <v>627</v>
      </c>
      <c r="D194" s="166" t="s">
        <v>211</v>
      </c>
      <c r="E194" s="173"/>
      <c r="F194" s="174"/>
    </row>
    <row r="195" spans="2:6" s="165" customFormat="1" ht="15.4" customHeight="1" outlineLevel="1" x14ac:dyDescent="0.2">
      <c r="B195" s="60" t="s">
        <v>3813</v>
      </c>
      <c r="C195" s="513" t="s">
        <v>628</v>
      </c>
      <c r="D195" s="166" t="s">
        <v>211</v>
      </c>
      <c r="E195" s="173"/>
      <c r="F195" s="174"/>
    </row>
    <row r="196" spans="2:6" s="165" customFormat="1" ht="15.4" customHeight="1" outlineLevel="1" x14ac:dyDescent="0.2">
      <c r="B196" s="60" t="s">
        <v>3814</v>
      </c>
      <c r="C196" s="513" t="s">
        <v>629</v>
      </c>
      <c r="D196" s="166" t="s">
        <v>211</v>
      </c>
      <c r="E196" s="173"/>
      <c r="F196" s="174"/>
    </row>
    <row r="197" spans="2:6" s="165" customFormat="1" ht="15.4" customHeight="1" outlineLevel="1" x14ac:dyDescent="0.2">
      <c r="B197" s="60" t="s">
        <v>3815</v>
      </c>
      <c r="C197" s="513" t="s">
        <v>630</v>
      </c>
      <c r="D197" s="166" t="s">
        <v>211</v>
      </c>
      <c r="E197" s="173"/>
      <c r="F197" s="174"/>
    </row>
    <row r="198" spans="2:6" s="165" customFormat="1" ht="15.4" customHeight="1" outlineLevel="1" x14ac:dyDescent="0.2">
      <c r="B198" s="60" t="s">
        <v>3816</v>
      </c>
      <c r="C198" s="513" t="s">
        <v>631</v>
      </c>
      <c r="D198" s="166" t="s">
        <v>211</v>
      </c>
      <c r="E198" s="173"/>
      <c r="F198" s="174"/>
    </row>
    <row r="199" spans="2:6" s="165" customFormat="1" ht="15.4" customHeight="1" outlineLevel="1" x14ac:dyDescent="0.2">
      <c r="B199" s="60" t="s">
        <v>3817</v>
      </c>
      <c r="C199" s="513" t="s">
        <v>632</v>
      </c>
      <c r="D199" s="166" t="s">
        <v>211</v>
      </c>
      <c r="E199" s="173"/>
      <c r="F199" s="174"/>
    </row>
    <row r="200" spans="2:6" s="165" customFormat="1" ht="15.4" customHeight="1" outlineLevel="1" x14ac:dyDescent="0.2">
      <c r="B200" s="60" t="s">
        <v>3818</v>
      </c>
      <c r="C200" s="513" t="s">
        <v>633</v>
      </c>
      <c r="D200" s="166" t="s">
        <v>211</v>
      </c>
      <c r="E200" s="173"/>
      <c r="F200" s="174"/>
    </row>
    <row r="201" spans="2:6" s="138" customFormat="1" ht="15" customHeight="1" x14ac:dyDescent="0.2">
      <c r="B201" s="60" t="s">
        <v>3819</v>
      </c>
      <c r="C201" s="514" t="s">
        <v>411</v>
      </c>
      <c r="D201" s="164" t="s">
        <v>243</v>
      </c>
      <c r="E201" s="636">
        <f>SUM(E202:E221)</f>
        <v>0</v>
      </c>
      <c r="F201" s="637">
        <f>SUM(F202:F221)</f>
        <v>0</v>
      </c>
    </row>
    <row r="202" spans="2:6" s="165" customFormat="1" ht="15.4" customHeight="1" outlineLevel="1" x14ac:dyDescent="0.2">
      <c r="B202" s="60" t="s">
        <v>3820</v>
      </c>
      <c r="C202" s="513" t="s">
        <v>1644</v>
      </c>
      <c r="D202" s="166" t="s">
        <v>211</v>
      </c>
      <c r="E202" s="173"/>
      <c r="F202" s="174"/>
    </row>
    <row r="203" spans="2:6" s="165" customFormat="1" ht="15.4" customHeight="1" outlineLevel="1" x14ac:dyDescent="0.2">
      <c r="B203" s="60" t="s">
        <v>3821</v>
      </c>
      <c r="C203" s="513" t="s">
        <v>1645</v>
      </c>
      <c r="D203" s="166" t="s">
        <v>211</v>
      </c>
      <c r="E203" s="173"/>
      <c r="F203" s="174"/>
    </row>
    <row r="204" spans="2:6" s="165" customFormat="1" ht="15.4" customHeight="1" outlineLevel="1" x14ac:dyDescent="0.2">
      <c r="B204" s="60" t="s">
        <v>3822</v>
      </c>
      <c r="C204" s="513" t="s">
        <v>1646</v>
      </c>
      <c r="D204" s="166" t="s">
        <v>211</v>
      </c>
      <c r="E204" s="173"/>
      <c r="F204" s="174"/>
    </row>
    <row r="205" spans="2:6" s="165" customFormat="1" ht="15.4" customHeight="1" outlineLevel="1" x14ac:dyDescent="0.2">
      <c r="B205" s="60" t="s">
        <v>3823</v>
      </c>
      <c r="C205" s="513" t="s">
        <v>1647</v>
      </c>
      <c r="D205" s="166" t="s">
        <v>211</v>
      </c>
      <c r="E205" s="173"/>
      <c r="F205" s="174"/>
    </row>
    <row r="206" spans="2:6" s="165" customFormat="1" ht="15.4" customHeight="1" outlineLevel="1" x14ac:dyDescent="0.2">
      <c r="B206" s="60" t="s">
        <v>3824</v>
      </c>
      <c r="C206" s="513" t="s">
        <v>1648</v>
      </c>
      <c r="D206" s="166" t="s">
        <v>211</v>
      </c>
      <c r="E206" s="173"/>
      <c r="F206" s="174"/>
    </row>
    <row r="207" spans="2:6" s="165" customFormat="1" ht="15.4" customHeight="1" outlineLevel="1" x14ac:dyDescent="0.2">
      <c r="B207" s="60" t="s">
        <v>3825</v>
      </c>
      <c r="C207" s="513" t="s">
        <v>1649</v>
      </c>
      <c r="D207" s="166" t="s">
        <v>211</v>
      </c>
      <c r="E207" s="173"/>
      <c r="F207" s="174"/>
    </row>
    <row r="208" spans="2:6" s="165" customFormat="1" ht="15.4" customHeight="1" outlineLevel="1" x14ac:dyDescent="0.2">
      <c r="B208" s="60" t="s">
        <v>3826</v>
      </c>
      <c r="C208" s="513" t="s">
        <v>1650</v>
      </c>
      <c r="D208" s="166" t="s">
        <v>211</v>
      </c>
      <c r="E208" s="173"/>
      <c r="F208" s="174"/>
    </row>
    <row r="209" spans="2:6" s="165" customFormat="1" ht="15.4" customHeight="1" outlineLevel="1" x14ac:dyDescent="0.2">
      <c r="B209" s="60" t="s">
        <v>3827</v>
      </c>
      <c r="C209" s="513" t="s">
        <v>1651</v>
      </c>
      <c r="D209" s="166" t="s">
        <v>211</v>
      </c>
      <c r="E209" s="173"/>
      <c r="F209" s="174"/>
    </row>
    <row r="210" spans="2:6" s="165" customFormat="1" ht="15.4" customHeight="1" outlineLevel="1" x14ac:dyDescent="0.2">
      <c r="B210" s="60" t="s">
        <v>3828</v>
      </c>
      <c r="C210" s="513" t="s">
        <v>1652</v>
      </c>
      <c r="D210" s="166" t="s">
        <v>211</v>
      </c>
      <c r="E210" s="173"/>
      <c r="F210" s="174"/>
    </row>
    <row r="211" spans="2:6" s="165" customFormat="1" ht="15.4" customHeight="1" outlineLevel="1" x14ac:dyDescent="0.2">
      <c r="B211" s="60" t="s">
        <v>3829</v>
      </c>
      <c r="C211" s="513" t="s">
        <v>1653</v>
      </c>
      <c r="D211" s="166" t="s">
        <v>211</v>
      </c>
      <c r="E211" s="173"/>
      <c r="F211" s="174"/>
    </row>
    <row r="212" spans="2:6" s="165" customFormat="1" ht="15.4" customHeight="1" outlineLevel="1" x14ac:dyDescent="0.2">
      <c r="B212" s="60" t="s">
        <v>3830</v>
      </c>
      <c r="C212" s="513" t="s">
        <v>1654</v>
      </c>
      <c r="D212" s="166" t="s">
        <v>211</v>
      </c>
      <c r="E212" s="173"/>
      <c r="F212" s="174"/>
    </row>
    <row r="213" spans="2:6" s="165" customFormat="1" ht="15.4" customHeight="1" outlineLevel="1" x14ac:dyDescent="0.2">
      <c r="B213" s="60" t="s">
        <v>3831</v>
      </c>
      <c r="C213" s="513" t="s">
        <v>1655</v>
      </c>
      <c r="D213" s="166" t="s">
        <v>211</v>
      </c>
      <c r="E213" s="173"/>
      <c r="F213" s="174"/>
    </row>
    <row r="214" spans="2:6" s="165" customFormat="1" ht="15.4" customHeight="1" outlineLevel="1" x14ac:dyDescent="0.2">
      <c r="B214" s="60" t="s">
        <v>3832</v>
      </c>
      <c r="C214" s="513" t="s">
        <v>1656</v>
      </c>
      <c r="D214" s="166" t="s">
        <v>211</v>
      </c>
      <c r="E214" s="173"/>
      <c r="F214" s="174"/>
    </row>
    <row r="215" spans="2:6" s="165" customFormat="1" ht="15.4" customHeight="1" outlineLevel="1" x14ac:dyDescent="0.2">
      <c r="B215" s="60" t="s">
        <v>3833</v>
      </c>
      <c r="C215" s="513" t="s">
        <v>1657</v>
      </c>
      <c r="D215" s="166" t="s">
        <v>211</v>
      </c>
      <c r="E215" s="173"/>
      <c r="F215" s="174"/>
    </row>
    <row r="216" spans="2:6" s="165" customFormat="1" ht="15.4" customHeight="1" outlineLevel="1" x14ac:dyDescent="0.2">
      <c r="B216" s="60" t="s">
        <v>3834</v>
      </c>
      <c r="C216" s="513" t="s">
        <v>1658</v>
      </c>
      <c r="D216" s="166" t="s">
        <v>211</v>
      </c>
      <c r="E216" s="173"/>
      <c r="F216" s="174"/>
    </row>
    <row r="217" spans="2:6" s="165" customFormat="1" ht="15.4" customHeight="1" outlineLevel="1" x14ac:dyDescent="0.2">
      <c r="B217" s="60" t="s">
        <v>3835</v>
      </c>
      <c r="C217" s="513" t="s">
        <v>1659</v>
      </c>
      <c r="D217" s="166" t="s">
        <v>211</v>
      </c>
      <c r="E217" s="173"/>
      <c r="F217" s="174"/>
    </row>
    <row r="218" spans="2:6" s="165" customFormat="1" ht="15.4" customHeight="1" outlineLevel="1" x14ac:dyDescent="0.2">
      <c r="B218" s="60" t="s">
        <v>3836</v>
      </c>
      <c r="C218" s="513" t="s">
        <v>1660</v>
      </c>
      <c r="D218" s="166" t="s">
        <v>211</v>
      </c>
      <c r="E218" s="173"/>
      <c r="F218" s="174"/>
    </row>
    <row r="219" spans="2:6" s="165" customFormat="1" ht="15.4" customHeight="1" outlineLevel="1" x14ac:dyDescent="0.2">
      <c r="B219" s="60" t="s">
        <v>3837</v>
      </c>
      <c r="C219" s="513" t="s">
        <v>1661</v>
      </c>
      <c r="D219" s="166" t="s">
        <v>211</v>
      </c>
      <c r="E219" s="173"/>
      <c r="F219" s="174"/>
    </row>
    <row r="220" spans="2:6" s="165" customFormat="1" ht="15.4" customHeight="1" outlineLevel="1" x14ac:dyDescent="0.2">
      <c r="B220" s="60" t="s">
        <v>3838</v>
      </c>
      <c r="C220" s="513" t="s">
        <v>1662</v>
      </c>
      <c r="D220" s="166" t="s">
        <v>211</v>
      </c>
      <c r="E220" s="173"/>
      <c r="F220" s="174"/>
    </row>
    <row r="221" spans="2:6" s="165" customFormat="1" ht="15.4" customHeight="1" outlineLevel="1" x14ac:dyDescent="0.2">
      <c r="B221" s="60" t="s">
        <v>3839</v>
      </c>
      <c r="C221" s="513" t="s">
        <v>1663</v>
      </c>
      <c r="D221" s="166" t="s">
        <v>211</v>
      </c>
      <c r="E221" s="173"/>
      <c r="F221" s="174"/>
    </row>
    <row r="222" spans="2:6" s="138" customFormat="1" ht="15" customHeight="1" x14ac:dyDescent="0.2">
      <c r="B222" s="60" t="s">
        <v>3840</v>
      </c>
      <c r="C222" s="514" t="s">
        <v>494</v>
      </c>
      <c r="D222" s="164" t="s">
        <v>212</v>
      </c>
      <c r="E222" s="636">
        <f>SUM(E223:E242)</f>
        <v>0</v>
      </c>
      <c r="F222" s="637">
        <f>SUM(F223:F242)</f>
        <v>0</v>
      </c>
    </row>
    <row r="223" spans="2:6" s="165" customFormat="1" ht="15.4" customHeight="1" outlineLevel="1" x14ac:dyDescent="0.2">
      <c r="B223" s="60" t="s">
        <v>3841</v>
      </c>
      <c r="C223" s="513" t="s">
        <v>1664</v>
      </c>
      <c r="D223" s="166" t="s">
        <v>211</v>
      </c>
      <c r="E223" s="173"/>
      <c r="F223" s="174"/>
    </row>
    <row r="224" spans="2:6" s="165" customFormat="1" ht="15.4" customHeight="1" outlineLevel="1" x14ac:dyDescent="0.2">
      <c r="B224" s="60" t="s">
        <v>3842</v>
      </c>
      <c r="C224" s="513" t="s">
        <v>1665</v>
      </c>
      <c r="D224" s="166" t="s">
        <v>211</v>
      </c>
      <c r="E224" s="173"/>
      <c r="F224" s="174"/>
    </row>
    <row r="225" spans="2:6" s="165" customFormat="1" ht="15.4" customHeight="1" outlineLevel="1" x14ac:dyDescent="0.2">
      <c r="B225" s="60" t="s">
        <v>3843</v>
      </c>
      <c r="C225" s="513" t="s">
        <v>1666</v>
      </c>
      <c r="D225" s="166" t="s">
        <v>211</v>
      </c>
      <c r="E225" s="173"/>
      <c r="F225" s="174"/>
    </row>
    <row r="226" spans="2:6" s="165" customFormat="1" ht="15.4" customHeight="1" outlineLevel="1" x14ac:dyDescent="0.2">
      <c r="B226" s="60" t="s">
        <v>3844</v>
      </c>
      <c r="C226" s="513" t="s">
        <v>1667</v>
      </c>
      <c r="D226" s="166" t="s">
        <v>211</v>
      </c>
      <c r="E226" s="173"/>
      <c r="F226" s="174"/>
    </row>
    <row r="227" spans="2:6" s="165" customFormat="1" ht="15.4" customHeight="1" outlineLevel="1" x14ac:dyDescent="0.2">
      <c r="B227" s="60" t="s">
        <v>3845</v>
      </c>
      <c r="C227" s="513" t="s">
        <v>1668</v>
      </c>
      <c r="D227" s="166" t="s">
        <v>211</v>
      </c>
      <c r="E227" s="173"/>
      <c r="F227" s="174"/>
    </row>
    <row r="228" spans="2:6" s="165" customFormat="1" ht="15.4" customHeight="1" outlineLevel="1" x14ac:dyDescent="0.2">
      <c r="B228" s="60" t="s">
        <v>3846</v>
      </c>
      <c r="C228" s="513" t="s">
        <v>1669</v>
      </c>
      <c r="D228" s="166" t="s">
        <v>211</v>
      </c>
      <c r="E228" s="173"/>
      <c r="F228" s="174"/>
    </row>
    <row r="229" spans="2:6" s="165" customFormat="1" ht="15.4" customHeight="1" outlineLevel="1" x14ac:dyDescent="0.2">
      <c r="B229" s="60" t="s">
        <v>3847</v>
      </c>
      <c r="C229" s="513" t="s">
        <v>1670</v>
      </c>
      <c r="D229" s="166" t="s">
        <v>211</v>
      </c>
      <c r="E229" s="173"/>
      <c r="F229" s="174"/>
    </row>
    <row r="230" spans="2:6" s="165" customFormat="1" ht="15.4" customHeight="1" outlineLevel="1" x14ac:dyDescent="0.2">
      <c r="B230" s="60" t="s">
        <v>3848</v>
      </c>
      <c r="C230" s="513" t="s">
        <v>1671</v>
      </c>
      <c r="D230" s="166" t="s">
        <v>211</v>
      </c>
      <c r="E230" s="173"/>
      <c r="F230" s="174"/>
    </row>
    <row r="231" spans="2:6" s="165" customFormat="1" ht="15.4" customHeight="1" outlineLevel="1" x14ac:dyDescent="0.2">
      <c r="B231" s="60" t="s">
        <v>3849</v>
      </c>
      <c r="C231" s="513" t="s">
        <v>1672</v>
      </c>
      <c r="D231" s="166" t="s">
        <v>211</v>
      </c>
      <c r="E231" s="173"/>
      <c r="F231" s="174"/>
    </row>
    <row r="232" spans="2:6" s="165" customFormat="1" ht="15.4" customHeight="1" outlineLevel="1" x14ac:dyDescent="0.2">
      <c r="B232" s="60" t="s">
        <v>3850</v>
      </c>
      <c r="C232" s="513" t="s">
        <v>1673</v>
      </c>
      <c r="D232" s="166" t="s">
        <v>211</v>
      </c>
      <c r="E232" s="173"/>
      <c r="F232" s="174"/>
    </row>
    <row r="233" spans="2:6" s="165" customFormat="1" ht="15.4" customHeight="1" outlineLevel="1" x14ac:dyDescent="0.2">
      <c r="B233" s="60" t="s">
        <v>3851</v>
      </c>
      <c r="C233" s="513" t="s">
        <v>1674</v>
      </c>
      <c r="D233" s="166" t="s">
        <v>211</v>
      </c>
      <c r="E233" s="173"/>
      <c r="F233" s="174"/>
    </row>
    <row r="234" spans="2:6" s="165" customFormat="1" ht="15.4" customHeight="1" outlineLevel="1" x14ac:dyDescent="0.2">
      <c r="B234" s="60" t="s">
        <v>3852</v>
      </c>
      <c r="C234" s="513" t="s">
        <v>1675</v>
      </c>
      <c r="D234" s="166" t="s">
        <v>211</v>
      </c>
      <c r="E234" s="173"/>
      <c r="F234" s="174"/>
    </row>
    <row r="235" spans="2:6" s="165" customFormat="1" ht="15.4" customHeight="1" outlineLevel="1" x14ac:dyDescent="0.2">
      <c r="B235" s="60" t="s">
        <v>3853</v>
      </c>
      <c r="C235" s="513" t="s">
        <v>1676</v>
      </c>
      <c r="D235" s="166" t="s">
        <v>211</v>
      </c>
      <c r="E235" s="173"/>
      <c r="F235" s="174"/>
    </row>
    <row r="236" spans="2:6" s="165" customFormat="1" ht="15.4" customHeight="1" outlineLevel="1" x14ac:dyDescent="0.2">
      <c r="B236" s="60" t="s">
        <v>3854</v>
      </c>
      <c r="C236" s="513" t="s">
        <v>1677</v>
      </c>
      <c r="D236" s="166" t="s">
        <v>211</v>
      </c>
      <c r="E236" s="173"/>
      <c r="F236" s="174"/>
    </row>
    <row r="237" spans="2:6" s="165" customFormat="1" ht="15.4" customHeight="1" outlineLevel="1" x14ac:dyDescent="0.2">
      <c r="B237" s="60" t="s">
        <v>3855</v>
      </c>
      <c r="C237" s="513" t="s">
        <v>1678</v>
      </c>
      <c r="D237" s="166" t="s">
        <v>211</v>
      </c>
      <c r="E237" s="173"/>
      <c r="F237" s="174"/>
    </row>
    <row r="238" spans="2:6" s="165" customFormat="1" ht="15.4" customHeight="1" outlineLevel="1" x14ac:dyDescent="0.2">
      <c r="B238" s="60" t="s">
        <v>3856</v>
      </c>
      <c r="C238" s="513" t="s">
        <v>1679</v>
      </c>
      <c r="D238" s="166" t="s">
        <v>211</v>
      </c>
      <c r="E238" s="173"/>
      <c r="F238" s="174"/>
    </row>
    <row r="239" spans="2:6" s="165" customFormat="1" ht="15.4" customHeight="1" outlineLevel="1" x14ac:dyDescent="0.2">
      <c r="B239" s="60" t="s">
        <v>3857</v>
      </c>
      <c r="C239" s="513" t="s">
        <v>1680</v>
      </c>
      <c r="D239" s="166" t="s">
        <v>211</v>
      </c>
      <c r="E239" s="173"/>
      <c r="F239" s="174"/>
    </row>
    <row r="240" spans="2:6" s="165" customFormat="1" ht="15.4" customHeight="1" outlineLevel="1" x14ac:dyDescent="0.2">
      <c r="B240" s="60" t="s">
        <v>3858</v>
      </c>
      <c r="C240" s="513" t="s">
        <v>1681</v>
      </c>
      <c r="D240" s="166" t="s">
        <v>211</v>
      </c>
      <c r="E240" s="173"/>
      <c r="F240" s="174"/>
    </row>
    <row r="241" spans="2:6" s="165" customFormat="1" ht="15.4" customHeight="1" outlineLevel="1" x14ac:dyDescent="0.2">
      <c r="B241" s="60" t="s">
        <v>3859</v>
      </c>
      <c r="C241" s="513" t="s">
        <v>1682</v>
      </c>
      <c r="D241" s="166" t="s">
        <v>211</v>
      </c>
      <c r="E241" s="173"/>
      <c r="F241" s="174"/>
    </row>
    <row r="242" spans="2:6" s="165" customFormat="1" ht="15.4" customHeight="1" outlineLevel="1" x14ac:dyDescent="0.2">
      <c r="B242" s="60" t="s">
        <v>3860</v>
      </c>
      <c r="C242" s="513" t="s">
        <v>1683</v>
      </c>
      <c r="D242" s="166" t="s">
        <v>211</v>
      </c>
      <c r="E242" s="173"/>
      <c r="F242" s="174"/>
    </row>
    <row r="243" spans="2:6" s="138" customFormat="1" ht="15" customHeight="1" x14ac:dyDescent="0.2">
      <c r="B243" s="60" t="s">
        <v>3861</v>
      </c>
      <c r="C243" s="514" t="s">
        <v>495</v>
      </c>
      <c r="D243" s="164" t="s">
        <v>244</v>
      </c>
      <c r="E243" s="636">
        <f>SUM(E244:E263)</f>
        <v>0</v>
      </c>
      <c r="F243" s="637">
        <f>SUM(F244:F263)</f>
        <v>0</v>
      </c>
    </row>
    <row r="244" spans="2:6" s="165" customFormat="1" ht="15.4" customHeight="1" outlineLevel="1" x14ac:dyDescent="0.2">
      <c r="B244" s="60" t="s">
        <v>3862</v>
      </c>
      <c r="C244" s="513" t="s">
        <v>2431</v>
      </c>
      <c r="D244" s="166" t="s">
        <v>211</v>
      </c>
      <c r="E244" s="173"/>
      <c r="F244" s="174"/>
    </row>
    <row r="245" spans="2:6" s="165" customFormat="1" ht="15.4" customHeight="1" outlineLevel="1" x14ac:dyDescent="0.2">
      <c r="B245" s="60" t="s">
        <v>3863</v>
      </c>
      <c r="C245" s="513" t="s">
        <v>2432</v>
      </c>
      <c r="D245" s="166" t="s">
        <v>211</v>
      </c>
      <c r="E245" s="173"/>
      <c r="F245" s="174"/>
    </row>
    <row r="246" spans="2:6" s="165" customFormat="1" ht="15.4" customHeight="1" outlineLevel="1" x14ac:dyDescent="0.2">
      <c r="B246" s="60" t="s">
        <v>3864</v>
      </c>
      <c r="C246" s="513" t="s">
        <v>2433</v>
      </c>
      <c r="D246" s="166" t="s">
        <v>211</v>
      </c>
      <c r="E246" s="173"/>
      <c r="F246" s="174"/>
    </row>
    <row r="247" spans="2:6" s="165" customFormat="1" ht="15.4" customHeight="1" outlineLevel="1" x14ac:dyDescent="0.2">
      <c r="B247" s="60" t="s">
        <v>3865</v>
      </c>
      <c r="C247" s="513" t="s">
        <v>2434</v>
      </c>
      <c r="D247" s="166" t="s">
        <v>211</v>
      </c>
      <c r="E247" s="173"/>
      <c r="F247" s="174"/>
    </row>
    <row r="248" spans="2:6" s="165" customFormat="1" ht="15.4" customHeight="1" outlineLevel="1" x14ac:dyDescent="0.2">
      <c r="B248" s="60" t="s">
        <v>3866</v>
      </c>
      <c r="C248" s="513" t="s">
        <v>2435</v>
      </c>
      <c r="D248" s="166" t="s">
        <v>211</v>
      </c>
      <c r="E248" s="173"/>
      <c r="F248" s="174"/>
    </row>
    <row r="249" spans="2:6" s="165" customFormat="1" ht="15.4" customHeight="1" outlineLevel="1" x14ac:dyDescent="0.2">
      <c r="B249" s="60" t="s">
        <v>3867</v>
      </c>
      <c r="C249" s="513" t="s">
        <v>2436</v>
      </c>
      <c r="D249" s="166" t="s">
        <v>211</v>
      </c>
      <c r="E249" s="173"/>
      <c r="F249" s="174"/>
    </row>
    <row r="250" spans="2:6" s="165" customFormat="1" ht="15.4" customHeight="1" outlineLevel="1" x14ac:dyDescent="0.2">
      <c r="B250" s="60" t="s">
        <v>3868</v>
      </c>
      <c r="C250" s="513" t="s">
        <v>2437</v>
      </c>
      <c r="D250" s="166" t="s">
        <v>211</v>
      </c>
      <c r="E250" s="173"/>
      <c r="F250" s="174"/>
    </row>
    <row r="251" spans="2:6" s="165" customFormat="1" ht="15.4" customHeight="1" outlineLevel="1" x14ac:dyDescent="0.2">
      <c r="B251" s="60" t="s">
        <v>3869</v>
      </c>
      <c r="C251" s="513" t="s">
        <v>2438</v>
      </c>
      <c r="D251" s="166" t="s">
        <v>211</v>
      </c>
      <c r="E251" s="173"/>
      <c r="F251" s="174"/>
    </row>
    <row r="252" spans="2:6" s="165" customFormat="1" ht="15.4" customHeight="1" outlineLevel="1" x14ac:dyDescent="0.2">
      <c r="B252" s="60" t="s">
        <v>3870</v>
      </c>
      <c r="C252" s="513" t="s">
        <v>2439</v>
      </c>
      <c r="D252" s="166" t="s">
        <v>211</v>
      </c>
      <c r="E252" s="173"/>
      <c r="F252" s="174"/>
    </row>
    <row r="253" spans="2:6" s="165" customFormat="1" ht="15.4" customHeight="1" outlineLevel="1" x14ac:dyDescent="0.2">
      <c r="B253" s="60" t="s">
        <v>3871</v>
      </c>
      <c r="C253" s="513" t="s">
        <v>2440</v>
      </c>
      <c r="D253" s="166" t="s">
        <v>211</v>
      </c>
      <c r="E253" s="173"/>
      <c r="F253" s="174"/>
    </row>
    <row r="254" spans="2:6" s="165" customFormat="1" ht="15.4" customHeight="1" outlineLevel="1" x14ac:dyDescent="0.2">
      <c r="B254" s="60" t="s">
        <v>3872</v>
      </c>
      <c r="C254" s="513" t="s">
        <v>2441</v>
      </c>
      <c r="D254" s="166" t="s">
        <v>211</v>
      </c>
      <c r="E254" s="173"/>
      <c r="F254" s="174"/>
    </row>
    <row r="255" spans="2:6" s="165" customFormat="1" ht="15.4" customHeight="1" outlineLevel="1" x14ac:dyDescent="0.2">
      <c r="B255" s="60" t="s">
        <v>3873</v>
      </c>
      <c r="C255" s="513" t="s">
        <v>2442</v>
      </c>
      <c r="D255" s="166" t="s">
        <v>211</v>
      </c>
      <c r="E255" s="173"/>
      <c r="F255" s="174"/>
    </row>
    <row r="256" spans="2:6" s="165" customFormat="1" ht="15.4" customHeight="1" outlineLevel="1" x14ac:dyDescent="0.2">
      <c r="B256" s="60" t="s">
        <v>3874</v>
      </c>
      <c r="C256" s="513" t="s">
        <v>2443</v>
      </c>
      <c r="D256" s="166" t="s">
        <v>211</v>
      </c>
      <c r="E256" s="173"/>
      <c r="F256" s="174"/>
    </row>
    <row r="257" spans="2:6" s="165" customFormat="1" ht="15.4" customHeight="1" outlineLevel="1" x14ac:dyDescent="0.2">
      <c r="B257" s="60" t="s">
        <v>3875</v>
      </c>
      <c r="C257" s="513" t="s">
        <v>2444</v>
      </c>
      <c r="D257" s="166" t="s">
        <v>211</v>
      </c>
      <c r="E257" s="173"/>
      <c r="F257" s="174"/>
    </row>
    <row r="258" spans="2:6" s="165" customFormat="1" ht="15.4" customHeight="1" outlineLevel="1" x14ac:dyDescent="0.2">
      <c r="B258" s="60" t="s">
        <v>3876</v>
      </c>
      <c r="C258" s="513" t="s">
        <v>2445</v>
      </c>
      <c r="D258" s="166" t="s">
        <v>211</v>
      </c>
      <c r="E258" s="173"/>
      <c r="F258" s="174"/>
    </row>
    <row r="259" spans="2:6" s="165" customFormat="1" ht="15.4" customHeight="1" outlineLevel="1" x14ac:dyDescent="0.2">
      <c r="B259" s="60" t="s">
        <v>3877</v>
      </c>
      <c r="C259" s="513" t="s">
        <v>2446</v>
      </c>
      <c r="D259" s="166" t="s">
        <v>211</v>
      </c>
      <c r="E259" s="173"/>
      <c r="F259" s="174"/>
    </row>
    <row r="260" spans="2:6" s="165" customFormat="1" ht="15.4" customHeight="1" outlineLevel="1" x14ac:dyDescent="0.2">
      <c r="B260" s="60" t="s">
        <v>3878</v>
      </c>
      <c r="C260" s="513" t="s">
        <v>2447</v>
      </c>
      <c r="D260" s="166" t="s">
        <v>211</v>
      </c>
      <c r="E260" s="173"/>
      <c r="F260" s="174"/>
    </row>
    <row r="261" spans="2:6" s="165" customFormat="1" ht="15.4" customHeight="1" outlineLevel="1" x14ac:dyDescent="0.2">
      <c r="B261" s="60" t="s">
        <v>3879</v>
      </c>
      <c r="C261" s="513" t="s">
        <v>2448</v>
      </c>
      <c r="D261" s="166" t="s">
        <v>211</v>
      </c>
      <c r="E261" s="173"/>
      <c r="F261" s="174"/>
    </row>
    <row r="262" spans="2:6" s="165" customFormat="1" ht="15.4" customHeight="1" outlineLevel="1" x14ac:dyDescent="0.2">
      <c r="B262" s="60" t="s">
        <v>3880</v>
      </c>
      <c r="C262" s="513" t="s">
        <v>2449</v>
      </c>
      <c r="D262" s="166" t="s">
        <v>211</v>
      </c>
      <c r="E262" s="173"/>
      <c r="F262" s="174"/>
    </row>
    <row r="263" spans="2:6" s="165" customFormat="1" ht="15.4" customHeight="1" outlineLevel="1" x14ac:dyDescent="0.2">
      <c r="B263" s="60" t="s">
        <v>3881</v>
      </c>
      <c r="C263" s="513" t="s">
        <v>2450</v>
      </c>
      <c r="D263" s="166" t="s">
        <v>211</v>
      </c>
      <c r="E263" s="173"/>
      <c r="F263" s="174"/>
    </row>
    <row r="264" spans="2:6" s="138" customFormat="1" ht="15" customHeight="1" x14ac:dyDescent="0.2">
      <c r="B264" s="60" t="s">
        <v>3882</v>
      </c>
      <c r="C264" s="514" t="s">
        <v>496</v>
      </c>
      <c r="D264" s="164" t="s">
        <v>4668</v>
      </c>
      <c r="E264" s="636">
        <f>SUM(E265:E284)</f>
        <v>0</v>
      </c>
      <c r="F264" s="637">
        <f>SUM(F265:F284)</f>
        <v>0</v>
      </c>
    </row>
    <row r="265" spans="2:6" s="165" customFormat="1" ht="15.4" customHeight="1" outlineLevel="1" x14ac:dyDescent="0.2">
      <c r="B265" s="60" t="s">
        <v>3883</v>
      </c>
      <c r="C265" s="513" t="s">
        <v>2451</v>
      </c>
      <c r="D265" s="166" t="s">
        <v>211</v>
      </c>
      <c r="E265" s="173"/>
      <c r="F265" s="174"/>
    </row>
    <row r="266" spans="2:6" s="165" customFormat="1" ht="15.4" customHeight="1" outlineLevel="1" x14ac:dyDescent="0.2">
      <c r="B266" s="60" t="s">
        <v>3884</v>
      </c>
      <c r="C266" s="513" t="s">
        <v>2452</v>
      </c>
      <c r="D266" s="166" t="s">
        <v>211</v>
      </c>
      <c r="E266" s="173"/>
      <c r="F266" s="174"/>
    </row>
    <row r="267" spans="2:6" s="165" customFormat="1" ht="15.4" customHeight="1" outlineLevel="1" x14ac:dyDescent="0.2">
      <c r="B267" s="60" t="s">
        <v>3885</v>
      </c>
      <c r="C267" s="513" t="s">
        <v>2453</v>
      </c>
      <c r="D267" s="166" t="s">
        <v>211</v>
      </c>
      <c r="E267" s="173"/>
      <c r="F267" s="174"/>
    </row>
    <row r="268" spans="2:6" s="165" customFormat="1" ht="15.4" customHeight="1" outlineLevel="1" x14ac:dyDescent="0.2">
      <c r="B268" s="60" t="s">
        <v>3886</v>
      </c>
      <c r="C268" s="513" t="s">
        <v>2454</v>
      </c>
      <c r="D268" s="166" t="s">
        <v>211</v>
      </c>
      <c r="E268" s="173"/>
      <c r="F268" s="174"/>
    </row>
    <row r="269" spans="2:6" s="165" customFormat="1" ht="15.4" customHeight="1" outlineLevel="1" x14ac:dyDescent="0.2">
      <c r="B269" s="60" t="s">
        <v>3887</v>
      </c>
      <c r="C269" s="513" t="s">
        <v>2455</v>
      </c>
      <c r="D269" s="166" t="s">
        <v>211</v>
      </c>
      <c r="E269" s="173"/>
      <c r="F269" s="174"/>
    </row>
    <row r="270" spans="2:6" s="165" customFormat="1" ht="15.4" customHeight="1" outlineLevel="1" x14ac:dyDescent="0.2">
      <c r="B270" s="60" t="s">
        <v>3888</v>
      </c>
      <c r="C270" s="513" t="s">
        <v>2456</v>
      </c>
      <c r="D270" s="166" t="s">
        <v>211</v>
      </c>
      <c r="E270" s="173"/>
      <c r="F270" s="174"/>
    </row>
    <row r="271" spans="2:6" s="165" customFormat="1" ht="15.4" customHeight="1" outlineLevel="1" x14ac:dyDescent="0.2">
      <c r="B271" s="60" t="s">
        <v>3889</v>
      </c>
      <c r="C271" s="513" t="s">
        <v>2457</v>
      </c>
      <c r="D271" s="166" t="s">
        <v>211</v>
      </c>
      <c r="E271" s="173"/>
      <c r="F271" s="174"/>
    </row>
    <row r="272" spans="2:6" s="165" customFormat="1" ht="15.4" customHeight="1" outlineLevel="1" x14ac:dyDescent="0.2">
      <c r="B272" s="60" t="s">
        <v>3890</v>
      </c>
      <c r="C272" s="513" t="s">
        <v>2458</v>
      </c>
      <c r="D272" s="166" t="s">
        <v>211</v>
      </c>
      <c r="E272" s="173"/>
      <c r="F272" s="174"/>
    </row>
    <row r="273" spans="2:6" s="165" customFormat="1" ht="15.4" customHeight="1" outlineLevel="1" x14ac:dyDescent="0.2">
      <c r="B273" s="60" t="s">
        <v>3891</v>
      </c>
      <c r="C273" s="513" t="s">
        <v>2459</v>
      </c>
      <c r="D273" s="166" t="s">
        <v>211</v>
      </c>
      <c r="E273" s="173"/>
      <c r="F273" s="174"/>
    </row>
    <row r="274" spans="2:6" s="165" customFormat="1" ht="15.4" customHeight="1" outlineLevel="1" x14ac:dyDescent="0.2">
      <c r="B274" s="60" t="s">
        <v>3892</v>
      </c>
      <c r="C274" s="513" t="s">
        <v>2460</v>
      </c>
      <c r="D274" s="166" t="s">
        <v>211</v>
      </c>
      <c r="E274" s="173"/>
      <c r="F274" s="174"/>
    </row>
    <row r="275" spans="2:6" s="165" customFormat="1" ht="15.4" customHeight="1" outlineLevel="1" x14ac:dyDescent="0.2">
      <c r="B275" s="60" t="s">
        <v>3893</v>
      </c>
      <c r="C275" s="513" t="s">
        <v>2461</v>
      </c>
      <c r="D275" s="166" t="s">
        <v>211</v>
      </c>
      <c r="E275" s="173"/>
      <c r="F275" s="174"/>
    </row>
    <row r="276" spans="2:6" s="165" customFormat="1" ht="15.4" customHeight="1" outlineLevel="1" x14ac:dyDescent="0.2">
      <c r="B276" s="60" t="s">
        <v>3894</v>
      </c>
      <c r="C276" s="513" t="s">
        <v>2462</v>
      </c>
      <c r="D276" s="166" t="s">
        <v>211</v>
      </c>
      <c r="E276" s="173"/>
      <c r="F276" s="174"/>
    </row>
    <row r="277" spans="2:6" s="165" customFormat="1" ht="15.4" customHeight="1" outlineLevel="1" x14ac:dyDescent="0.2">
      <c r="B277" s="60" t="s">
        <v>3895</v>
      </c>
      <c r="C277" s="513" t="s">
        <v>2463</v>
      </c>
      <c r="D277" s="166" t="s">
        <v>211</v>
      </c>
      <c r="E277" s="173"/>
      <c r="F277" s="174"/>
    </row>
    <row r="278" spans="2:6" s="165" customFormat="1" ht="15.4" customHeight="1" outlineLevel="1" x14ac:dyDescent="0.2">
      <c r="B278" s="60" t="s">
        <v>3896</v>
      </c>
      <c r="C278" s="513" t="s">
        <v>2464</v>
      </c>
      <c r="D278" s="166" t="s">
        <v>211</v>
      </c>
      <c r="E278" s="173"/>
      <c r="F278" s="174"/>
    </row>
    <row r="279" spans="2:6" s="165" customFormat="1" ht="15.4" customHeight="1" outlineLevel="1" x14ac:dyDescent="0.2">
      <c r="B279" s="60" t="s">
        <v>3897</v>
      </c>
      <c r="C279" s="513" t="s">
        <v>2465</v>
      </c>
      <c r="D279" s="166" t="s">
        <v>211</v>
      </c>
      <c r="E279" s="173"/>
      <c r="F279" s="174"/>
    </row>
    <row r="280" spans="2:6" s="165" customFormat="1" ht="15.4" customHeight="1" outlineLevel="1" x14ac:dyDescent="0.2">
      <c r="B280" s="60" t="s">
        <v>3898</v>
      </c>
      <c r="C280" s="513" t="s">
        <v>2466</v>
      </c>
      <c r="D280" s="166" t="s">
        <v>211</v>
      </c>
      <c r="E280" s="173"/>
      <c r="F280" s="174"/>
    </row>
    <row r="281" spans="2:6" s="165" customFormat="1" ht="15.4" customHeight="1" outlineLevel="1" x14ac:dyDescent="0.2">
      <c r="B281" s="60" t="s">
        <v>3899</v>
      </c>
      <c r="C281" s="513" t="s">
        <v>2467</v>
      </c>
      <c r="D281" s="166" t="s">
        <v>211</v>
      </c>
      <c r="E281" s="173"/>
      <c r="F281" s="174"/>
    </row>
    <row r="282" spans="2:6" s="165" customFormat="1" ht="15.4" customHeight="1" outlineLevel="1" x14ac:dyDescent="0.2">
      <c r="B282" s="60" t="s">
        <v>3900</v>
      </c>
      <c r="C282" s="513" t="s">
        <v>2468</v>
      </c>
      <c r="D282" s="166" t="s">
        <v>211</v>
      </c>
      <c r="E282" s="173"/>
      <c r="F282" s="174"/>
    </row>
    <row r="283" spans="2:6" s="165" customFormat="1" ht="15.4" customHeight="1" outlineLevel="1" x14ac:dyDescent="0.2">
      <c r="B283" s="60" t="s">
        <v>3901</v>
      </c>
      <c r="C283" s="513" t="s">
        <v>2469</v>
      </c>
      <c r="D283" s="166" t="s">
        <v>211</v>
      </c>
      <c r="E283" s="173"/>
      <c r="F283" s="174"/>
    </row>
    <row r="284" spans="2:6" s="165" customFormat="1" ht="15.4" customHeight="1" outlineLevel="1" x14ac:dyDescent="0.2">
      <c r="B284" s="60" t="s">
        <v>3902</v>
      </c>
      <c r="C284" s="513" t="s">
        <v>2470</v>
      </c>
      <c r="D284" s="166" t="s">
        <v>211</v>
      </c>
      <c r="E284" s="173"/>
      <c r="F284" s="174"/>
    </row>
    <row r="285" spans="2:6" s="132" customFormat="1" ht="15" customHeight="1" x14ac:dyDescent="0.2">
      <c r="B285" s="60" t="s">
        <v>3903</v>
      </c>
      <c r="C285" s="511" t="s">
        <v>426</v>
      </c>
      <c r="D285" s="94" t="s">
        <v>213</v>
      </c>
      <c r="E285" s="635">
        <f>E286+E307+E328+E349+E370+E391</f>
        <v>0</v>
      </c>
      <c r="F285" s="638">
        <f>F286+F307+F328+F349+F370+F391</f>
        <v>0</v>
      </c>
    </row>
    <row r="286" spans="2:6" s="138" customFormat="1" ht="15" customHeight="1" x14ac:dyDescent="0.2">
      <c r="B286" s="60" t="s">
        <v>3904</v>
      </c>
      <c r="C286" s="514" t="s">
        <v>427</v>
      </c>
      <c r="D286" s="164" t="s">
        <v>245</v>
      </c>
      <c r="E286" s="636">
        <f>SUM(E287:E306)</f>
        <v>0</v>
      </c>
      <c r="F286" s="637">
        <f>SUM(F287:F306)</f>
        <v>0</v>
      </c>
    </row>
    <row r="287" spans="2:6" s="165" customFormat="1" ht="15.4" customHeight="1" outlineLevel="1" x14ac:dyDescent="0.2">
      <c r="B287" s="60" t="s">
        <v>3905</v>
      </c>
      <c r="C287" s="513" t="s">
        <v>443</v>
      </c>
      <c r="D287" s="166" t="s">
        <v>246</v>
      </c>
      <c r="E287" s="173"/>
      <c r="F287" s="174"/>
    </row>
    <row r="288" spans="2:6" s="165" customFormat="1" ht="15.4" customHeight="1" outlineLevel="1" x14ac:dyDescent="0.2">
      <c r="B288" s="60" t="s">
        <v>3906</v>
      </c>
      <c r="C288" s="513" t="s">
        <v>442</v>
      </c>
      <c r="D288" s="166" t="s">
        <v>246</v>
      </c>
      <c r="E288" s="173"/>
      <c r="F288" s="174"/>
    </row>
    <row r="289" spans="2:6" s="165" customFormat="1" ht="15.4" customHeight="1" outlineLevel="1" x14ac:dyDescent="0.2">
      <c r="B289" s="60" t="s">
        <v>3907</v>
      </c>
      <c r="C289" s="513" t="s">
        <v>460</v>
      </c>
      <c r="D289" s="166" t="s">
        <v>246</v>
      </c>
      <c r="E289" s="173"/>
      <c r="F289" s="174"/>
    </row>
    <row r="290" spans="2:6" s="165" customFormat="1" ht="15.4" customHeight="1" outlineLevel="1" x14ac:dyDescent="0.2">
      <c r="B290" s="60" t="s">
        <v>3908</v>
      </c>
      <c r="C290" s="513" t="s">
        <v>634</v>
      </c>
      <c r="D290" s="166" t="s">
        <v>246</v>
      </c>
      <c r="E290" s="173"/>
      <c r="F290" s="174"/>
    </row>
    <row r="291" spans="2:6" s="165" customFormat="1" ht="15.4" customHeight="1" outlineLevel="1" x14ac:dyDescent="0.2">
      <c r="B291" s="60" t="s">
        <v>3909</v>
      </c>
      <c r="C291" s="513" t="s">
        <v>635</v>
      </c>
      <c r="D291" s="166" t="s">
        <v>246</v>
      </c>
      <c r="E291" s="173"/>
      <c r="F291" s="174"/>
    </row>
    <row r="292" spans="2:6" s="165" customFormat="1" ht="15.4" customHeight="1" outlineLevel="1" x14ac:dyDescent="0.2">
      <c r="B292" s="60" t="s">
        <v>3910</v>
      </c>
      <c r="C292" s="513" t="s">
        <v>636</v>
      </c>
      <c r="D292" s="166" t="s">
        <v>246</v>
      </c>
      <c r="E292" s="173"/>
      <c r="F292" s="174"/>
    </row>
    <row r="293" spans="2:6" s="165" customFormat="1" ht="15.4" customHeight="1" outlineLevel="1" x14ac:dyDescent="0.2">
      <c r="B293" s="60" t="s">
        <v>3911</v>
      </c>
      <c r="C293" s="513" t="s">
        <v>637</v>
      </c>
      <c r="D293" s="166" t="s">
        <v>246</v>
      </c>
      <c r="E293" s="173"/>
      <c r="F293" s="174"/>
    </row>
    <row r="294" spans="2:6" s="165" customFormat="1" ht="15.4" customHeight="1" outlineLevel="1" x14ac:dyDescent="0.2">
      <c r="B294" s="60" t="s">
        <v>3912</v>
      </c>
      <c r="C294" s="513" t="s">
        <v>638</v>
      </c>
      <c r="D294" s="166" t="s">
        <v>246</v>
      </c>
      <c r="E294" s="173"/>
      <c r="F294" s="174"/>
    </row>
    <row r="295" spans="2:6" s="165" customFormat="1" ht="15.4" customHeight="1" outlineLevel="1" x14ac:dyDescent="0.2">
      <c r="B295" s="60" t="s">
        <v>3913</v>
      </c>
      <c r="C295" s="513" t="s">
        <v>639</v>
      </c>
      <c r="D295" s="166" t="s">
        <v>246</v>
      </c>
      <c r="E295" s="173"/>
      <c r="F295" s="174"/>
    </row>
    <row r="296" spans="2:6" s="165" customFormat="1" ht="15.4" customHeight="1" outlineLevel="1" x14ac:dyDescent="0.2">
      <c r="B296" s="60" t="s">
        <v>3914</v>
      </c>
      <c r="C296" s="513" t="s">
        <v>640</v>
      </c>
      <c r="D296" s="166" t="s">
        <v>246</v>
      </c>
      <c r="E296" s="173"/>
      <c r="F296" s="174"/>
    </row>
    <row r="297" spans="2:6" s="165" customFormat="1" ht="15.4" customHeight="1" outlineLevel="1" x14ac:dyDescent="0.2">
      <c r="B297" s="60" t="s">
        <v>3915</v>
      </c>
      <c r="C297" s="513" t="s">
        <v>641</v>
      </c>
      <c r="D297" s="166" t="s">
        <v>246</v>
      </c>
      <c r="E297" s="173"/>
      <c r="F297" s="174"/>
    </row>
    <row r="298" spans="2:6" s="165" customFormat="1" ht="15.4" customHeight="1" outlineLevel="1" x14ac:dyDescent="0.2">
      <c r="B298" s="60" t="s">
        <v>3916</v>
      </c>
      <c r="C298" s="513" t="s">
        <v>642</v>
      </c>
      <c r="D298" s="166" t="s">
        <v>246</v>
      </c>
      <c r="E298" s="173"/>
      <c r="F298" s="174"/>
    </row>
    <row r="299" spans="2:6" s="165" customFormat="1" ht="15.4" customHeight="1" outlineLevel="1" x14ac:dyDescent="0.2">
      <c r="B299" s="60" t="s">
        <v>3917</v>
      </c>
      <c r="C299" s="513" t="s">
        <v>643</v>
      </c>
      <c r="D299" s="166" t="s">
        <v>246</v>
      </c>
      <c r="E299" s="173"/>
      <c r="F299" s="174"/>
    </row>
    <row r="300" spans="2:6" s="165" customFormat="1" ht="15.4" customHeight="1" outlineLevel="1" x14ac:dyDescent="0.2">
      <c r="B300" s="60" t="s">
        <v>3918</v>
      </c>
      <c r="C300" s="513" t="s">
        <v>644</v>
      </c>
      <c r="D300" s="166" t="s">
        <v>246</v>
      </c>
      <c r="E300" s="173"/>
      <c r="F300" s="174"/>
    </row>
    <row r="301" spans="2:6" s="165" customFormat="1" ht="15.4" customHeight="1" outlineLevel="1" x14ac:dyDescent="0.2">
      <c r="B301" s="60" t="s">
        <v>3919</v>
      </c>
      <c r="C301" s="513" t="s">
        <v>645</v>
      </c>
      <c r="D301" s="166" t="s">
        <v>246</v>
      </c>
      <c r="E301" s="173"/>
      <c r="F301" s="174"/>
    </row>
    <row r="302" spans="2:6" s="165" customFormat="1" ht="15.4" customHeight="1" outlineLevel="1" x14ac:dyDescent="0.2">
      <c r="B302" s="60" t="s">
        <v>3920</v>
      </c>
      <c r="C302" s="513" t="s">
        <v>646</v>
      </c>
      <c r="D302" s="166" t="s">
        <v>246</v>
      </c>
      <c r="E302" s="173"/>
      <c r="F302" s="174"/>
    </row>
    <row r="303" spans="2:6" s="165" customFormat="1" ht="15.4" customHeight="1" outlineLevel="1" x14ac:dyDescent="0.2">
      <c r="B303" s="60" t="s">
        <v>3921</v>
      </c>
      <c r="C303" s="513" t="s">
        <v>647</v>
      </c>
      <c r="D303" s="166" t="s">
        <v>246</v>
      </c>
      <c r="E303" s="173"/>
      <c r="F303" s="174"/>
    </row>
    <row r="304" spans="2:6" s="165" customFormat="1" ht="15.4" customHeight="1" outlineLevel="1" x14ac:dyDescent="0.2">
      <c r="B304" s="60" t="s">
        <v>3922</v>
      </c>
      <c r="C304" s="513" t="s">
        <v>648</v>
      </c>
      <c r="D304" s="166" t="s">
        <v>246</v>
      </c>
      <c r="E304" s="173"/>
      <c r="F304" s="174"/>
    </row>
    <row r="305" spans="2:6" s="165" customFormat="1" ht="15.4" customHeight="1" outlineLevel="1" x14ac:dyDescent="0.2">
      <c r="B305" s="60" t="s">
        <v>3923</v>
      </c>
      <c r="C305" s="513" t="s">
        <v>649</v>
      </c>
      <c r="D305" s="166" t="s">
        <v>246</v>
      </c>
      <c r="E305" s="173"/>
      <c r="F305" s="174"/>
    </row>
    <row r="306" spans="2:6" s="165" customFormat="1" ht="15.4" customHeight="1" outlineLevel="1" x14ac:dyDescent="0.2">
      <c r="B306" s="60" t="s">
        <v>3924</v>
      </c>
      <c r="C306" s="513" t="s">
        <v>650</v>
      </c>
      <c r="D306" s="166" t="s">
        <v>246</v>
      </c>
      <c r="E306" s="173"/>
      <c r="F306" s="174"/>
    </row>
    <row r="307" spans="2:6" s="138" customFormat="1" ht="15" customHeight="1" x14ac:dyDescent="0.2">
      <c r="B307" s="60" t="s">
        <v>3925</v>
      </c>
      <c r="C307" s="514" t="s">
        <v>428</v>
      </c>
      <c r="D307" s="164" t="s">
        <v>2781</v>
      </c>
      <c r="E307" s="636">
        <f>SUM(E308:E327)</f>
        <v>0</v>
      </c>
      <c r="F307" s="637">
        <f>SUM(F308:F327)</f>
        <v>0</v>
      </c>
    </row>
    <row r="308" spans="2:6" s="165" customFormat="1" ht="15.4" customHeight="1" outlineLevel="1" x14ac:dyDescent="0.2">
      <c r="B308" s="60" t="s">
        <v>3926</v>
      </c>
      <c r="C308" s="513" t="s">
        <v>444</v>
      </c>
      <c r="D308" s="166" t="s">
        <v>246</v>
      </c>
      <c r="E308" s="173"/>
      <c r="F308" s="174"/>
    </row>
    <row r="309" spans="2:6" s="165" customFormat="1" ht="15.4" customHeight="1" outlineLevel="1" x14ac:dyDescent="0.2">
      <c r="B309" s="60" t="s">
        <v>3927</v>
      </c>
      <c r="C309" s="513" t="s">
        <v>445</v>
      </c>
      <c r="D309" s="166" t="s">
        <v>246</v>
      </c>
      <c r="E309" s="173"/>
      <c r="F309" s="174"/>
    </row>
    <row r="310" spans="2:6" s="165" customFormat="1" ht="15.4" customHeight="1" outlineLevel="1" x14ac:dyDescent="0.2">
      <c r="B310" s="60" t="s">
        <v>3928</v>
      </c>
      <c r="C310" s="513" t="s">
        <v>461</v>
      </c>
      <c r="D310" s="166" t="s">
        <v>246</v>
      </c>
      <c r="E310" s="173"/>
      <c r="F310" s="174"/>
    </row>
    <row r="311" spans="2:6" s="165" customFormat="1" ht="15.4" customHeight="1" outlineLevel="1" x14ac:dyDescent="0.2">
      <c r="B311" s="60" t="s">
        <v>3929</v>
      </c>
      <c r="C311" s="513" t="s">
        <v>651</v>
      </c>
      <c r="D311" s="166" t="s">
        <v>246</v>
      </c>
      <c r="E311" s="173"/>
      <c r="F311" s="174"/>
    </row>
    <row r="312" spans="2:6" s="165" customFormat="1" ht="15.4" customHeight="1" outlineLevel="1" x14ac:dyDescent="0.2">
      <c r="B312" s="60" t="s">
        <v>3930</v>
      </c>
      <c r="C312" s="513" t="s">
        <v>652</v>
      </c>
      <c r="D312" s="166" t="s">
        <v>246</v>
      </c>
      <c r="E312" s="173"/>
      <c r="F312" s="174"/>
    </row>
    <row r="313" spans="2:6" s="165" customFormat="1" ht="15.4" customHeight="1" outlineLevel="1" x14ac:dyDescent="0.2">
      <c r="B313" s="60" t="s">
        <v>3931</v>
      </c>
      <c r="C313" s="513" t="s">
        <v>653</v>
      </c>
      <c r="D313" s="166" t="s">
        <v>246</v>
      </c>
      <c r="E313" s="173"/>
      <c r="F313" s="174"/>
    </row>
    <row r="314" spans="2:6" s="165" customFormat="1" ht="15.4" customHeight="1" outlineLevel="1" x14ac:dyDescent="0.2">
      <c r="B314" s="60" t="s">
        <v>3932</v>
      </c>
      <c r="C314" s="513" t="s">
        <v>654</v>
      </c>
      <c r="D314" s="166" t="s">
        <v>246</v>
      </c>
      <c r="E314" s="173"/>
      <c r="F314" s="174"/>
    </row>
    <row r="315" spans="2:6" s="165" customFormat="1" ht="15.4" customHeight="1" outlineLevel="1" x14ac:dyDescent="0.2">
      <c r="B315" s="60" t="s">
        <v>3933</v>
      </c>
      <c r="C315" s="513" t="s">
        <v>655</v>
      </c>
      <c r="D315" s="166" t="s">
        <v>246</v>
      </c>
      <c r="E315" s="173"/>
      <c r="F315" s="174"/>
    </row>
    <row r="316" spans="2:6" s="165" customFormat="1" ht="15.4" customHeight="1" outlineLevel="1" x14ac:dyDescent="0.2">
      <c r="B316" s="60" t="s">
        <v>3934</v>
      </c>
      <c r="C316" s="513" t="s">
        <v>656</v>
      </c>
      <c r="D316" s="166" t="s">
        <v>246</v>
      </c>
      <c r="E316" s="173"/>
      <c r="F316" s="174"/>
    </row>
    <row r="317" spans="2:6" s="165" customFormat="1" ht="15.4" customHeight="1" outlineLevel="1" x14ac:dyDescent="0.2">
      <c r="B317" s="60" t="s">
        <v>3935</v>
      </c>
      <c r="C317" s="513" t="s">
        <v>657</v>
      </c>
      <c r="D317" s="166" t="s">
        <v>246</v>
      </c>
      <c r="E317" s="173"/>
      <c r="F317" s="174"/>
    </row>
    <row r="318" spans="2:6" s="165" customFormat="1" ht="15.4" customHeight="1" outlineLevel="1" x14ac:dyDescent="0.2">
      <c r="B318" s="60" t="s">
        <v>3936</v>
      </c>
      <c r="C318" s="513" t="s">
        <v>658</v>
      </c>
      <c r="D318" s="166" t="s">
        <v>246</v>
      </c>
      <c r="E318" s="173"/>
      <c r="F318" s="174"/>
    </row>
    <row r="319" spans="2:6" s="165" customFormat="1" ht="15.4" customHeight="1" outlineLevel="1" x14ac:dyDescent="0.2">
      <c r="B319" s="60" t="s">
        <v>3937</v>
      </c>
      <c r="C319" s="513" t="s">
        <v>659</v>
      </c>
      <c r="D319" s="166" t="s">
        <v>246</v>
      </c>
      <c r="E319" s="173"/>
      <c r="F319" s="174"/>
    </row>
    <row r="320" spans="2:6" s="165" customFormat="1" ht="15.4" customHeight="1" outlineLevel="1" x14ac:dyDescent="0.2">
      <c r="B320" s="60" t="s">
        <v>3938</v>
      </c>
      <c r="C320" s="513" t="s">
        <v>660</v>
      </c>
      <c r="D320" s="166" t="s">
        <v>246</v>
      </c>
      <c r="E320" s="173"/>
      <c r="F320" s="174"/>
    </row>
    <row r="321" spans="2:6" s="165" customFormat="1" ht="15.4" customHeight="1" outlineLevel="1" x14ac:dyDescent="0.2">
      <c r="B321" s="60" t="s">
        <v>3939</v>
      </c>
      <c r="C321" s="513" t="s">
        <v>661</v>
      </c>
      <c r="D321" s="166" t="s">
        <v>246</v>
      </c>
      <c r="E321" s="173"/>
      <c r="F321" s="174"/>
    </row>
    <row r="322" spans="2:6" s="165" customFormat="1" ht="15.4" customHeight="1" outlineLevel="1" x14ac:dyDescent="0.2">
      <c r="B322" s="60" t="s">
        <v>3940</v>
      </c>
      <c r="C322" s="513" t="s">
        <v>662</v>
      </c>
      <c r="D322" s="166" t="s">
        <v>246</v>
      </c>
      <c r="E322" s="173"/>
      <c r="F322" s="174"/>
    </row>
    <row r="323" spans="2:6" s="165" customFormat="1" ht="15.4" customHeight="1" outlineLevel="1" x14ac:dyDescent="0.2">
      <c r="B323" s="60" t="s">
        <v>3941</v>
      </c>
      <c r="C323" s="513" t="s">
        <v>663</v>
      </c>
      <c r="D323" s="166" t="s">
        <v>246</v>
      </c>
      <c r="E323" s="173"/>
      <c r="F323" s="174"/>
    </row>
    <row r="324" spans="2:6" s="165" customFormat="1" ht="15.4" customHeight="1" outlineLevel="1" x14ac:dyDescent="0.2">
      <c r="B324" s="60" t="s">
        <v>3942</v>
      </c>
      <c r="C324" s="513" t="s">
        <v>664</v>
      </c>
      <c r="D324" s="166" t="s">
        <v>246</v>
      </c>
      <c r="E324" s="173"/>
      <c r="F324" s="174"/>
    </row>
    <row r="325" spans="2:6" s="165" customFormat="1" ht="15.4" customHeight="1" outlineLevel="1" x14ac:dyDescent="0.2">
      <c r="B325" s="60" t="s">
        <v>3943</v>
      </c>
      <c r="C325" s="513" t="s">
        <v>665</v>
      </c>
      <c r="D325" s="166" t="s">
        <v>246</v>
      </c>
      <c r="E325" s="173"/>
      <c r="F325" s="174"/>
    </row>
    <row r="326" spans="2:6" s="165" customFormat="1" ht="15.4" customHeight="1" outlineLevel="1" x14ac:dyDescent="0.2">
      <c r="B326" s="60" t="s">
        <v>3944</v>
      </c>
      <c r="C326" s="513" t="s">
        <v>666</v>
      </c>
      <c r="D326" s="166" t="s">
        <v>246</v>
      </c>
      <c r="E326" s="173"/>
      <c r="F326" s="174"/>
    </row>
    <row r="327" spans="2:6" s="165" customFormat="1" ht="15.4" customHeight="1" outlineLevel="1" x14ac:dyDescent="0.2">
      <c r="B327" s="60" t="s">
        <v>3945</v>
      </c>
      <c r="C327" s="513" t="s">
        <v>667</v>
      </c>
      <c r="D327" s="166" t="s">
        <v>246</v>
      </c>
      <c r="E327" s="173"/>
      <c r="F327" s="174"/>
    </row>
    <row r="328" spans="2:6" s="138" customFormat="1" ht="15" customHeight="1" x14ac:dyDescent="0.2">
      <c r="B328" s="60" t="s">
        <v>3946</v>
      </c>
      <c r="C328" s="514" t="s">
        <v>439</v>
      </c>
      <c r="D328" s="164" t="s">
        <v>247</v>
      </c>
      <c r="E328" s="636">
        <f>SUM(E329:E348)</f>
        <v>0</v>
      </c>
      <c r="F328" s="637">
        <f>SUM(F329:F348)</f>
        <v>0</v>
      </c>
    </row>
    <row r="329" spans="2:6" s="165" customFormat="1" ht="15.4" customHeight="1" outlineLevel="1" x14ac:dyDescent="0.2">
      <c r="B329" s="60" t="s">
        <v>3947</v>
      </c>
      <c r="C329" s="513" t="s">
        <v>1684</v>
      </c>
      <c r="D329" s="166" t="s">
        <v>246</v>
      </c>
      <c r="E329" s="173"/>
      <c r="F329" s="174"/>
    </row>
    <row r="330" spans="2:6" s="165" customFormat="1" ht="15.4" customHeight="1" outlineLevel="1" x14ac:dyDescent="0.2">
      <c r="B330" s="60" t="s">
        <v>3948</v>
      </c>
      <c r="C330" s="513" t="s">
        <v>1685</v>
      </c>
      <c r="D330" s="166" t="s">
        <v>246</v>
      </c>
      <c r="E330" s="173"/>
      <c r="F330" s="174"/>
    </row>
    <row r="331" spans="2:6" s="165" customFormat="1" ht="15.4" customHeight="1" outlineLevel="1" x14ac:dyDescent="0.2">
      <c r="B331" s="60" t="s">
        <v>3949</v>
      </c>
      <c r="C331" s="513" t="s">
        <v>1686</v>
      </c>
      <c r="D331" s="166" t="s">
        <v>246</v>
      </c>
      <c r="E331" s="173"/>
      <c r="F331" s="174"/>
    </row>
    <row r="332" spans="2:6" s="165" customFormat="1" ht="15.4" customHeight="1" outlineLevel="1" x14ac:dyDescent="0.2">
      <c r="B332" s="60" t="s">
        <v>3950</v>
      </c>
      <c r="C332" s="513" t="s">
        <v>1687</v>
      </c>
      <c r="D332" s="166" t="s">
        <v>246</v>
      </c>
      <c r="E332" s="173"/>
      <c r="F332" s="174"/>
    </row>
    <row r="333" spans="2:6" s="165" customFormat="1" ht="15.4" customHeight="1" outlineLevel="1" x14ac:dyDescent="0.2">
      <c r="B333" s="60" t="s">
        <v>3951</v>
      </c>
      <c r="C333" s="513" t="s">
        <v>1688</v>
      </c>
      <c r="D333" s="166" t="s">
        <v>246</v>
      </c>
      <c r="E333" s="173"/>
      <c r="F333" s="174"/>
    </row>
    <row r="334" spans="2:6" s="165" customFormat="1" ht="15.4" customHeight="1" outlineLevel="1" x14ac:dyDescent="0.2">
      <c r="B334" s="60" t="s">
        <v>3952</v>
      </c>
      <c r="C334" s="513" t="s">
        <v>1689</v>
      </c>
      <c r="D334" s="166" t="s">
        <v>246</v>
      </c>
      <c r="E334" s="173"/>
      <c r="F334" s="174"/>
    </row>
    <row r="335" spans="2:6" s="165" customFormat="1" ht="15.4" customHeight="1" outlineLevel="1" x14ac:dyDescent="0.2">
      <c r="B335" s="60" t="s">
        <v>3953</v>
      </c>
      <c r="C335" s="513" t="s">
        <v>1690</v>
      </c>
      <c r="D335" s="166" t="s">
        <v>246</v>
      </c>
      <c r="E335" s="173"/>
      <c r="F335" s="174"/>
    </row>
    <row r="336" spans="2:6" s="165" customFormat="1" ht="15.4" customHeight="1" outlineLevel="1" x14ac:dyDescent="0.2">
      <c r="B336" s="60" t="s">
        <v>3954</v>
      </c>
      <c r="C336" s="513" t="s">
        <v>1691</v>
      </c>
      <c r="D336" s="166" t="s">
        <v>246</v>
      </c>
      <c r="E336" s="173"/>
      <c r="F336" s="174"/>
    </row>
    <row r="337" spans="2:6" s="165" customFormat="1" ht="15.4" customHeight="1" outlineLevel="1" x14ac:dyDescent="0.2">
      <c r="B337" s="60" t="s">
        <v>3955</v>
      </c>
      <c r="C337" s="513" t="s">
        <v>1692</v>
      </c>
      <c r="D337" s="166" t="s">
        <v>246</v>
      </c>
      <c r="E337" s="173"/>
      <c r="F337" s="174"/>
    </row>
    <row r="338" spans="2:6" s="165" customFormat="1" ht="15.4" customHeight="1" outlineLevel="1" x14ac:dyDescent="0.2">
      <c r="B338" s="60" t="s">
        <v>3956</v>
      </c>
      <c r="C338" s="513" t="s">
        <v>1693</v>
      </c>
      <c r="D338" s="166" t="s">
        <v>246</v>
      </c>
      <c r="E338" s="173"/>
      <c r="F338" s="174"/>
    </row>
    <row r="339" spans="2:6" s="165" customFormat="1" ht="15.4" customHeight="1" outlineLevel="1" x14ac:dyDescent="0.2">
      <c r="B339" s="60" t="s">
        <v>3957</v>
      </c>
      <c r="C339" s="513" t="s">
        <v>1694</v>
      </c>
      <c r="D339" s="166" t="s">
        <v>246</v>
      </c>
      <c r="E339" s="173"/>
      <c r="F339" s="174"/>
    </row>
    <row r="340" spans="2:6" s="165" customFormat="1" ht="15.4" customHeight="1" outlineLevel="1" x14ac:dyDescent="0.2">
      <c r="B340" s="60" t="s">
        <v>3958</v>
      </c>
      <c r="C340" s="513" t="s">
        <v>1695</v>
      </c>
      <c r="D340" s="166" t="s">
        <v>246</v>
      </c>
      <c r="E340" s="173"/>
      <c r="F340" s="174"/>
    </row>
    <row r="341" spans="2:6" s="165" customFormat="1" ht="15.4" customHeight="1" outlineLevel="1" x14ac:dyDescent="0.2">
      <c r="B341" s="60" t="s">
        <v>3959</v>
      </c>
      <c r="C341" s="513" t="s">
        <v>1696</v>
      </c>
      <c r="D341" s="166" t="s">
        <v>246</v>
      </c>
      <c r="E341" s="173"/>
      <c r="F341" s="174"/>
    </row>
    <row r="342" spans="2:6" s="165" customFormat="1" ht="15.4" customHeight="1" outlineLevel="1" x14ac:dyDescent="0.2">
      <c r="B342" s="60" t="s">
        <v>3960</v>
      </c>
      <c r="C342" s="513" t="s">
        <v>1697</v>
      </c>
      <c r="D342" s="166" t="s">
        <v>246</v>
      </c>
      <c r="E342" s="173"/>
      <c r="F342" s="174"/>
    </row>
    <row r="343" spans="2:6" s="165" customFormat="1" ht="15.4" customHeight="1" outlineLevel="1" x14ac:dyDescent="0.2">
      <c r="B343" s="60" t="s">
        <v>3961</v>
      </c>
      <c r="C343" s="513" t="s">
        <v>1698</v>
      </c>
      <c r="D343" s="166" t="s">
        <v>246</v>
      </c>
      <c r="E343" s="173"/>
      <c r="F343" s="174"/>
    </row>
    <row r="344" spans="2:6" s="165" customFormat="1" ht="15.4" customHeight="1" outlineLevel="1" x14ac:dyDescent="0.2">
      <c r="B344" s="60" t="s">
        <v>3962</v>
      </c>
      <c r="C344" s="513" t="s">
        <v>1699</v>
      </c>
      <c r="D344" s="166" t="s">
        <v>246</v>
      </c>
      <c r="E344" s="173"/>
      <c r="F344" s="174"/>
    </row>
    <row r="345" spans="2:6" s="165" customFormat="1" ht="15.4" customHeight="1" outlineLevel="1" x14ac:dyDescent="0.2">
      <c r="B345" s="60" t="s">
        <v>3963</v>
      </c>
      <c r="C345" s="513" t="s">
        <v>1700</v>
      </c>
      <c r="D345" s="166" t="s">
        <v>246</v>
      </c>
      <c r="E345" s="173"/>
      <c r="F345" s="174"/>
    </row>
    <row r="346" spans="2:6" s="165" customFormat="1" ht="15.4" customHeight="1" outlineLevel="1" x14ac:dyDescent="0.2">
      <c r="B346" s="60" t="s">
        <v>3964</v>
      </c>
      <c r="C346" s="513" t="s">
        <v>1701</v>
      </c>
      <c r="D346" s="166" t="s">
        <v>246</v>
      </c>
      <c r="E346" s="173"/>
      <c r="F346" s="174"/>
    </row>
    <row r="347" spans="2:6" s="165" customFormat="1" ht="15.4" customHeight="1" outlineLevel="1" x14ac:dyDescent="0.2">
      <c r="B347" s="60" t="s">
        <v>3965</v>
      </c>
      <c r="C347" s="513" t="s">
        <v>1702</v>
      </c>
      <c r="D347" s="166" t="s">
        <v>246</v>
      </c>
      <c r="E347" s="173"/>
      <c r="F347" s="174"/>
    </row>
    <row r="348" spans="2:6" s="165" customFormat="1" ht="15.4" customHeight="1" outlineLevel="1" x14ac:dyDescent="0.2">
      <c r="B348" s="60" t="s">
        <v>3966</v>
      </c>
      <c r="C348" s="513" t="s">
        <v>1703</v>
      </c>
      <c r="D348" s="166" t="s">
        <v>246</v>
      </c>
      <c r="E348" s="173"/>
      <c r="F348" s="174"/>
    </row>
    <row r="349" spans="2:6" s="138" customFormat="1" ht="15" customHeight="1" x14ac:dyDescent="0.2">
      <c r="B349" s="60" t="s">
        <v>3967</v>
      </c>
      <c r="C349" s="514" t="s">
        <v>511</v>
      </c>
      <c r="D349" s="164" t="s">
        <v>214</v>
      </c>
      <c r="E349" s="636">
        <f>SUM(E350:E369)</f>
        <v>0</v>
      </c>
      <c r="F349" s="637">
        <f>SUM(F350:F369)</f>
        <v>0</v>
      </c>
    </row>
    <row r="350" spans="2:6" s="165" customFormat="1" ht="15.4" customHeight="1" outlineLevel="1" x14ac:dyDescent="0.2">
      <c r="B350" s="60" t="s">
        <v>3968</v>
      </c>
      <c r="C350" s="513" t="s">
        <v>1704</v>
      </c>
      <c r="D350" s="166" t="s">
        <v>246</v>
      </c>
      <c r="E350" s="173"/>
      <c r="F350" s="174"/>
    </row>
    <row r="351" spans="2:6" s="165" customFormat="1" ht="15.4" customHeight="1" outlineLevel="1" x14ac:dyDescent="0.2">
      <c r="B351" s="60" t="s">
        <v>3969</v>
      </c>
      <c r="C351" s="513" t="s">
        <v>1705</v>
      </c>
      <c r="D351" s="166" t="s">
        <v>246</v>
      </c>
      <c r="E351" s="173"/>
      <c r="F351" s="174"/>
    </row>
    <row r="352" spans="2:6" s="165" customFormat="1" ht="15.4" customHeight="1" outlineLevel="1" x14ac:dyDescent="0.2">
      <c r="B352" s="60" t="s">
        <v>3970</v>
      </c>
      <c r="C352" s="513" t="s">
        <v>1706</v>
      </c>
      <c r="D352" s="166" t="s">
        <v>246</v>
      </c>
      <c r="E352" s="173"/>
      <c r="F352" s="174"/>
    </row>
    <row r="353" spans="2:6" s="165" customFormat="1" ht="15.4" customHeight="1" outlineLevel="1" x14ac:dyDescent="0.2">
      <c r="B353" s="60" t="s">
        <v>3971</v>
      </c>
      <c r="C353" s="513" t="s">
        <v>1707</v>
      </c>
      <c r="D353" s="166" t="s">
        <v>246</v>
      </c>
      <c r="E353" s="173"/>
      <c r="F353" s="174"/>
    </row>
    <row r="354" spans="2:6" s="165" customFormat="1" ht="15.4" customHeight="1" outlineLevel="1" x14ac:dyDescent="0.2">
      <c r="B354" s="60" t="s">
        <v>3972</v>
      </c>
      <c r="C354" s="513" t="s">
        <v>1708</v>
      </c>
      <c r="D354" s="166" t="s">
        <v>246</v>
      </c>
      <c r="E354" s="173"/>
      <c r="F354" s="174"/>
    </row>
    <row r="355" spans="2:6" s="165" customFormat="1" ht="15.4" customHeight="1" outlineLevel="1" x14ac:dyDescent="0.2">
      <c r="B355" s="60" t="s">
        <v>3973</v>
      </c>
      <c r="C355" s="513" t="s">
        <v>1709</v>
      </c>
      <c r="D355" s="166" t="s">
        <v>246</v>
      </c>
      <c r="E355" s="173"/>
      <c r="F355" s="174"/>
    </row>
    <row r="356" spans="2:6" s="165" customFormat="1" ht="15.4" customHeight="1" outlineLevel="1" x14ac:dyDescent="0.2">
      <c r="B356" s="60" t="s">
        <v>3974</v>
      </c>
      <c r="C356" s="513" t="s">
        <v>1710</v>
      </c>
      <c r="D356" s="166" t="s">
        <v>246</v>
      </c>
      <c r="E356" s="173"/>
      <c r="F356" s="174"/>
    </row>
    <row r="357" spans="2:6" s="165" customFormat="1" ht="15.4" customHeight="1" outlineLevel="1" x14ac:dyDescent="0.2">
      <c r="B357" s="60" t="s">
        <v>3975</v>
      </c>
      <c r="C357" s="513" t="s">
        <v>1711</v>
      </c>
      <c r="D357" s="166" t="s">
        <v>246</v>
      </c>
      <c r="E357" s="173"/>
      <c r="F357" s="174"/>
    </row>
    <row r="358" spans="2:6" s="165" customFormat="1" ht="15.4" customHeight="1" outlineLevel="1" x14ac:dyDescent="0.2">
      <c r="B358" s="60" t="s">
        <v>3976</v>
      </c>
      <c r="C358" s="513" t="s">
        <v>1712</v>
      </c>
      <c r="D358" s="166" t="s">
        <v>246</v>
      </c>
      <c r="E358" s="173"/>
      <c r="F358" s="174"/>
    </row>
    <row r="359" spans="2:6" s="165" customFormat="1" ht="15.4" customHeight="1" outlineLevel="1" x14ac:dyDescent="0.2">
      <c r="B359" s="60" t="s">
        <v>3977</v>
      </c>
      <c r="C359" s="513" t="s">
        <v>1713</v>
      </c>
      <c r="D359" s="166" t="s">
        <v>246</v>
      </c>
      <c r="E359" s="173"/>
      <c r="F359" s="174"/>
    </row>
    <row r="360" spans="2:6" s="165" customFormat="1" ht="15.4" customHeight="1" outlineLevel="1" x14ac:dyDescent="0.2">
      <c r="B360" s="60" t="s">
        <v>3978</v>
      </c>
      <c r="C360" s="513" t="s">
        <v>1714</v>
      </c>
      <c r="D360" s="166" t="s">
        <v>246</v>
      </c>
      <c r="E360" s="173"/>
      <c r="F360" s="174"/>
    </row>
    <row r="361" spans="2:6" s="165" customFormat="1" ht="15.4" customHeight="1" outlineLevel="1" x14ac:dyDescent="0.2">
      <c r="B361" s="60" t="s">
        <v>3979</v>
      </c>
      <c r="C361" s="513" t="s">
        <v>1715</v>
      </c>
      <c r="D361" s="166" t="s">
        <v>246</v>
      </c>
      <c r="E361" s="173"/>
      <c r="F361" s="174"/>
    </row>
    <row r="362" spans="2:6" s="165" customFormat="1" ht="15.4" customHeight="1" outlineLevel="1" x14ac:dyDescent="0.2">
      <c r="B362" s="60" t="s">
        <v>3980</v>
      </c>
      <c r="C362" s="513" t="s">
        <v>1716</v>
      </c>
      <c r="D362" s="166" t="s">
        <v>246</v>
      </c>
      <c r="E362" s="173"/>
      <c r="F362" s="174"/>
    </row>
    <row r="363" spans="2:6" s="165" customFormat="1" ht="15.4" customHeight="1" outlineLevel="1" x14ac:dyDescent="0.2">
      <c r="B363" s="60" t="s">
        <v>3981</v>
      </c>
      <c r="C363" s="513" t="s">
        <v>1717</v>
      </c>
      <c r="D363" s="166" t="s">
        <v>246</v>
      </c>
      <c r="E363" s="173"/>
      <c r="F363" s="174"/>
    </row>
    <row r="364" spans="2:6" s="165" customFormat="1" ht="15.4" customHeight="1" outlineLevel="1" x14ac:dyDescent="0.2">
      <c r="B364" s="60" t="s">
        <v>3982</v>
      </c>
      <c r="C364" s="513" t="s">
        <v>1718</v>
      </c>
      <c r="D364" s="166" t="s">
        <v>246</v>
      </c>
      <c r="E364" s="173"/>
      <c r="F364" s="174"/>
    </row>
    <row r="365" spans="2:6" s="165" customFormat="1" ht="15.4" customHeight="1" outlineLevel="1" x14ac:dyDescent="0.2">
      <c r="B365" s="60" t="s">
        <v>3983</v>
      </c>
      <c r="C365" s="513" t="s">
        <v>1719</v>
      </c>
      <c r="D365" s="166" t="s">
        <v>246</v>
      </c>
      <c r="E365" s="173"/>
      <c r="F365" s="174"/>
    </row>
    <row r="366" spans="2:6" s="165" customFormat="1" ht="15.4" customHeight="1" outlineLevel="1" x14ac:dyDescent="0.2">
      <c r="B366" s="60" t="s">
        <v>3984</v>
      </c>
      <c r="C366" s="513" t="s">
        <v>1720</v>
      </c>
      <c r="D366" s="166" t="s">
        <v>246</v>
      </c>
      <c r="E366" s="173"/>
      <c r="F366" s="174"/>
    </row>
    <row r="367" spans="2:6" s="165" customFormat="1" ht="15.4" customHeight="1" outlineLevel="1" x14ac:dyDescent="0.2">
      <c r="B367" s="60" t="s">
        <v>3985</v>
      </c>
      <c r="C367" s="513" t="s">
        <v>1721</v>
      </c>
      <c r="D367" s="166" t="s">
        <v>246</v>
      </c>
      <c r="E367" s="173"/>
      <c r="F367" s="174"/>
    </row>
    <row r="368" spans="2:6" s="165" customFormat="1" ht="15.4" customHeight="1" outlineLevel="1" x14ac:dyDescent="0.2">
      <c r="B368" s="60" t="s">
        <v>3986</v>
      </c>
      <c r="C368" s="513" t="s">
        <v>1722</v>
      </c>
      <c r="D368" s="166" t="s">
        <v>246</v>
      </c>
      <c r="E368" s="173"/>
      <c r="F368" s="174"/>
    </row>
    <row r="369" spans="2:6" s="165" customFormat="1" ht="15.4" customHeight="1" outlineLevel="1" x14ac:dyDescent="0.2">
      <c r="B369" s="60" t="s">
        <v>3987</v>
      </c>
      <c r="C369" s="513" t="s">
        <v>1723</v>
      </c>
      <c r="D369" s="166" t="s">
        <v>246</v>
      </c>
      <c r="E369" s="173"/>
      <c r="F369" s="174"/>
    </row>
    <row r="370" spans="2:6" s="138" customFormat="1" ht="15" customHeight="1" x14ac:dyDescent="0.2">
      <c r="B370" s="60" t="s">
        <v>3988</v>
      </c>
      <c r="C370" s="514" t="s">
        <v>512</v>
      </c>
      <c r="D370" s="164" t="s">
        <v>248</v>
      </c>
      <c r="E370" s="636">
        <f>SUM(E371:E390)</f>
        <v>0</v>
      </c>
      <c r="F370" s="637">
        <f>SUM(F371:F390)</f>
        <v>0</v>
      </c>
    </row>
    <row r="371" spans="2:6" s="165" customFormat="1" ht="15.4" customHeight="1" outlineLevel="1" x14ac:dyDescent="0.2">
      <c r="B371" s="60" t="s">
        <v>3989</v>
      </c>
      <c r="C371" s="513" t="s">
        <v>2783</v>
      </c>
      <c r="D371" s="166" t="s">
        <v>246</v>
      </c>
      <c r="E371" s="173"/>
      <c r="F371" s="174"/>
    </row>
    <row r="372" spans="2:6" s="165" customFormat="1" ht="15.4" customHeight="1" outlineLevel="1" x14ac:dyDescent="0.2">
      <c r="B372" s="60" t="s">
        <v>3990</v>
      </c>
      <c r="C372" s="513" t="s">
        <v>2784</v>
      </c>
      <c r="D372" s="166" t="s">
        <v>246</v>
      </c>
      <c r="E372" s="173"/>
      <c r="F372" s="174"/>
    </row>
    <row r="373" spans="2:6" s="165" customFormat="1" ht="15.4" customHeight="1" outlineLevel="1" x14ac:dyDescent="0.2">
      <c r="B373" s="60" t="s">
        <v>3991</v>
      </c>
      <c r="C373" s="513" t="s">
        <v>2785</v>
      </c>
      <c r="D373" s="166" t="s">
        <v>246</v>
      </c>
      <c r="E373" s="173"/>
      <c r="F373" s="174"/>
    </row>
    <row r="374" spans="2:6" s="165" customFormat="1" ht="15.4" customHeight="1" outlineLevel="1" x14ac:dyDescent="0.2">
      <c r="B374" s="60" t="s">
        <v>3992</v>
      </c>
      <c r="C374" s="513" t="s">
        <v>2786</v>
      </c>
      <c r="D374" s="166" t="s">
        <v>246</v>
      </c>
      <c r="E374" s="173"/>
      <c r="F374" s="174"/>
    </row>
    <row r="375" spans="2:6" s="165" customFormat="1" ht="15.4" customHeight="1" outlineLevel="1" x14ac:dyDescent="0.2">
      <c r="B375" s="60" t="s">
        <v>3993</v>
      </c>
      <c r="C375" s="513" t="s">
        <v>2787</v>
      </c>
      <c r="D375" s="166" t="s">
        <v>246</v>
      </c>
      <c r="E375" s="173"/>
      <c r="F375" s="174"/>
    </row>
    <row r="376" spans="2:6" s="165" customFormat="1" ht="15.4" customHeight="1" outlineLevel="1" x14ac:dyDescent="0.2">
      <c r="B376" s="60" t="s">
        <v>3994</v>
      </c>
      <c r="C376" s="513" t="s">
        <v>2788</v>
      </c>
      <c r="D376" s="166" t="s">
        <v>246</v>
      </c>
      <c r="E376" s="173"/>
      <c r="F376" s="174"/>
    </row>
    <row r="377" spans="2:6" s="165" customFormat="1" ht="15.4" customHeight="1" outlineLevel="1" x14ac:dyDescent="0.2">
      <c r="B377" s="60" t="s">
        <v>3995</v>
      </c>
      <c r="C377" s="513" t="s">
        <v>2789</v>
      </c>
      <c r="D377" s="166" t="s">
        <v>246</v>
      </c>
      <c r="E377" s="173"/>
      <c r="F377" s="174"/>
    </row>
    <row r="378" spans="2:6" s="165" customFormat="1" ht="15.4" customHeight="1" outlineLevel="1" x14ac:dyDescent="0.2">
      <c r="B378" s="60" t="s">
        <v>3996</v>
      </c>
      <c r="C378" s="513" t="s">
        <v>2790</v>
      </c>
      <c r="D378" s="166" t="s">
        <v>246</v>
      </c>
      <c r="E378" s="173"/>
      <c r="F378" s="174"/>
    </row>
    <row r="379" spans="2:6" s="165" customFormat="1" ht="15.4" customHeight="1" outlineLevel="1" x14ac:dyDescent="0.2">
      <c r="B379" s="60" t="s">
        <v>3997</v>
      </c>
      <c r="C379" s="513" t="s">
        <v>2791</v>
      </c>
      <c r="D379" s="166" t="s">
        <v>246</v>
      </c>
      <c r="E379" s="173"/>
      <c r="F379" s="174"/>
    </row>
    <row r="380" spans="2:6" s="165" customFormat="1" ht="15.4" customHeight="1" outlineLevel="1" x14ac:dyDescent="0.2">
      <c r="B380" s="60" t="s">
        <v>3998</v>
      </c>
      <c r="C380" s="513" t="s">
        <v>2792</v>
      </c>
      <c r="D380" s="166" t="s">
        <v>246</v>
      </c>
      <c r="E380" s="173"/>
      <c r="F380" s="174"/>
    </row>
    <row r="381" spans="2:6" s="165" customFormat="1" ht="15.4" customHeight="1" outlineLevel="1" x14ac:dyDescent="0.2">
      <c r="B381" s="60" t="s">
        <v>3999</v>
      </c>
      <c r="C381" s="513" t="s">
        <v>2793</v>
      </c>
      <c r="D381" s="166" t="s">
        <v>246</v>
      </c>
      <c r="E381" s="173"/>
      <c r="F381" s="174"/>
    </row>
    <row r="382" spans="2:6" s="165" customFormat="1" ht="15.4" customHeight="1" outlineLevel="1" x14ac:dyDescent="0.2">
      <c r="B382" s="60" t="s">
        <v>4000</v>
      </c>
      <c r="C382" s="513" t="s">
        <v>2794</v>
      </c>
      <c r="D382" s="166" t="s">
        <v>246</v>
      </c>
      <c r="E382" s="173"/>
      <c r="F382" s="174"/>
    </row>
    <row r="383" spans="2:6" s="165" customFormat="1" ht="15.4" customHeight="1" outlineLevel="1" x14ac:dyDescent="0.2">
      <c r="B383" s="60" t="s">
        <v>4001</v>
      </c>
      <c r="C383" s="513" t="s">
        <v>2795</v>
      </c>
      <c r="D383" s="166" t="s">
        <v>246</v>
      </c>
      <c r="E383" s="173"/>
      <c r="F383" s="174"/>
    </row>
    <row r="384" spans="2:6" s="165" customFormat="1" ht="15.4" customHeight="1" outlineLevel="1" x14ac:dyDescent="0.2">
      <c r="B384" s="60" t="s">
        <v>4002</v>
      </c>
      <c r="C384" s="513" t="s">
        <v>2796</v>
      </c>
      <c r="D384" s="166" t="s">
        <v>246</v>
      </c>
      <c r="E384" s="173"/>
      <c r="F384" s="174"/>
    </row>
    <row r="385" spans="2:6" s="165" customFormat="1" ht="15.4" customHeight="1" outlineLevel="1" x14ac:dyDescent="0.2">
      <c r="B385" s="60" t="s">
        <v>4003</v>
      </c>
      <c r="C385" s="513" t="s">
        <v>2797</v>
      </c>
      <c r="D385" s="166" t="s">
        <v>246</v>
      </c>
      <c r="E385" s="173"/>
      <c r="F385" s="174"/>
    </row>
    <row r="386" spans="2:6" s="165" customFormat="1" ht="15.4" customHeight="1" outlineLevel="1" x14ac:dyDescent="0.2">
      <c r="B386" s="60" t="s">
        <v>4004</v>
      </c>
      <c r="C386" s="513" t="s">
        <v>2798</v>
      </c>
      <c r="D386" s="166" t="s">
        <v>246</v>
      </c>
      <c r="E386" s="173"/>
      <c r="F386" s="174"/>
    </row>
    <row r="387" spans="2:6" s="165" customFormat="1" ht="15.4" customHeight="1" outlineLevel="1" x14ac:dyDescent="0.2">
      <c r="B387" s="60" t="s">
        <v>4005</v>
      </c>
      <c r="C387" s="513" t="s">
        <v>2799</v>
      </c>
      <c r="D387" s="166" t="s">
        <v>246</v>
      </c>
      <c r="E387" s="173"/>
      <c r="F387" s="174"/>
    </row>
    <row r="388" spans="2:6" s="165" customFormat="1" ht="15.4" customHeight="1" outlineLevel="1" x14ac:dyDescent="0.2">
      <c r="B388" s="60" t="s">
        <v>4006</v>
      </c>
      <c r="C388" s="513" t="s">
        <v>2800</v>
      </c>
      <c r="D388" s="166" t="s">
        <v>246</v>
      </c>
      <c r="E388" s="173"/>
      <c r="F388" s="174"/>
    </row>
    <row r="389" spans="2:6" s="165" customFormat="1" ht="15.4" customHeight="1" outlineLevel="1" x14ac:dyDescent="0.2">
      <c r="B389" s="60" t="s">
        <v>4007</v>
      </c>
      <c r="C389" s="513" t="s">
        <v>2801</v>
      </c>
      <c r="D389" s="166" t="s">
        <v>246</v>
      </c>
      <c r="E389" s="173"/>
      <c r="F389" s="174"/>
    </row>
    <row r="390" spans="2:6" s="165" customFormat="1" ht="15.4" customHeight="1" outlineLevel="1" x14ac:dyDescent="0.2">
      <c r="B390" s="60" t="s">
        <v>4008</v>
      </c>
      <c r="C390" s="513" t="s">
        <v>2802</v>
      </c>
      <c r="D390" s="166" t="s">
        <v>246</v>
      </c>
      <c r="E390" s="173"/>
      <c r="F390" s="174"/>
    </row>
    <row r="391" spans="2:6" s="138" customFormat="1" ht="15" customHeight="1" x14ac:dyDescent="0.2">
      <c r="B391" s="60" t="s">
        <v>4009</v>
      </c>
      <c r="C391" s="514" t="s">
        <v>513</v>
      </c>
      <c r="D391" s="164" t="s">
        <v>215</v>
      </c>
      <c r="E391" s="636">
        <f>SUM(E392:E411)</f>
        <v>0</v>
      </c>
      <c r="F391" s="637">
        <f>SUM(F392:F411)</f>
        <v>0</v>
      </c>
    </row>
    <row r="392" spans="2:6" s="165" customFormat="1" ht="15.4" customHeight="1" outlineLevel="1" x14ac:dyDescent="0.2">
      <c r="B392" s="60" t="s">
        <v>4010</v>
      </c>
      <c r="C392" s="513" t="s">
        <v>2803</v>
      </c>
      <c r="D392" s="166" t="s">
        <v>246</v>
      </c>
      <c r="E392" s="173"/>
      <c r="F392" s="174"/>
    </row>
    <row r="393" spans="2:6" s="165" customFormat="1" ht="15.4" customHeight="1" outlineLevel="1" x14ac:dyDescent="0.2">
      <c r="B393" s="60" t="s">
        <v>4011</v>
      </c>
      <c r="C393" s="513" t="s">
        <v>2804</v>
      </c>
      <c r="D393" s="166" t="s">
        <v>246</v>
      </c>
      <c r="E393" s="173"/>
      <c r="F393" s="174"/>
    </row>
    <row r="394" spans="2:6" s="165" customFormat="1" ht="15.4" customHeight="1" outlineLevel="1" x14ac:dyDescent="0.2">
      <c r="B394" s="60" t="s">
        <v>4012</v>
      </c>
      <c r="C394" s="513" t="s">
        <v>2805</v>
      </c>
      <c r="D394" s="166" t="s">
        <v>246</v>
      </c>
      <c r="E394" s="173"/>
      <c r="F394" s="174"/>
    </row>
    <row r="395" spans="2:6" s="165" customFormat="1" ht="15.4" customHeight="1" outlineLevel="1" x14ac:dyDescent="0.2">
      <c r="B395" s="60" t="s">
        <v>4013</v>
      </c>
      <c r="C395" s="513" t="s">
        <v>2806</v>
      </c>
      <c r="D395" s="166" t="s">
        <v>246</v>
      </c>
      <c r="E395" s="173"/>
      <c r="F395" s="174"/>
    </row>
    <row r="396" spans="2:6" s="165" customFormat="1" ht="15.4" customHeight="1" outlineLevel="1" x14ac:dyDescent="0.2">
      <c r="B396" s="60" t="s">
        <v>4014</v>
      </c>
      <c r="C396" s="513" t="s">
        <v>2807</v>
      </c>
      <c r="D396" s="166" t="s">
        <v>246</v>
      </c>
      <c r="E396" s="173"/>
      <c r="F396" s="174"/>
    </row>
    <row r="397" spans="2:6" s="165" customFormat="1" ht="15.4" customHeight="1" outlineLevel="1" x14ac:dyDescent="0.2">
      <c r="B397" s="60" t="s">
        <v>4015</v>
      </c>
      <c r="C397" s="513" t="s">
        <v>2808</v>
      </c>
      <c r="D397" s="166" t="s">
        <v>246</v>
      </c>
      <c r="E397" s="173"/>
      <c r="F397" s="174"/>
    </row>
    <row r="398" spans="2:6" s="165" customFormat="1" ht="15.4" customHeight="1" outlineLevel="1" x14ac:dyDescent="0.2">
      <c r="B398" s="60" t="s">
        <v>4016</v>
      </c>
      <c r="C398" s="513" t="s">
        <v>2809</v>
      </c>
      <c r="D398" s="166" t="s">
        <v>246</v>
      </c>
      <c r="E398" s="173"/>
      <c r="F398" s="174"/>
    </row>
    <row r="399" spans="2:6" s="165" customFormat="1" ht="15.4" customHeight="1" outlineLevel="1" x14ac:dyDescent="0.2">
      <c r="B399" s="60" t="s">
        <v>4017</v>
      </c>
      <c r="C399" s="513" t="s">
        <v>2810</v>
      </c>
      <c r="D399" s="166" t="s">
        <v>246</v>
      </c>
      <c r="E399" s="173"/>
      <c r="F399" s="174"/>
    </row>
    <row r="400" spans="2:6" s="165" customFormat="1" ht="15.4" customHeight="1" outlineLevel="1" x14ac:dyDescent="0.2">
      <c r="B400" s="60" t="s">
        <v>4018</v>
      </c>
      <c r="C400" s="513" t="s">
        <v>2811</v>
      </c>
      <c r="D400" s="166" t="s">
        <v>246</v>
      </c>
      <c r="E400" s="173"/>
      <c r="F400" s="174"/>
    </row>
    <row r="401" spans="2:6" s="165" customFormat="1" ht="15.4" customHeight="1" outlineLevel="1" x14ac:dyDescent="0.2">
      <c r="B401" s="60" t="s">
        <v>4019</v>
      </c>
      <c r="C401" s="513" t="s">
        <v>2812</v>
      </c>
      <c r="D401" s="166" t="s">
        <v>246</v>
      </c>
      <c r="E401" s="173"/>
      <c r="F401" s="174"/>
    </row>
    <row r="402" spans="2:6" s="165" customFormat="1" ht="15.4" customHeight="1" outlineLevel="1" x14ac:dyDescent="0.2">
      <c r="B402" s="60" t="s">
        <v>4020</v>
      </c>
      <c r="C402" s="513" t="s">
        <v>2813</v>
      </c>
      <c r="D402" s="166" t="s">
        <v>246</v>
      </c>
      <c r="E402" s="173"/>
      <c r="F402" s="174"/>
    </row>
    <row r="403" spans="2:6" s="165" customFormat="1" ht="15.4" customHeight="1" outlineLevel="1" x14ac:dyDescent="0.2">
      <c r="B403" s="60" t="s">
        <v>4021</v>
      </c>
      <c r="C403" s="513" t="s">
        <v>2814</v>
      </c>
      <c r="D403" s="166" t="s">
        <v>246</v>
      </c>
      <c r="E403" s="173"/>
      <c r="F403" s="174"/>
    </row>
    <row r="404" spans="2:6" s="165" customFormat="1" ht="15.4" customHeight="1" outlineLevel="1" x14ac:dyDescent="0.2">
      <c r="B404" s="60" t="s">
        <v>4022</v>
      </c>
      <c r="C404" s="513" t="s">
        <v>2815</v>
      </c>
      <c r="D404" s="166" t="s">
        <v>246</v>
      </c>
      <c r="E404" s="173"/>
      <c r="F404" s="174"/>
    </row>
    <row r="405" spans="2:6" s="165" customFormat="1" ht="15.4" customHeight="1" outlineLevel="1" x14ac:dyDescent="0.2">
      <c r="B405" s="60" t="s">
        <v>4023</v>
      </c>
      <c r="C405" s="513" t="s">
        <v>2816</v>
      </c>
      <c r="D405" s="166" t="s">
        <v>246</v>
      </c>
      <c r="E405" s="173"/>
      <c r="F405" s="174"/>
    </row>
    <row r="406" spans="2:6" s="165" customFormat="1" ht="15.4" customHeight="1" outlineLevel="1" x14ac:dyDescent="0.2">
      <c r="B406" s="60" t="s">
        <v>4024</v>
      </c>
      <c r="C406" s="513" t="s">
        <v>2817</v>
      </c>
      <c r="D406" s="166" t="s">
        <v>246</v>
      </c>
      <c r="E406" s="173"/>
      <c r="F406" s="174"/>
    </row>
    <row r="407" spans="2:6" s="165" customFormat="1" ht="15.4" customHeight="1" outlineLevel="1" x14ac:dyDescent="0.2">
      <c r="B407" s="60" t="s">
        <v>4025</v>
      </c>
      <c r="C407" s="513" t="s">
        <v>2818</v>
      </c>
      <c r="D407" s="166" t="s">
        <v>246</v>
      </c>
      <c r="E407" s="173"/>
      <c r="F407" s="174"/>
    </row>
    <row r="408" spans="2:6" s="165" customFormat="1" ht="15.4" customHeight="1" outlineLevel="1" x14ac:dyDescent="0.2">
      <c r="B408" s="60" t="s">
        <v>4026</v>
      </c>
      <c r="C408" s="513" t="s">
        <v>2819</v>
      </c>
      <c r="D408" s="166" t="s">
        <v>246</v>
      </c>
      <c r="E408" s="173"/>
      <c r="F408" s="174"/>
    </row>
    <row r="409" spans="2:6" s="165" customFormat="1" ht="15.4" customHeight="1" outlineLevel="1" x14ac:dyDescent="0.2">
      <c r="B409" s="60" t="s">
        <v>4027</v>
      </c>
      <c r="C409" s="513" t="s">
        <v>2820</v>
      </c>
      <c r="D409" s="166" t="s">
        <v>246</v>
      </c>
      <c r="E409" s="173"/>
      <c r="F409" s="174"/>
    </row>
    <row r="410" spans="2:6" s="165" customFormat="1" ht="15.4" customHeight="1" outlineLevel="1" x14ac:dyDescent="0.2">
      <c r="B410" s="60" t="s">
        <v>4028</v>
      </c>
      <c r="C410" s="513" t="s">
        <v>2821</v>
      </c>
      <c r="D410" s="166" t="s">
        <v>246</v>
      </c>
      <c r="E410" s="173"/>
      <c r="F410" s="174"/>
    </row>
    <row r="411" spans="2:6" s="165" customFormat="1" ht="15.4" customHeight="1" outlineLevel="1" x14ac:dyDescent="0.2">
      <c r="B411" s="60" t="s">
        <v>4029</v>
      </c>
      <c r="C411" s="513" t="s">
        <v>2822</v>
      </c>
      <c r="D411" s="166" t="s">
        <v>246</v>
      </c>
      <c r="E411" s="173"/>
      <c r="F411" s="174"/>
    </row>
    <row r="412" spans="2:6" s="132" customFormat="1" ht="15" customHeight="1" x14ac:dyDescent="0.2">
      <c r="B412" s="60" t="s">
        <v>4030</v>
      </c>
      <c r="C412" s="511" t="s">
        <v>429</v>
      </c>
      <c r="D412" s="94" t="s">
        <v>216</v>
      </c>
      <c r="E412" s="635">
        <f>E413+E434+E455</f>
        <v>0</v>
      </c>
      <c r="F412" s="638">
        <f>F413+F434+F455</f>
        <v>0</v>
      </c>
    </row>
    <row r="413" spans="2:6" s="138" customFormat="1" ht="15" customHeight="1" x14ac:dyDescent="0.2">
      <c r="B413" s="60" t="s">
        <v>4031</v>
      </c>
      <c r="C413" s="514" t="s">
        <v>412</v>
      </c>
      <c r="D413" s="164" t="s">
        <v>217</v>
      </c>
      <c r="E413" s="636">
        <f>SUM(E414:E433)</f>
        <v>0</v>
      </c>
      <c r="F413" s="637">
        <f>SUM(F414:F433)</f>
        <v>0</v>
      </c>
    </row>
    <row r="414" spans="2:6" s="165" customFormat="1" ht="15.4" customHeight="1" outlineLevel="1" x14ac:dyDescent="0.2">
      <c r="B414" s="60" t="s">
        <v>4032</v>
      </c>
      <c r="C414" s="513" t="s">
        <v>1724</v>
      </c>
      <c r="D414" s="166" t="s">
        <v>218</v>
      </c>
      <c r="E414" s="173"/>
      <c r="F414" s="174"/>
    </row>
    <row r="415" spans="2:6" s="165" customFormat="1" ht="15.4" customHeight="1" outlineLevel="1" x14ac:dyDescent="0.2">
      <c r="B415" s="60" t="s">
        <v>4033</v>
      </c>
      <c r="C415" s="513" t="s">
        <v>1725</v>
      </c>
      <c r="D415" s="166" t="s">
        <v>218</v>
      </c>
      <c r="E415" s="173"/>
      <c r="F415" s="174"/>
    </row>
    <row r="416" spans="2:6" s="165" customFormat="1" ht="15.4" customHeight="1" outlineLevel="1" x14ac:dyDescent="0.2">
      <c r="B416" s="60" t="s">
        <v>4034</v>
      </c>
      <c r="C416" s="513" t="s">
        <v>1726</v>
      </c>
      <c r="D416" s="166" t="s">
        <v>218</v>
      </c>
      <c r="E416" s="173"/>
      <c r="F416" s="174"/>
    </row>
    <row r="417" spans="2:6" s="165" customFormat="1" ht="15.4" customHeight="1" outlineLevel="1" x14ac:dyDescent="0.2">
      <c r="B417" s="60" t="s">
        <v>4035</v>
      </c>
      <c r="C417" s="513" t="s">
        <v>1727</v>
      </c>
      <c r="D417" s="166" t="s">
        <v>218</v>
      </c>
      <c r="E417" s="173"/>
      <c r="F417" s="174"/>
    </row>
    <row r="418" spans="2:6" s="165" customFormat="1" ht="15.4" customHeight="1" outlineLevel="1" x14ac:dyDescent="0.2">
      <c r="B418" s="60" t="s">
        <v>4036</v>
      </c>
      <c r="C418" s="513" t="s">
        <v>1728</v>
      </c>
      <c r="D418" s="166" t="s">
        <v>218</v>
      </c>
      <c r="E418" s="173"/>
      <c r="F418" s="174"/>
    </row>
    <row r="419" spans="2:6" s="165" customFormat="1" ht="15.4" customHeight="1" outlineLevel="1" x14ac:dyDescent="0.2">
      <c r="B419" s="60" t="s">
        <v>4037</v>
      </c>
      <c r="C419" s="513" t="s">
        <v>1729</v>
      </c>
      <c r="D419" s="166" t="s">
        <v>218</v>
      </c>
      <c r="E419" s="173"/>
      <c r="F419" s="174"/>
    </row>
    <row r="420" spans="2:6" s="165" customFormat="1" ht="15.4" customHeight="1" outlineLevel="1" x14ac:dyDescent="0.2">
      <c r="B420" s="60" t="s">
        <v>4038</v>
      </c>
      <c r="C420" s="513" t="s">
        <v>1730</v>
      </c>
      <c r="D420" s="166" t="s">
        <v>218</v>
      </c>
      <c r="E420" s="173"/>
      <c r="F420" s="174"/>
    </row>
    <row r="421" spans="2:6" s="165" customFormat="1" ht="15.4" customHeight="1" outlineLevel="1" x14ac:dyDescent="0.2">
      <c r="B421" s="60" t="s">
        <v>4039</v>
      </c>
      <c r="C421" s="513" t="s">
        <v>1731</v>
      </c>
      <c r="D421" s="166" t="s">
        <v>218</v>
      </c>
      <c r="E421" s="173"/>
      <c r="F421" s="174"/>
    </row>
    <row r="422" spans="2:6" s="165" customFormat="1" ht="15.4" customHeight="1" outlineLevel="1" x14ac:dyDescent="0.2">
      <c r="B422" s="60" t="s">
        <v>4040</v>
      </c>
      <c r="C422" s="513" t="s">
        <v>1732</v>
      </c>
      <c r="D422" s="166" t="s">
        <v>218</v>
      </c>
      <c r="E422" s="173"/>
      <c r="F422" s="174"/>
    </row>
    <row r="423" spans="2:6" s="165" customFormat="1" ht="15.4" customHeight="1" outlineLevel="1" x14ac:dyDescent="0.2">
      <c r="B423" s="60" t="s">
        <v>4041</v>
      </c>
      <c r="C423" s="513" t="s">
        <v>1733</v>
      </c>
      <c r="D423" s="166" t="s">
        <v>218</v>
      </c>
      <c r="E423" s="173"/>
      <c r="F423" s="174"/>
    </row>
    <row r="424" spans="2:6" s="165" customFormat="1" ht="15.4" customHeight="1" outlineLevel="1" x14ac:dyDescent="0.2">
      <c r="B424" s="60" t="s">
        <v>4042</v>
      </c>
      <c r="C424" s="513" t="s">
        <v>1734</v>
      </c>
      <c r="D424" s="166" t="s">
        <v>218</v>
      </c>
      <c r="E424" s="173"/>
      <c r="F424" s="174"/>
    </row>
    <row r="425" spans="2:6" s="165" customFormat="1" ht="15.4" customHeight="1" outlineLevel="1" x14ac:dyDescent="0.2">
      <c r="B425" s="60" t="s">
        <v>4043</v>
      </c>
      <c r="C425" s="513" t="s">
        <v>1735</v>
      </c>
      <c r="D425" s="166" t="s">
        <v>218</v>
      </c>
      <c r="E425" s="173"/>
      <c r="F425" s="174"/>
    </row>
    <row r="426" spans="2:6" s="165" customFormat="1" ht="15.4" customHeight="1" outlineLevel="1" x14ac:dyDescent="0.2">
      <c r="B426" s="60" t="s">
        <v>4044</v>
      </c>
      <c r="C426" s="513" t="s">
        <v>1736</v>
      </c>
      <c r="D426" s="166" t="s">
        <v>218</v>
      </c>
      <c r="E426" s="173"/>
      <c r="F426" s="174"/>
    </row>
    <row r="427" spans="2:6" s="165" customFormat="1" ht="15.4" customHeight="1" outlineLevel="1" x14ac:dyDescent="0.2">
      <c r="B427" s="60" t="s">
        <v>4045</v>
      </c>
      <c r="C427" s="513" t="s">
        <v>1737</v>
      </c>
      <c r="D427" s="166" t="s">
        <v>218</v>
      </c>
      <c r="E427" s="173"/>
      <c r="F427" s="174"/>
    </row>
    <row r="428" spans="2:6" s="165" customFormat="1" ht="15.4" customHeight="1" outlineLevel="1" x14ac:dyDescent="0.2">
      <c r="B428" s="60" t="s">
        <v>4046</v>
      </c>
      <c r="C428" s="513" t="s">
        <v>1738</v>
      </c>
      <c r="D428" s="166" t="s">
        <v>218</v>
      </c>
      <c r="E428" s="173"/>
      <c r="F428" s="174"/>
    </row>
    <row r="429" spans="2:6" s="165" customFormat="1" ht="15.4" customHeight="1" outlineLevel="1" x14ac:dyDescent="0.2">
      <c r="B429" s="60" t="s">
        <v>4047</v>
      </c>
      <c r="C429" s="513" t="s">
        <v>1739</v>
      </c>
      <c r="D429" s="166" t="s">
        <v>218</v>
      </c>
      <c r="E429" s="173"/>
      <c r="F429" s="174"/>
    </row>
    <row r="430" spans="2:6" s="165" customFormat="1" ht="15.4" customHeight="1" outlineLevel="1" x14ac:dyDescent="0.2">
      <c r="B430" s="60" t="s">
        <v>4048</v>
      </c>
      <c r="C430" s="513" t="s">
        <v>1740</v>
      </c>
      <c r="D430" s="166" t="s">
        <v>218</v>
      </c>
      <c r="E430" s="173"/>
      <c r="F430" s="174"/>
    </row>
    <row r="431" spans="2:6" s="165" customFormat="1" ht="15.4" customHeight="1" outlineLevel="1" x14ac:dyDescent="0.2">
      <c r="B431" s="60" t="s">
        <v>4049</v>
      </c>
      <c r="C431" s="513" t="s">
        <v>1741</v>
      </c>
      <c r="D431" s="166" t="s">
        <v>218</v>
      </c>
      <c r="E431" s="173"/>
      <c r="F431" s="174"/>
    </row>
    <row r="432" spans="2:6" s="165" customFormat="1" ht="15.4" customHeight="1" outlineLevel="1" x14ac:dyDescent="0.2">
      <c r="B432" s="60" t="s">
        <v>4050</v>
      </c>
      <c r="C432" s="513" t="s">
        <v>1742</v>
      </c>
      <c r="D432" s="166" t="s">
        <v>218</v>
      </c>
      <c r="E432" s="173"/>
      <c r="F432" s="174"/>
    </row>
    <row r="433" spans="2:6" s="165" customFormat="1" ht="15.4" customHeight="1" outlineLevel="1" x14ac:dyDescent="0.2">
      <c r="B433" s="60" t="s">
        <v>4051</v>
      </c>
      <c r="C433" s="513" t="s">
        <v>1743</v>
      </c>
      <c r="D433" s="166" t="s">
        <v>218</v>
      </c>
      <c r="E433" s="173"/>
      <c r="F433" s="174"/>
    </row>
    <row r="434" spans="2:6" s="138" customFormat="1" ht="15" customHeight="1" x14ac:dyDescent="0.2">
      <c r="B434" s="60" t="s">
        <v>4052</v>
      </c>
      <c r="C434" s="514" t="s">
        <v>413</v>
      </c>
      <c r="D434" s="164" t="s">
        <v>219</v>
      </c>
      <c r="E434" s="636">
        <f>SUM(E435:E454)</f>
        <v>0</v>
      </c>
      <c r="F434" s="637">
        <f>SUM(F435:F454)</f>
        <v>0</v>
      </c>
    </row>
    <row r="435" spans="2:6" s="165" customFormat="1" ht="15.4" customHeight="1" outlineLevel="1" x14ac:dyDescent="0.2">
      <c r="B435" s="60" t="s">
        <v>4053</v>
      </c>
      <c r="C435" s="513" t="s">
        <v>1744</v>
      </c>
      <c r="D435" s="166" t="s">
        <v>218</v>
      </c>
      <c r="E435" s="173"/>
      <c r="F435" s="174"/>
    </row>
    <row r="436" spans="2:6" s="165" customFormat="1" ht="15.4" customHeight="1" outlineLevel="1" x14ac:dyDescent="0.2">
      <c r="B436" s="60" t="s">
        <v>4054</v>
      </c>
      <c r="C436" s="513" t="s">
        <v>1745</v>
      </c>
      <c r="D436" s="166" t="s">
        <v>218</v>
      </c>
      <c r="E436" s="173"/>
      <c r="F436" s="174"/>
    </row>
    <row r="437" spans="2:6" s="165" customFormat="1" ht="15.4" customHeight="1" outlineLevel="1" x14ac:dyDescent="0.2">
      <c r="B437" s="60" t="s">
        <v>4055</v>
      </c>
      <c r="C437" s="513" t="s">
        <v>1746</v>
      </c>
      <c r="D437" s="166" t="s">
        <v>218</v>
      </c>
      <c r="E437" s="173"/>
      <c r="F437" s="174"/>
    </row>
    <row r="438" spans="2:6" s="165" customFormat="1" ht="15.4" customHeight="1" outlineLevel="1" x14ac:dyDescent="0.2">
      <c r="B438" s="60" t="s">
        <v>4056</v>
      </c>
      <c r="C438" s="513" t="s">
        <v>1747</v>
      </c>
      <c r="D438" s="166" t="s">
        <v>218</v>
      </c>
      <c r="E438" s="173"/>
      <c r="F438" s="174"/>
    </row>
    <row r="439" spans="2:6" s="165" customFormat="1" ht="15.4" customHeight="1" outlineLevel="1" x14ac:dyDescent="0.2">
      <c r="B439" s="60" t="s">
        <v>4057</v>
      </c>
      <c r="C439" s="513" t="s">
        <v>1748</v>
      </c>
      <c r="D439" s="166" t="s">
        <v>218</v>
      </c>
      <c r="E439" s="173"/>
      <c r="F439" s="174"/>
    </row>
    <row r="440" spans="2:6" s="165" customFormat="1" ht="15.4" customHeight="1" outlineLevel="1" x14ac:dyDescent="0.2">
      <c r="B440" s="60" t="s">
        <v>4058</v>
      </c>
      <c r="C440" s="513" t="s">
        <v>1749</v>
      </c>
      <c r="D440" s="166" t="s">
        <v>218</v>
      </c>
      <c r="E440" s="173"/>
      <c r="F440" s="174"/>
    </row>
    <row r="441" spans="2:6" s="165" customFormat="1" ht="15.4" customHeight="1" outlineLevel="1" x14ac:dyDescent="0.2">
      <c r="B441" s="60" t="s">
        <v>4059</v>
      </c>
      <c r="C441" s="513" t="s">
        <v>1750</v>
      </c>
      <c r="D441" s="166" t="s">
        <v>218</v>
      </c>
      <c r="E441" s="173"/>
      <c r="F441" s="174"/>
    </row>
    <row r="442" spans="2:6" s="165" customFormat="1" ht="15.4" customHeight="1" outlineLevel="1" x14ac:dyDescent="0.2">
      <c r="B442" s="60" t="s">
        <v>4060</v>
      </c>
      <c r="C442" s="513" t="s">
        <v>1751</v>
      </c>
      <c r="D442" s="166" t="s">
        <v>218</v>
      </c>
      <c r="E442" s="173"/>
      <c r="F442" s="174"/>
    </row>
    <row r="443" spans="2:6" s="165" customFormat="1" ht="15.4" customHeight="1" outlineLevel="1" x14ac:dyDescent="0.2">
      <c r="B443" s="60" t="s">
        <v>4061</v>
      </c>
      <c r="C443" s="513" t="s">
        <v>1752</v>
      </c>
      <c r="D443" s="166" t="s">
        <v>218</v>
      </c>
      <c r="E443" s="173"/>
      <c r="F443" s="174"/>
    </row>
    <row r="444" spans="2:6" s="165" customFormat="1" ht="15.4" customHeight="1" outlineLevel="1" x14ac:dyDescent="0.2">
      <c r="B444" s="60" t="s">
        <v>4062</v>
      </c>
      <c r="C444" s="513" t="s">
        <v>1753</v>
      </c>
      <c r="D444" s="166" t="s">
        <v>218</v>
      </c>
      <c r="E444" s="173"/>
      <c r="F444" s="174"/>
    </row>
    <row r="445" spans="2:6" s="165" customFormat="1" ht="15.4" customHeight="1" outlineLevel="1" x14ac:dyDescent="0.2">
      <c r="B445" s="60" t="s">
        <v>4063</v>
      </c>
      <c r="C445" s="513" t="s">
        <v>1754</v>
      </c>
      <c r="D445" s="166" t="s">
        <v>218</v>
      </c>
      <c r="E445" s="173"/>
      <c r="F445" s="174"/>
    </row>
    <row r="446" spans="2:6" s="165" customFormat="1" ht="15.4" customHeight="1" outlineLevel="1" x14ac:dyDescent="0.2">
      <c r="B446" s="60" t="s">
        <v>4064</v>
      </c>
      <c r="C446" s="513" t="s">
        <v>1755</v>
      </c>
      <c r="D446" s="166" t="s">
        <v>218</v>
      </c>
      <c r="E446" s="173"/>
      <c r="F446" s="174"/>
    </row>
    <row r="447" spans="2:6" s="165" customFormat="1" ht="15.4" customHeight="1" outlineLevel="1" x14ac:dyDescent="0.2">
      <c r="B447" s="60" t="s">
        <v>4065</v>
      </c>
      <c r="C447" s="513" t="s">
        <v>1756</v>
      </c>
      <c r="D447" s="166" t="s">
        <v>218</v>
      </c>
      <c r="E447" s="173"/>
      <c r="F447" s="174"/>
    </row>
    <row r="448" spans="2:6" s="165" customFormat="1" ht="15.4" customHeight="1" outlineLevel="1" x14ac:dyDescent="0.2">
      <c r="B448" s="60" t="s">
        <v>4066</v>
      </c>
      <c r="C448" s="513" t="s">
        <v>1757</v>
      </c>
      <c r="D448" s="166" t="s">
        <v>218</v>
      </c>
      <c r="E448" s="173"/>
      <c r="F448" s="174"/>
    </row>
    <row r="449" spans="2:6" s="165" customFormat="1" ht="15.4" customHeight="1" outlineLevel="1" x14ac:dyDescent="0.2">
      <c r="B449" s="60" t="s">
        <v>4067</v>
      </c>
      <c r="C449" s="513" t="s">
        <v>1758</v>
      </c>
      <c r="D449" s="166" t="s">
        <v>218</v>
      </c>
      <c r="E449" s="173"/>
      <c r="F449" s="174"/>
    </row>
    <row r="450" spans="2:6" s="165" customFormat="1" ht="15.4" customHeight="1" outlineLevel="1" x14ac:dyDescent="0.2">
      <c r="B450" s="60" t="s">
        <v>4068</v>
      </c>
      <c r="C450" s="513" t="s">
        <v>1759</v>
      </c>
      <c r="D450" s="166" t="s">
        <v>218</v>
      </c>
      <c r="E450" s="173"/>
      <c r="F450" s="174"/>
    </row>
    <row r="451" spans="2:6" s="165" customFormat="1" ht="15.4" customHeight="1" outlineLevel="1" x14ac:dyDescent="0.2">
      <c r="B451" s="60" t="s">
        <v>4069</v>
      </c>
      <c r="C451" s="513" t="s">
        <v>1760</v>
      </c>
      <c r="D451" s="166" t="s">
        <v>218</v>
      </c>
      <c r="E451" s="173"/>
      <c r="F451" s="174"/>
    </row>
    <row r="452" spans="2:6" s="165" customFormat="1" ht="15.4" customHeight="1" outlineLevel="1" x14ac:dyDescent="0.2">
      <c r="B452" s="60" t="s">
        <v>4070</v>
      </c>
      <c r="C452" s="513" t="s">
        <v>1761</v>
      </c>
      <c r="D452" s="166" t="s">
        <v>218</v>
      </c>
      <c r="E452" s="173"/>
      <c r="F452" s="174"/>
    </row>
    <row r="453" spans="2:6" s="165" customFormat="1" ht="15.4" customHeight="1" outlineLevel="1" x14ac:dyDescent="0.2">
      <c r="B453" s="60" t="s">
        <v>4071</v>
      </c>
      <c r="C453" s="513" t="s">
        <v>1762</v>
      </c>
      <c r="D453" s="166" t="s">
        <v>218</v>
      </c>
      <c r="E453" s="173"/>
      <c r="F453" s="174"/>
    </row>
    <row r="454" spans="2:6" s="165" customFormat="1" ht="15.4" customHeight="1" outlineLevel="1" x14ac:dyDescent="0.2">
      <c r="B454" s="60" t="s">
        <v>4072</v>
      </c>
      <c r="C454" s="513" t="s">
        <v>1763</v>
      </c>
      <c r="D454" s="166" t="s">
        <v>218</v>
      </c>
      <c r="E454" s="173"/>
      <c r="F454" s="174"/>
    </row>
    <row r="455" spans="2:6" s="138" customFormat="1" ht="15" customHeight="1" x14ac:dyDescent="0.2">
      <c r="B455" s="60" t="s">
        <v>4073</v>
      </c>
      <c r="C455" s="514" t="s">
        <v>435</v>
      </c>
      <c r="D455" s="164" t="s">
        <v>220</v>
      </c>
      <c r="E455" s="636">
        <f>SUM(E456:E475)</f>
        <v>0</v>
      </c>
      <c r="F455" s="637">
        <f>SUM(F456:F475)</f>
        <v>0</v>
      </c>
    </row>
    <row r="456" spans="2:6" s="167" customFormat="1" ht="15.4" customHeight="1" outlineLevel="1" x14ac:dyDescent="0.2">
      <c r="B456" s="60" t="s">
        <v>4074</v>
      </c>
      <c r="C456" s="513" t="s">
        <v>1764</v>
      </c>
      <c r="D456" s="151" t="s">
        <v>218</v>
      </c>
      <c r="E456" s="154"/>
      <c r="F456" s="175"/>
    </row>
    <row r="457" spans="2:6" s="167" customFormat="1" ht="15.4" customHeight="1" outlineLevel="1" x14ac:dyDescent="0.2">
      <c r="B457" s="60" t="s">
        <v>4075</v>
      </c>
      <c r="C457" s="513" t="s">
        <v>1765</v>
      </c>
      <c r="D457" s="151" t="s">
        <v>218</v>
      </c>
      <c r="E457" s="154"/>
      <c r="F457" s="175"/>
    </row>
    <row r="458" spans="2:6" s="167" customFormat="1" ht="15.4" customHeight="1" outlineLevel="1" x14ac:dyDescent="0.2">
      <c r="B458" s="60" t="s">
        <v>4076</v>
      </c>
      <c r="C458" s="513" t="s">
        <v>1766</v>
      </c>
      <c r="D458" s="151" t="s">
        <v>218</v>
      </c>
      <c r="E458" s="154"/>
      <c r="F458" s="175"/>
    </row>
    <row r="459" spans="2:6" s="167" customFormat="1" ht="15.4" customHeight="1" outlineLevel="1" x14ac:dyDescent="0.2">
      <c r="B459" s="60" t="s">
        <v>4077</v>
      </c>
      <c r="C459" s="513" t="s">
        <v>1767</v>
      </c>
      <c r="D459" s="151" t="s">
        <v>218</v>
      </c>
      <c r="E459" s="154"/>
      <c r="F459" s="175"/>
    </row>
    <row r="460" spans="2:6" s="167" customFormat="1" ht="15.4" customHeight="1" outlineLevel="1" x14ac:dyDescent="0.2">
      <c r="B460" s="60" t="s">
        <v>4078</v>
      </c>
      <c r="C460" s="513" t="s">
        <v>1768</v>
      </c>
      <c r="D460" s="151" t="s">
        <v>218</v>
      </c>
      <c r="E460" s="154"/>
      <c r="F460" s="175"/>
    </row>
    <row r="461" spans="2:6" s="167" customFormat="1" ht="15.4" customHeight="1" outlineLevel="1" x14ac:dyDescent="0.2">
      <c r="B461" s="60" t="s">
        <v>4079</v>
      </c>
      <c r="C461" s="513" t="s">
        <v>1769</v>
      </c>
      <c r="D461" s="151" t="s">
        <v>218</v>
      </c>
      <c r="E461" s="154"/>
      <c r="F461" s="175"/>
    </row>
    <row r="462" spans="2:6" s="167" customFormat="1" ht="15.4" customHeight="1" outlineLevel="1" x14ac:dyDescent="0.2">
      <c r="B462" s="60" t="s">
        <v>4080</v>
      </c>
      <c r="C462" s="513" t="s">
        <v>1770</v>
      </c>
      <c r="D462" s="151" t="s">
        <v>218</v>
      </c>
      <c r="E462" s="154"/>
      <c r="F462" s="175"/>
    </row>
    <row r="463" spans="2:6" s="167" customFormat="1" ht="15.4" customHeight="1" outlineLevel="1" x14ac:dyDescent="0.2">
      <c r="B463" s="60" t="s">
        <v>4081</v>
      </c>
      <c r="C463" s="513" t="s">
        <v>1771</v>
      </c>
      <c r="D463" s="151" t="s">
        <v>218</v>
      </c>
      <c r="E463" s="154"/>
      <c r="F463" s="175"/>
    </row>
    <row r="464" spans="2:6" s="167" customFormat="1" ht="15.4" customHeight="1" outlineLevel="1" x14ac:dyDescent="0.2">
      <c r="B464" s="60" t="s">
        <v>4082</v>
      </c>
      <c r="C464" s="513" t="s">
        <v>1772</v>
      </c>
      <c r="D464" s="151" t="s">
        <v>218</v>
      </c>
      <c r="E464" s="154"/>
      <c r="F464" s="175"/>
    </row>
    <row r="465" spans="2:8" s="167" customFormat="1" ht="15.4" customHeight="1" outlineLevel="1" x14ac:dyDescent="0.2">
      <c r="B465" s="60" t="s">
        <v>4083</v>
      </c>
      <c r="C465" s="513" t="s">
        <v>1773</v>
      </c>
      <c r="D465" s="151" t="s">
        <v>218</v>
      </c>
      <c r="E465" s="154"/>
      <c r="F465" s="175"/>
    </row>
    <row r="466" spans="2:8" s="167" customFormat="1" ht="15.4" customHeight="1" outlineLevel="1" x14ac:dyDescent="0.2">
      <c r="B466" s="60" t="s">
        <v>4084</v>
      </c>
      <c r="C466" s="513" t="s">
        <v>1774</v>
      </c>
      <c r="D466" s="151" t="s">
        <v>218</v>
      </c>
      <c r="E466" s="154"/>
      <c r="F466" s="175"/>
    </row>
    <row r="467" spans="2:8" s="167" customFormat="1" ht="15.4" customHeight="1" outlineLevel="1" x14ac:dyDescent="0.2">
      <c r="B467" s="60" t="s">
        <v>4085</v>
      </c>
      <c r="C467" s="513" t="s">
        <v>1775</v>
      </c>
      <c r="D467" s="151" t="s">
        <v>218</v>
      </c>
      <c r="E467" s="154"/>
      <c r="F467" s="175"/>
    </row>
    <row r="468" spans="2:8" s="167" customFormat="1" ht="15.4" customHeight="1" outlineLevel="1" x14ac:dyDescent="0.2">
      <c r="B468" s="60" t="s">
        <v>4086</v>
      </c>
      <c r="C468" s="513" t="s">
        <v>1776</v>
      </c>
      <c r="D468" s="151" t="s">
        <v>218</v>
      </c>
      <c r="E468" s="154"/>
      <c r="F468" s="175"/>
    </row>
    <row r="469" spans="2:8" s="167" customFormat="1" ht="15.4" customHeight="1" outlineLevel="1" x14ac:dyDescent="0.2">
      <c r="B469" s="60" t="s">
        <v>4087</v>
      </c>
      <c r="C469" s="513" t="s">
        <v>1777</v>
      </c>
      <c r="D469" s="151" t="s">
        <v>218</v>
      </c>
      <c r="E469" s="154"/>
      <c r="F469" s="175"/>
    </row>
    <row r="470" spans="2:8" s="167" customFormat="1" ht="15.4" customHeight="1" outlineLevel="1" x14ac:dyDescent="0.2">
      <c r="B470" s="60" t="s">
        <v>4088</v>
      </c>
      <c r="C470" s="513" t="s">
        <v>1778</v>
      </c>
      <c r="D470" s="151" t="s">
        <v>218</v>
      </c>
      <c r="E470" s="154"/>
      <c r="F470" s="175"/>
    </row>
    <row r="471" spans="2:8" s="167" customFormat="1" ht="15.4" customHeight="1" outlineLevel="1" x14ac:dyDescent="0.2">
      <c r="B471" s="60" t="s">
        <v>4089</v>
      </c>
      <c r="C471" s="513" t="s">
        <v>1779</v>
      </c>
      <c r="D471" s="151" t="s">
        <v>218</v>
      </c>
      <c r="E471" s="154"/>
      <c r="F471" s="175"/>
    </row>
    <row r="472" spans="2:8" s="167" customFormat="1" ht="15.4" customHeight="1" outlineLevel="1" x14ac:dyDescent="0.2">
      <c r="B472" s="60" t="s">
        <v>4090</v>
      </c>
      <c r="C472" s="513" t="s">
        <v>1780</v>
      </c>
      <c r="D472" s="151" t="s">
        <v>218</v>
      </c>
      <c r="E472" s="154"/>
      <c r="F472" s="175"/>
    </row>
    <row r="473" spans="2:8" s="167" customFormat="1" ht="15.4" customHeight="1" outlineLevel="1" x14ac:dyDescent="0.2">
      <c r="B473" s="60" t="s">
        <v>4091</v>
      </c>
      <c r="C473" s="513" t="s">
        <v>1781</v>
      </c>
      <c r="D473" s="151" t="s">
        <v>218</v>
      </c>
      <c r="E473" s="154"/>
      <c r="F473" s="175"/>
    </row>
    <row r="474" spans="2:8" s="167" customFormat="1" ht="15.4" customHeight="1" outlineLevel="1" x14ac:dyDescent="0.2">
      <c r="B474" s="60" t="s">
        <v>4092</v>
      </c>
      <c r="C474" s="513" t="s">
        <v>1782</v>
      </c>
      <c r="D474" s="151" t="s">
        <v>218</v>
      </c>
      <c r="E474" s="154"/>
      <c r="F474" s="175"/>
    </row>
    <row r="475" spans="2:8" s="167" customFormat="1" ht="15.4" customHeight="1" outlineLevel="1" x14ac:dyDescent="0.2">
      <c r="B475" s="60" t="s">
        <v>4093</v>
      </c>
      <c r="C475" s="513" t="s">
        <v>1783</v>
      </c>
      <c r="D475" s="151" t="s">
        <v>218</v>
      </c>
      <c r="E475" s="154"/>
      <c r="F475" s="175"/>
    </row>
    <row r="476" spans="2:8" s="142" customFormat="1" ht="15" customHeight="1" thickBot="1" x14ac:dyDescent="0.25">
      <c r="B476" s="491" t="s">
        <v>4094</v>
      </c>
      <c r="C476" s="835" t="s">
        <v>3369</v>
      </c>
      <c r="D476" s="836"/>
      <c r="E476" s="241">
        <f>E10+E31+E158+E285+E412</f>
        <v>0</v>
      </c>
      <c r="F476" s="242">
        <f>F10+F31+F158+F285+F412</f>
        <v>0</v>
      </c>
    </row>
    <row r="477" spans="2:8" ht="9" customHeight="1" x14ac:dyDescent="0.2">
      <c r="B477" s="176"/>
      <c r="C477" s="79"/>
      <c r="D477" s="79"/>
      <c r="E477" s="79"/>
      <c r="F477" s="79"/>
    </row>
    <row r="478" spans="2:8" s="51" customFormat="1" ht="12.75" customHeight="1" x14ac:dyDescent="0.2">
      <c r="B478" s="516"/>
      <c r="C478" s="814" t="s">
        <v>3335</v>
      </c>
      <c r="D478" s="814"/>
      <c r="E478" s="814"/>
      <c r="F478" s="814"/>
    </row>
    <row r="479" spans="2:8" ht="9" customHeight="1" thickBot="1" x14ac:dyDescent="0.25">
      <c r="B479" s="517"/>
      <c r="C479" s="26"/>
      <c r="D479" s="78"/>
      <c r="E479" s="79"/>
      <c r="F479" s="79"/>
    </row>
    <row r="480" spans="2:8" s="132" customFormat="1" ht="15" customHeight="1" x14ac:dyDescent="0.2">
      <c r="B480" s="418" t="s">
        <v>4095</v>
      </c>
      <c r="C480" s="515">
        <v>1</v>
      </c>
      <c r="D480" s="412" t="s">
        <v>205</v>
      </c>
      <c r="E480" s="504">
        <f>SUM(E481:E500)</f>
        <v>0</v>
      </c>
      <c r="F480" s="508">
        <f>SUM(F481:F500)</f>
        <v>0</v>
      </c>
      <c r="H480" s="143"/>
    </row>
    <row r="481" spans="2:6" s="165" customFormat="1" ht="15.4" customHeight="1" outlineLevel="1" x14ac:dyDescent="0.2">
      <c r="B481" s="60" t="s">
        <v>4096</v>
      </c>
      <c r="C481" s="510">
        <v>1.1000000000000001</v>
      </c>
      <c r="D481" s="166" t="s">
        <v>258</v>
      </c>
      <c r="E481" s="173"/>
      <c r="F481" s="174"/>
    </row>
    <row r="482" spans="2:6" s="165" customFormat="1" ht="15.4" customHeight="1" outlineLevel="1" x14ac:dyDescent="0.2">
      <c r="B482" s="60" t="s">
        <v>4097</v>
      </c>
      <c r="C482" s="510">
        <v>1.2</v>
      </c>
      <c r="D482" s="166" t="s">
        <v>258</v>
      </c>
      <c r="E482" s="173"/>
      <c r="F482" s="174"/>
    </row>
    <row r="483" spans="2:6" s="165" customFormat="1" ht="15.4" customHeight="1" outlineLevel="1" x14ac:dyDescent="0.2">
      <c r="B483" s="60" t="s">
        <v>4098</v>
      </c>
      <c r="C483" s="510">
        <v>1.3</v>
      </c>
      <c r="D483" s="166" t="s">
        <v>258</v>
      </c>
      <c r="E483" s="173"/>
      <c r="F483" s="174"/>
    </row>
    <row r="484" spans="2:6" s="165" customFormat="1" ht="15.4" customHeight="1" outlineLevel="1" x14ac:dyDescent="0.2">
      <c r="B484" s="60" t="s">
        <v>4099</v>
      </c>
      <c r="C484" s="510">
        <v>1.4</v>
      </c>
      <c r="D484" s="166" t="s">
        <v>258</v>
      </c>
      <c r="E484" s="173"/>
      <c r="F484" s="174"/>
    </row>
    <row r="485" spans="2:6" s="165" customFormat="1" ht="15.4" customHeight="1" outlineLevel="1" x14ac:dyDescent="0.2">
      <c r="B485" s="60" t="s">
        <v>4100</v>
      </c>
      <c r="C485" s="510">
        <v>1.5</v>
      </c>
      <c r="D485" s="166" t="s">
        <v>258</v>
      </c>
      <c r="E485" s="173"/>
      <c r="F485" s="174"/>
    </row>
    <row r="486" spans="2:6" s="165" customFormat="1" ht="15.4" customHeight="1" outlineLevel="1" x14ac:dyDescent="0.2">
      <c r="B486" s="60" t="s">
        <v>4101</v>
      </c>
      <c r="C486" s="510">
        <v>1.6</v>
      </c>
      <c r="D486" s="166" t="s">
        <v>258</v>
      </c>
      <c r="E486" s="173"/>
      <c r="F486" s="174"/>
    </row>
    <row r="487" spans="2:6" s="165" customFormat="1" ht="15.4" customHeight="1" outlineLevel="1" x14ac:dyDescent="0.2">
      <c r="B487" s="60" t="s">
        <v>4102</v>
      </c>
      <c r="C487" s="510">
        <v>1.7</v>
      </c>
      <c r="D487" s="166" t="s">
        <v>258</v>
      </c>
      <c r="E487" s="173"/>
      <c r="F487" s="174"/>
    </row>
    <row r="488" spans="2:6" s="165" customFormat="1" ht="15.4" customHeight="1" outlineLevel="1" x14ac:dyDescent="0.2">
      <c r="B488" s="60" t="s">
        <v>4103</v>
      </c>
      <c r="C488" s="510">
        <v>1.8</v>
      </c>
      <c r="D488" s="166" t="s">
        <v>258</v>
      </c>
      <c r="E488" s="173"/>
      <c r="F488" s="174"/>
    </row>
    <row r="489" spans="2:6" s="165" customFormat="1" ht="15.4" customHeight="1" outlineLevel="1" x14ac:dyDescent="0.2">
      <c r="B489" s="60" t="s">
        <v>4104</v>
      </c>
      <c r="C489" s="510">
        <v>1.9</v>
      </c>
      <c r="D489" s="166" t="s">
        <v>258</v>
      </c>
      <c r="E489" s="173"/>
      <c r="F489" s="174"/>
    </row>
    <row r="490" spans="2:6" s="165" customFormat="1" ht="15.4" customHeight="1" outlineLevel="1" x14ac:dyDescent="0.2">
      <c r="B490" s="60" t="s">
        <v>4105</v>
      </c>
      <c r="C490" s="510" t="s">
        <v>466</v>
      </c>
      <c r="D490" s="166" t="s">
        <v>258</v>
      </c>
      <c r="E490" s="173"/>
      <c r="F490" s="174"/>
    </row>
    <row r="491" spans="2:6" s="165" customFormat="1" ht="15.4" customHeight="1" outlineLevel="1" x14ac:dyDescent="0.2">
      <c r="B491" s="60" t="s">
        <v>4106</v>
      </c>
      <c r="C491" s="510" t="s">
        <v>467</v>
      </c>
      <c r="D491" s="166" t="s">
        <v>258</v>
      </c>
      <c r="E491" s="173"/>
      <c r="F491" s="174"/>
    </row>
    <row r="492" spans="2:6" s="165" customFormat="1" ht="15.4" customHeight="1" outlineLevel="1" x14ac:dyDescent="0.2">
      <c r="B492" s="60" t="s">
        <v>4107</v>
      </c>
      <c r="C492" s="510" t="s">
        <v>468</v>
      </c>
      <c r="D492" s="166" t="s">
        <v>258</v>
      </c>
      <c r="E492" s="173"/>
      <c r="F492" s="174"/>
    </row>
    <row r="493" spans="2:6" s="165" customFormat="1" ht="15.4" customHeight="1" outlineLevel="1" x14ac:dyDescent="0.2">
      <c r="B493" s="60" t="s">
        <v>4108</v>
      </c>
      <c r="C493" s="510" t="s">
        <v>469</v>
      </c>
      <c r="D493" s="166" t="s">
        <v>258</v>
      </c>
      <c r="E493" s="173"/>
      <c r="F493" s="174"/>
    </row>
    <row r="494" spans="2:6" s="165" customFormat="1" ht="15.4" customHeight="1" outlineLevel="1" x14ac:dyDescent="0.2">
      <c r="B494" s="60" t="s">
        <v>4109</v>
      </c>
      <c r="C494" s="510" t="s">
        <v>470</v>
      </c>
      <c r="D494" s="166" t="s">
        <v>258</v>
      </c>
      <c r="E494" s="173"/>
      <c r="F494" s="174"/>
    </row>
    <row r="495" spans="2:6" s="165" customFormat="1" ht="15.4" customHeight="1" outlineLevel="1" x14ac:dyDescent="0.2">
      <c r="B495" s="60" t="s">
        <v>4110</v>
      </c>
      <c r="C495" s="510" t="s">
        <v>471</v>
      </c>
      <c r="D495" s="166" t="s">
        <v>258</v>
      </c>
      <c r="E495" s="173"/>
      <c r="F495" s="174"/>
    </row>
    <row r="496" spans="2:6" s="165" customFormat="1" ht="15.4" customHeight="1" outlineLevel="1" x14ac:dyDescent="0.2">
      <c r="B496" s="60" t="s">
        <v>4111</v>
      </c>
      <c r="C496" s="510" t="s">
        <v>472</v>
      </c>
      <c r="D496" s="166" t="s">
        <v>258</v>
      </c>
      <c r="E496" s="173"/>
      <c r="F496" s="174"/>
    </row>
    <row r="497" spans="2:8" s="165" customFormat="1" ht="15.4" customHeight="1" outlineLevel="1" x14ac:dyDescent="0.2">
      <c r="B497" s="60" t="s">
        <v>4112</v>
      </c>
      <c r="C497" s="510" t="s">
        <v>473</v>
      </c>
      <c r="D497" s="166" t="s">
        <v>258</v>
      </c>
      <c r="E497" s="173"/>
      <c r="F497" s="174"/>
    </row>
    <row r="498" spans="2:8" s="165" customFormat="1" ht="15.4" customHeight="1" outlineLevel="1" x14ac:dyDescent="0.2">
      <c r="B498" s="60" t="s">
        <v>4113</v>
      </c>
      <c r="C498" s="510" t="s">
        <v>474</v>
      </c>
      <c r="D498" s="166" t="s">
        <v>258</v>
      </c>
      <c r="E498" s="173"/>
      <c r="F498" s="174"/>
    </row>
    <row r="499" spans="2:8" s="165" customFormat="1" ht="15.4" customHeight="1" outlineLevel="1" x14ac:dyDescent="0.2">
      <c r="B499" s="60" t="s">
        <v>4114</v>
      </c>
      <c r="C499" s="510" t="s">
        <v>475</v>
      </c>
      <c r="D499" s="166" t="s">
        <v>258</v>
      </c>
      <c r="E499" s="173"/>
      <c r="F499" s="174"/>
    </row>
    <row r="500" spans="2:8" s="165" customFormat="1" ht="15.4" customHeight="1" outlineLevel="1" x14ac:dyDescent="0.2">
      <c r="B500" s="60" t="s">
        <v>4115</v>
      </c>
      <c r="C500" s="510" t="s">
        <v>476</v>
      </c>
      <c r="D500" s="166" t="s">
        <v>258</v>
      </c>
      <c r="E500" s="173"/>
      <c r="F500" s="174"/>
    </row>
    <row r="501" spans="2:8" s="30" customFormat="1" ht="15" customHeight="1" x14ac:dyDescent="0.2">
      <c r="B501" s="60" t="s">
        <v>4116</v>
      </c>
      <c r="C501" s="511" t="s">
        <v>437</v>
      </c>
      <c r="D501" s="94" t="s">
        <v>1218</v>
      </c>
      <c r="E501" s="635">
        <f>E502+E523+E544+E565+E586+E607</f>
        <v>0</v>
      </c>
      <c r="F501" s="638">
        <f>F502+F523+F544+F565+F586+F607</f>
        <v>0</v>
      </c>
      <c r="H501" s="143"/>
    </row>
    <row r="502" spans="2:8" s="138" customFormat="1" ht="15" customHeight="1" x14ac:dyDescent="0.2">
      <c r="B502" s="60" t="s">
        <v>4117</v>
      </c>
      <c r="C502" s="514" t="s">
        <v>424</v>
      </c>
      <c r="D502" s="164" t="s">
        <v>206</v>
      </c>
      <c r="E502" s="636">
        <f>SUM(E503:E522)</f>
        <v>0</v>
      </c>
      <c r="F502" s="637">
        <f>SUM(F503:F522)</f>
        <v>0</v>
      </c>
    </row>
    <row r="503" spans="2:8" s="165" customFormat="1" ht="15.4" customHeight="1" outlineLevel="1" x14ac:dyDescent="0.2">
      <c r="B503" s="60" t="s">
        <v>4118</v>
      </c>
      <c r="C503" s="513" t="s">
        <v>448</v>
      </c>
      <c r="D503" s="166" t="s">
        <v>260</v>
      </c>
      <c r="E503" s="173"/>
      <c r="F503" s="174"/>
    </row>
    <row r="504" spans="2:8" s="165" customFormat="1" ht="15.4" customHeight="1" outlineLevel="1" x14ac:dyDescent="0.2">
      <c r="B504" s="60" t="s">
        <v>4119</v>
      </c>
      <c r="C504" s="513" t="s">
        <v>449</v>
      </c>
      <c r="D504" s="166" t="s">
        <v>260</v>
      </c>
      <c r="E504" s="173"/>
      <c r="F504" s="174"/>
    </row>
    <row r="505" spans="2:8" s="165" customFormat="1" ht="15.4" customHeight="1" outlineLevel="1" x14ac:dyDescent="0.2">
      <c r="B505" s="60" t="s">
        <v>4120</v>
      </c>
      <c r="C505" s="513" t="s">
        <v>562</v>
      </c>
      <c r="D505" s="166" t="s">
        <v>260</v>
      </c>
      <c r="E505" s="173"/>
      <c r="F505" s="174"/>
    </row>
    <row r="506" spans="2:8" s="165" customFormat="1" ht="15.4" customHeight="1" outlineLevel="1" x14ac:dyDescent="0.2">
      <c r="B506" s="60" t="s">
        <v>4121</v>
      </c>
      <c r="C506" s="513" t="s">
        <v>563</v>
      </c>
      <c r="D506" s="166" t="s">
        <v>260</v>
      </c>
      <c r="E506" s="173"/>
      <c r="F506" s="174"/>
    </row>
    <row r="507" spans="2:8" s="165" customFormat="1" ht="15.4" customHeight="1" outlineLevel="1" x14ac:dyDescent="0.2">
      <c r="B507" s="60" t="s">
        <v>4122</v>
      </c>
      <c r="C507" s="513" t="s">
        <v>564</v>
      </c>
      <c r="D507" s="166" t="s">
        <v>260</v>
      </c>
      <c r="E507" s="173"/>
      <c r="F507" s="174"/>
    </row>
    <row r="508" spans="2:8" s="165" customFormat="1" ht="15.4" customHeight="1" outlineLevel="1" x14ac:dyDescent="0.2">
      <c r="B508" s="60" t="s">
        <v>4123</v>
      </c>
      <c r="C508" s="513" t="s">
        <v>565</v>
      </c>
      <c r="D508" s="166" t="s">
        <v>260</v>
      </c>
      <c r="E508" s="173"/>
      <c r="F508" s="174"/>
    </row>
    <row r="509" spans="2:8" s="165" customFormat="1" ht="15.4" customHeight="1" outlineLevel="1" x14ac:dyDescent="0.2">
      <c r="B509" s="60" t="s">
        <v>4124</v>
      </c>
      <c r="C509" s="513" t="s">
        <v>566</v>
      </c>
      <c r="D509" s="166" t="s">
        <v>260</v>
      </c>
      <c r="E509" s="173"/>
      <c r="F509" s="174"/>
    </row>
    <row r="510" spans="2:8" s="165" customFormat="1" ht="15.4" customHeight="1" outlineLevel="1" x14ac:dyDescent="0.2">
      <c r="B510" s="60" t="s">
        <v>4125</v>
      </c>
      <c r="C510" s="513" t="s">
        <v>567</v>
      </c>
      <c r="D510" s="166" t="s">
        <v>260</v>
      </c>
      <c r="E510" s="173"/>
      <c r="F510" s="174"/>
    </row>
    <row r="511" spans="2:8" s="165" customFormat="1" ht="15.4" customHeight="1" outlineLevel="1" x14ac:dyDescent="0.2">
      <c r="B511" s="60" t="s">
        <v>4126</v>
      </c>
      <c r="C511" s="513" t="s">
        <v>568</v>
      </c>
      <c r="D511" s="166" t="s">
        <v>260</v>
      </c>
      <c r="E511" s="173"/>
      <c r="F511" s="174"/>
    </row>
    <row r="512" spans="2:8" s="165" customFormat="1" ht="15.4" customHeight="1" outlineLevel="1" x14ac:dyDescent="0.2">
      <c r="B512" s="60" t="s">
        <v>4127</v>
      </c>
      <c r="C512" s="513" t="s">
        <v>569</v>
      </c>
      <c r="D512" s="166" t="s">
        <v>260</v>
      </c>
      <c r="E512" s="173"/>
      <c r="F512" s="174"/>
    </row>
    <row r="513" spans="2:6" s="165" customFormat="1" ht="15.4" customHeight="1" outlineLevel="1" x14ac:dyDescent="0.2">
      <c r="B513" s="60" t="s">
        <v>4128</v>
      </c>
      <c r="C513" s="513" t="s">
        <v>570</v>
      </c>
      <c r="D513" s="166" t="s">
        <v>260</v>
      </c>
      <c r="E513" s="173"/>
      <c r="F513" s="174"/>
    </row>
    <row r="514" spans="2:6" s="165" customFormat="1" ht="15.4" customHeight="1" outlineLevel="1" x14ac:dyDescent="0.2">
      <c r="B514" s="60" t="s">
        <v>4129</v>
      </c>
      <c r="C514" s="513" t="s">
        <v>571</v>
      </c>
      <c r="D514" s="166" t="s">
        <v>260</v>
      </c>
      <c r="E514" s="173"/>
      <c r="F514" s="174"/>
    </row>
    <row r="515" spans="2:6" s="165" customFormat="1" ht="15.4" customHeight="1" outlineLevel="1" x14ac:dyDescent="0.2">
      <c r="B515" s="60" t="s">
        <v>4130</v>
      </c>
      <c r="C515" s="513" t="s">
        <v>572</v>
      </c>
      <c r="D515" s="166" t="s">
        <v>260</v>
      </c>
      <c r="E515" s="173"/>
      <c r="F515" s="174"/>
    </row>
    <row r="516" spans="2:6" s="165" customFormat="1" ht="15.4" customHeight="1" outlineLevel="1" x14ac:dyDescent="0.2">
      <c r="B516" s="60" t="s">
        <v>4131</v>
      </c>
      <c r="C516" s="513" t="s">
        <v>573</v>
      </c>
      <c r="D516" s="166" t="s">
        <v>260</v>
      </c>
      <c r="E516" s="173"/>
      <c r="F516" s="174"/>
    </row>
    <row r="517" spans="2:6" s="165" customFormat="1" ht="15.4" customHeight="1" outlineLevel="1" x14ac:dyDescent="0.2">
      <c r="B517" s="60" t="s">
        <v>4132</v>
      </c>
      <c r="C517" s="513" t="s">
        <v>574</v>
      </c>
      <c r="D517" s="166" t="s">
        <v>260</v>
      </c>
      <c r="E517" s="173"/>
      <c r="F517" s="174"/>
    </row>
    <row r="518" spans="2:6" s="165" customFormat="1" ht="15.4" customHeight="1" outlineLevel="1" x14ac:dyDescent="0.2">
      <c r="B518" s="60" t="s">
        <v>4133</v>
      </c>
      <c r="C518" s="513" t="s">
        <v>575</v>
      </c>
      <c r="D518" s="166" t="s">
        <v>260</v>
      </c>
      <c r="E518" s="173"/>
      <c r="F518" s="174"/>
    </row>
    <row r="519" spans="2:6" s="165" customFormat="1" ht="15.4" customHeight="1" outlineLevel="1" x14ac:dyDescent="0.2">
      <c r="B519" s="60" t="s">
        <v>4134</v>
      </c>
      <c r="C519" s="513" t="s">
        <v>576</v>
      </c>
      <c r="D519" s="166" t="s">
        <v>260</v>
      </c>
      <c r="E519" s="173"/>
      <c r="F519" s="174"/>
    </row>
    <row r="520" spans="2:6" s="165" customFormat="1" ht="15.4" customHeight="1" outlineLevel="1" x14ac:dyDescent="0.2">
      <c r="B520" s="60" t="s">
        <v>4135</v>
      </c>
      <c r="C520" s="513" t="s">
        <v>577</v>
      </c>
      <c r="D520" s="166" t="s">
        <v>260</v>
      </c>
      <c r="E520" s="173"/>
      <c r="F520" s="174"/>
    </row>
    <row r="521" spans="2:6" s="165" customFormat="1" ht="15.4" customHeight="1" outlineLevel="1" x14ac:dyDescent="0.2">
      <c r="B521" s="60" t="s">
        <v>4136</v>
      </c>
      <c r="C521" s="513" t="s">
        <v>578</v>
      </c>
      <c r="D521" s="166" t="s">
        <v>260</v>
      </c>
      <c r="E521" s="173"/>
      <c r="F521" s="174"/>
    </row>
    <row r="522" spans="2:6" s="165" customFormat="1" ht="15.4" customHeight="1" outlineLevel="1" x14ac:dyDescent="0.2">
      <c r="B522" s="60" t="s">
        <v>4137</v>
      </c>
      <c r="C522" s="513" t="s">
        <v>579</v>
      </c>
      <c r="D522" s="166" t="s">
        <v>260</v>
      </c>
      <c r="E522" s="173"/>
      <c r="F522" s="174"/>
    </row>
    <row r="523" spans="2:6" s="138" customFormat="1" ht="15" customHeight="1" x14ac:dyDescent="0.2">
      <c r="B523" s="60" t="s">
        <v>4138</v>
      </c>
      <c r="C523" s="514" t="s">
        <v>425</v>
      </c>
      <c r="D523" s="164" t="s">
        <v>4666</v>
      </c>
      <c r="E523" s="636">
        <f>SUM(E524:E543)</f>
        <v>0</v>
      </c>
      <c r="F523" s="637">
        <f>SUM(F524:F543)</f>
        <v>0</v>
      </c>
    </row>
    <row r="524" spans="2:6" s="165" customFormat="1" ht="15.4" customHeight="1" outlineLevel="1" x14ac:dyDescent="0.2">
      <c r="B524" s="60" t="s">
        <v>4139</v>
      </c>
      <c r="C524" s="513" t="s">
        <v>580</v>
      </c>
      <c r="D524" s="166" t="s">
        <v>260</v>
      </c>
      <c r="E524" s="173"/>
      <c r="F524" s="174"/>
    </row>
    <row r="525" spans="2:6" s="165" customFormat="1" ht="15.4" customHeight="1" outlineLevel="1" x14ac:dyDescent="0.2">
      <c r="B525" s="60" t="s">
        <v>4140</v>
      </c>
      <c r="C525" s="513" t="s">
        <v>581</v>
      </c>
      <c r="D525" s="166" t="s">
        <v>260</v>
      </c>
      <c r="E525" s="173"/>
      <c r="F525" s="174"/>
    </row>
    <row r="526" spans="2:6" s="165" customFormat="1" ht="15.4" customHeight="1" outlineLevel="1" x14ac:dyDescent="0.2">
      <c r="B526" s="60" t="s">
        <v>4141</v>
      </c>
      <c r="C526" s="513" t="s">
        <v>582</v>
      </c>
      <c r="D526" s="166" t="s">
        <v>260</v>
      </c>
      <c r="E526" s="173"/>
      <c r="F526" s="174"/>
    </row>
    <row r="527" spans="2:6" s="165" customFormat="1" ht="15.4" customHeight="1" outlineLevel="1" x14ac:dyDescent="0.2">
      <c r="B527" s="60" t="s">
        <v>4142</v>
      </c>
      <c r="C527" s="513" t="s">
        <v>583</v>
      </c>
      <c r="D527" s="166" t="s">
        <v>260</v>
      </c>
      <c r="E527" s="173"/>
      <c r="F527" s="174"/>
    </row>
    <row r="528" spans="2:6" s="165" customFormat="1" ht="15.4" customHeight="1" outlineLevel="1" x14ac:dyDescent="0.2">
      <c r="B528" s="60" t="s">
        <v>4143</v>
      </c>
      <c r="C528" s="513" t="s">
        <v>584</v>
      </c>
      <c r="D528" s="166" t="s">
        <v>260</v>
      </c>
      <c r="E528" s="173"/>
      <c r="F528" s="174"/>
    </row>
    <row r="529" spans="2:6" s="165" customFormat="1" ht="15.4" customHeight="1" outlineLevel="1" x14ac:dyDescent="0.2">
      <c r="B529" s="60" t="s">
        <v>4144</v>
      </c>
      <c r="C529" s="513" t="s">
        <v>585</v>
      </c>
      <c r="D529" s="166" t="s">
        <v>260</v>
      </c>
      <c r="E529" s="173"/>
      <c r="F529" s="174"/>
    </row>
    <row r="530" spans="2:6" s="165" customFormat="1" ht="15.4" customHeight="1" outlineLevel="1" x14ac:dyDescent="0.2">
      <c r="B530" s="60" t="s">
        <v>4145</v>
      </c>
      <c r="C530" s="513" t="s">
        <v>586</v>
      </c>
      <c r="D530" s="166" t="s">
        <v>260</v>
      </c>
      <c r="E530" s="173"/>
      <c r="F530" s="174"/>
    </row>
    <row r="531" spans="2:6" s="165" customFormat="1" ht="15.4" customHeight="1" outlineLevel="1" x14ac:dyDescent="0.2">
      <c r="B531" s="60" t="s">
        <v>4146</v>
      </c>
      <c r="C531" s="513" t="s">
        <v>587</v>
      </c>
      <c r="D531" s="166" t="s">
        <v>260</v>
      </c>
      <c r="E531" s="173"/>
      <c r="F531" s="174"/>
    </row>
    <row r="532" spans="2:6" s="165" customFormat="1" ht="15.4" customHeight="1" outlineLevel="1" x14ac:dyDescent="0.2">
      <c r="B532" s="60" t="s">
        <v>4147</v>
      </c>
      <c r="C532" s="513" t="s">
        <v>588</v>
      </c>
      <c r="D532" s="166" t="s">
        <v>260</v>
      </c>
      <c r="E532" s="173"/>
      <c r="F532" s="174"/>
    </row>
    <row r="533" spans="2:6" s="165" customFormat="1" ht="15.4" customHeight="1" outlineLevel="1" x14ac:dyDescent="0.2">
      <c r="B533" s="60" t="s">
        <v>4148</v>
      </c>
      <c r="C533" s="513" t="s">
        <v>589</v>
      </c>
      <c r="D533" s="166" t="s">
        <v>260</v>
      </c>
      <c r="E533" s="173"/>
      <c r="F533" s="174"/>
    </row>
    <row r="534" spans="2:6" s="165" customFormat="1" ht="15.4" customHeight="1" outlineLevel="1" x14ac:dyDescent="0.2">
      <c r="B534" s="60" t="s">
        <v>4149</v>
      </c>
      <c r="C534" s="513" t="s">
        <v>590</v>
      </c>
      <c r="D534" s="166" t="s">
        <v>260</v>
      </c>
      <c r="E534" s="173"/>
      <c r="F534" s="174"/>
    </row>
    <row r="535" spans="2:6" s="165" customFormat="1" ht="15.4" customHeight="1" outlineLevel="1" x14ac:dyDescent="0.2">
      <c r="B535" s="60" t="s">
        <v>4150</v>
      </c>
      <c r="C535" s="513" t="s">
        <v>591</v>
      </c>
      <c r="D535" s="166" t="s">
        <v>260</v>
      </c>
      <c r="E535" s="173"/>
      <c r="F535" s="174"/>
    </row>
    <row r="536" spans="2:6" s="165" customFormat="1" ht="15.4" customHeight="1" outlineLevel="1" x14ac:dyDescent="0.2">
      <c r="B536" s="60" t="s">
        <v>4151</v>
      </c>
      <c r="C536" s="513" t="s">
        <v>592</v>
      </c>
      <c r="D536" s="166" t="s">
        <v>260</v>
      </c>
      <c r="E536" s="173"/>
      <c r="F536" s="174"/>
    </row>
    <row r="537" spans="2:6" s="165" customFormat="1" ht="15.4" customHeight="1" outlineLevel="1" x14ac:dyDescent="0.2">
      <c r="B537" s="60" t="s">
        <v>4152</v>
      </c>
      <c r="C537" s="513" t="s">
        <v>593</v>
      </c>
      <c r="D537" s="166" t="s">
        <v>260</v>
      </c>
      <c r="E537" s="173"/>
      <c r="F537" s="174"/>
    </row>
    <row r="538" spans="2:6" s="165" customFormat="1" ht="15.4" customHeight="1" outlineLevel="1" x14ac:dyDescent="0.2">
      <c r="B538" s="60" t="s">
        <v>4153</v>
      </c>
      <c r="C538" s="513" t="s">
        <v>594</v>
      </c>
      <c r="D538" s="166" t="s">
        <v>260</v>
      </c>
      <c r="E538" s="173"/>
      <c r="F538" s="174"/>
    </row>
    <row r="539" spans="2:6" s="165" customFormat="1" ht="15.4" customHeight="1" outlineLevel="1" x14ac:dyDescent="0.2">
      <c r="B539" s="60" t="s">
        <v>4154</v>
      </c>
      <c r="C539" s="513" t="s">
        <v>595</v>
      </c>
      <c r="D539" s="166" t="s">
        <v>260</v>
      </c>
      <c r="E539" s="173"/>
      <c r="F539" s="174"/>
    </row>
    <row r="540" spans="2:6" s="165" customFormat="1" ht="15.4" customHeight="1" outlineLevel="1" x14ac:dyDescent="0.2">
      <c r="B540" s="60" t="s">
        <v>4155</v>
      </c>
      <c r="C540" s="513" t="s">
        <v>596</v>
      </c>
      <c r="D540" s="166" t="s">
        <v>260</v>
      </c>
      <c r="E540" s="173"/>
      <c r="F540" s="174"/>
    </row>
    <row r="541" spans="2:6" s="165" customFormat="1" ht="15.4" customHeight="1" outlineLevel="1" x14ac:dyDescent="0.2">
      <c r="B541" s="60" t="s">
        <v>4156</v>
      </c>
      <c r="C541" s="513" t="s">
        <v>597</v>
      </c>
      <c r="D541" s="166" t="s">
        <v>260</v>
      </c>
      <c r="E541" s="173"/>
      <c r="F541" s="174"/>
    </row>
    <row r="542" spans="2:6" s="165" customFormat="1" ht="15.4" customHeight="1" outlineLevel="1" x14ac:dyDescent="0.2">
      <c r="B542" s="60" t="s">
        <v>4157</v>
      </c>
      <c r="C542" s="513" t="s">
        <v>598</v>
      </c>
      <c r="D542" s="166" t="s">
        <v>260</v>
      </c>
      <c r="E542" s="173"/>
      <c r="F542" s="174"/>
    </row>
    <row r="543" spans="2:6" s="165" customFormat="1" ht="15.4" customHeight="1" outlineLevel="1" x14ac:dyDescent="0.2">
      <c r="B543" s="60" t="s">
        <v>4158</v>
      </c>
      <c r="C543" s="513" t="s">
        <v>599</v>
      </c>
      <c r="D543" s="166" t="s">
        <v>260</v>
      </c>
      <c r="E543" s="173"/>
      <c r="F543" s="174"/>
    </row>
    <row r="544" spans="2:6" s="138" customFormat="1" ht="15" customHeight="1" x14ac:dyDescent="0.2">
      <c r="B544" s="60" t="s">
        <v>4159</v>
      </c>
      <c r="C544" s="514" t="s">
        <v>441</v>
      </c>
      <c r="D544" s="164" t="s">
        <v>207</v>
      </c>
      <c r="E544" s="636">
        <f>SUM(E545:E564)</f>
        <v>0</v>
      </c>
      <c r="F544" s="637">
        <f>SUM(F545:F564)</f>
        <v>0</v>
      </c>
    </row>
    <row r="545" spans="2:6" s="165" customFormat="1" ht="15.4" customHeight="1" outlineLevel="1" x14ac:dyDescent="0.2">
      <c r="B545" s="60" t="s">
        <v>4160</v>
      </c>
      <c r="C545" s="513" t="s">
        <v>1604</v>
      </c>
      <c r="D545" s="166" t="s">
        <v>260</v>
      </c>
      <c r="E545" s="173"/>
      <c r="F545" s="174"/>
    </row>
    <row r="546" spans="2:6" s="165" customFormat="1" ht="15.4" customHeight="1" outlineLevel="1" x14ac:dyDescent="0.2">
      <c r="B546" s="60" t="s">
        <v>4161</v>
      </c>
      <c r="C546" s="513" t="s">
        <v>1605</v>
      </c>
      <c r="D546" s="166" t="s">
        <v>260</v>
      </c>
      <c r="E546" s="173"/>
      <c r="F546" s="174"/>
    </row>
    <row r="547" spans="2:6" s="165" customFormat="1" ht="15.4" customHeight="1" outlineLevel="1" x14ac:dyDescent="0.2">
      <c r="B547" s="60" t="s">
        <v>4162</v>
      </c>
      <c r="C547" s="513" t="s">
        <v>1606</v>
      </c>
      <c r="D547" s="166" t="s">
        <v>260</v>
      </c>
      <c r="E547" s="173"/>
      <c r="F547" s="174"/>
    </row>
    <row r="548" spans="2:6" s="165" customFormat="1" ht="15.4" customHeight="1" outlineLevel="1" x14ac:dyDescent="0.2">
      <c r="B548" s="60" t="s">
        <v>4163</v>
      </c>
      <c r="C548" s="513" t="s">
        <v>1607</v>
      </c>
      <c r="D548" s="166" t="s">
        <v>260</v>
      </c>
      <c r="E548" s="173"/>
      <c r="F548" s="174"/>
    </row>
    <row r="549" spans="2:6" s="165" customFormat="1" ht="15.4" customHeight="1" outlineLevel="1" x14ac:dyDescent="0.2">
      <c r="B549" s="60" t="s">
        <v>4164</v>
      </c>
      <c r="C549" s="513" t="s">
        <v>1608</v>
      </c>
      <c r="D549" s="166" t="s">
        <v>260</v>
      </c>
      <c r="E549" s="173"/>
      <c r="F549" s="174"/>
    </row>
    <row r="550" spans="2:6" s="165" customFormat="1" ht="15.4" customHeight="1" outlineLevel="1" x14ac:dyDescent="0.2">
      <c r="B550" s="60" t="s">
        <v>4165</v>
      </c>
      <c r="C550" s="513" t="s">
        <v>1609</v>
      </c>
      <c r="D550" s="166" t="s">
        <v>260</v>
      </c>
      <c r="E550" s="173"/>
      <c r="F550" s="174"/>
    </row>
    <row r="551" spans="2:6" s="165" customFormat="1" ht="15.4" customHeight="1" outlineLevel="1" x14ac:dyDescent="0.2">
      <c r="B551" s="60" t="s">
        <v>4166</v>
      </c>
      <c r="C551" s="513" t="s">
        <v>1610</v>
      </c>
      <c r="D551" s="166" t="s">
        <v>260</v>
      </c>
      <c r="E551" s="173"/>
      <c r="F551" s="174"/>
    </row>
    <row r="552" spans="2:6" s="165" customFormat="1" ht="15.4" customHeight="1" outlineLevel="1" x14ac:dyDescent="0.2">
      <c r="B552" s="60" t="s">
        <v>4167</v>
      </c>
      <c r="C552" s="513" t="s">
        <v>1611</v>
      </c>
      <c r="D552" s="166" t="s">
        <v>260</v>
      </c>
      <c r="E552" s="173"/>
      <c r="F552" s="174"/>
    </row>
    <row r="553" spans="2:6" s="165" customFormat="1" ht="15.4" customHeight="1" outlineLevel="1" x14ac:dyDescent="0.2">
      <c r="B553" s="60" t="s">
        <v>4168</v>
      </c>
      <c r="C553" s="513" t="s">
        <v>1612</v>
      </c>
      <c r="D553" s="166" t="s">
        <v>260</v>
      </c>
      <c r="E553" s="173"/>
      <c r="F553" s="174"/>
    </row>
    <row r="554" spans="2:6" s="165" customFormat="1" ht="15.4" customHeight="1" outlineLevel="1" x14ac:dyDescent="0.2">
      <c r="B554" s="60" t="s">
        <v>4169</v>
      </c>
      <c r="C554" s="513" t="s">
        <v>1613</v>
      </c>
      <c r="D554" s="166" t="s">
        <v>260</v>
      </c>
      <c r="E554" s="173"/>
      <c r="F554" s="174"/>
    </row>
    <row r="555" spans="2:6" s="165" customFormat="1" ht="15.4" customHeight="1" outlineLevel="1" x14ac:dyDescent="0.2">
      <c r="B555" s="60" t="s">
        <v>4170</v>
      </c>
      <c r="C555" s="513" t="s">
        <v>1614</v>
      </c>
      <c r="D555" s="166" t="s">
        <v>260</v>
      </c>
      <c r="E555" s="173"/>
      <c r="F555" s="174"/>
    </row>
    <row r="556" spans="2:6" s="165" customFormat="1" ht="15.4" customHeight="1" outlineLevel="1" x14ac:dyDescent="0.2">
      <c r="B556" s="60" t="s">
        <v>4171</v>
      </c>
      <c r="C556" s="513" t="s">
        <v>1615</v>
      </c>
      <c r="D556" s="166" t="s">
        <v>260</v>
      </c>
      <c r="E556" s="173"/>
      <c r="F556" s="174"/>
    </row>
    <row r="557" spans="2:6" s="165" customFormat="1" ht="15.4" customHeight="1" outlineLevel="1" x14ac:dyDescent="0.2">
      <c r="B557" s="60" t="s">
        <v>4172</v>
      </c>
      <c r="C557" s="513" t="s">
        <v>1616</v>
      </c>
      <c r="D557" s="166" t="s">
        <v>260</v>
      </c>
      <c r="E557" s="173"/>
      <c r="F557" s="174"/>
    </row>
    <row r="558" spans="2:6" s="165" customFormat="1" ht="15.4" customHeight="1" outlineLevel="1" x14ac:dyDescent="0.2">
      <c r="B558" s="60" t="s">
        <v>4173</v>
      </c>
      <c r="C558" s="513" t="s">
        <v>1617</v>
      </c>
      <c r="D558" s="166" t="s">
        <v>260</v>
      </c>
      <c r="E558" s="173"/>
      <c r="F558" s="174"/>
    </row>
    <row r="559" spans="2:6" s="165" customFormat="1" ht="15.4" customHeight="1" outlineLevel="1" x14ac:dyDescent="0.2">
      <c r="B559" s="60" t="s">
        <v>4174</v>
      </c>
      <c r="C559" s="513" t="s">
        <v>1618</v>
      </c>
      <c r="D559" s="166" t="s">
        <v>260</v>
      </c>
      <c r="E559" s="173"/>
      <c r="F559" s="174"/>
    </row>
    <row r="560" spans="2:6" s="165" customFormat="1" ht="15.4" customHeight="1" outlineLevel="1" x14ac:dyDescent="0.2">
      <c r="B560" s="60" t="s">
        <v>4175</v>
      </c>
      <c r="C560" s="513" t="s">
        <v>1619</v>
      </c>
      <c r="D560" s="166" t="s">
        <v>260</v>
      </c>
      <c r="E560" s="173"/>
      <c r="F560" s="174"/>
    </row>
    <row r="561" spans="2:6" s="165" customFormat="1" ht="15.4" customHeight="1" outlineLevel="1" x14ac:dyDescent="0.2">
      <c r="B561" s="60" t="s">
        <v>4176</v>
      </c>
      <c r="C561" s="513" t="s">
        <v>1620</v>
      </c>
      <c r="D561" s="166" t="s">
        <v>260</v>
      </c>
      <c r="E561" s="173"/>
      <c r="F561" s="174"/>
    </row>
    <row r="562" spans="2:6" s="165" customFormat="1" ht="15.4" customHeight="1" outlineLevel="1" x14ac:dyDescent="0.2">
      <c r="B562" s="60" t="s">
        <v>4177</v>
      </c>
      <c r="C562" s="513" t="s">
        <v>1621</v>
      </c>
      <c r="D562" s="166" t="s">
        <v>260</v>
      </c>
      <c r="E562" s="173"/>
      <c r="F562" s="174"/>
    </row>
    <row r="563" spans="2:6" s="165" customFormat="1" ht="15.4" customHeight="1" outlineLevel="1" x14ac:dyDescent="0.2">
      <c r="B563" s="60" t="s">
        <v>4178</v>
      </c>
      <c r="C563" s="513" t="s">
        <v>1622</v>
      </c>
      <c r="D563" s="166" t="s">
        <v>260</v>
      </c>
      <c r="E563" s="173"/>
      <c r="F563" s="174"/>
    </row>
    <row r="564" spans="2:6" s="165" customFormat="1" ht="15.4" customHeight="1" outlineLevel="1" x14ac:dyDescent="0.2">
      <c r="B564" s="60" t="s">
        <v>4179</v>
      </c>
      <c r="C564" s="513" t="s">
        <v>1623</v>
      </c>
      <c r="D564" s="166" t="s">
        <v>260</v>
      </c>
      <c r="E564" s="173"/>
      <c r="F564" s="174"/>
    </row>
    <row r="565" spans="2:6" s="138" customFormat="1" ht="15" customHeight="1" x14ac:dyDescent="0.2">
      <c r="B565" s="60" t="s">
        <v>4180</v>
      </c>
      <c r="C565" s="514" t="s">
        <v>477</v>
      </c>
      <c r="D565" s="164" t="s">
        <v>4669</v>
      </c>
      <c r="E565" s="636">
        <f>SUM(E566:E585)</f>
        <v>0</v>
      </c>
      <c r="F565" s="637">
        <f>SUM(F566:F585)</f>
        <v>0</v>
      </c>
    </row>
    <row r="566" spans="2:6" s="165" customFormat="1" ht="15.4" customHeight="1" outlineLevel="1" x14ac:dyDescent="0.2">
      <c r="B566" s="60" t="s">
        <v>4181</v>
      </c>
      <c r="C566" s="513" t="s">
        <v>1624</v>
      </c>
      <c r="D566" s="166" t="s">
        <v>260</v>
      </c>
      <c r="E566" s="173"/>
      <c r="F566" s="174"/>
    </row>
    <row r="567" spans="2:6" s="165" customFormat="1" ht="15.4" customHeight="1" outlineLevel="1" x14ac:dyDescent="0.2">
      <c r="B567" s="60" t="s">
        <v>4182</v>
      </c>
      <c r="C567" s="513" t="s">
        <v>1625</v>
      </c>
      <c r="D567" s="166" t="s">
        <v>260</v>
      </c>
      <c r="E567" s="173"/>
      <c r="F567" s="174"/>
    </row>
    <row r="568" spans="2:6" s="165" customFormat="1" ht="15.4" customHeight="1" outlineLevel="1" x14ac:dyDescent="0.2">
      <c r="B568" s="60" t="s">
        <v>4183</v>
      </c>
      <c r="C568" s="513" t="s">
        <v>1626</v>
      </c>
      <c r="D568" s="166" t="s">
        <v>260</v>
      </c>
      <c r="E568" s="173"/>
      <c r="F568" s="174"/>
    </row>
    <row r="569" spans="2:6" s="165" customFormat="1" ht="15.4" customHeight="1" outlineLevel="1" x14ac:dyDescent="0.2">
      <c r="B569" s="60" t="s">
        <v>4184</v>
      </c>
      <c r="C569" s="513" t="s">
        <v>1627</v>
      </c>
      <c r="D569" s="166" t="s">
        <v>260</v>
      </c>
      <c r="E569" s="173"/>
      <c r="F569" s="174"/>
    </row>
    <row r="570" spans="2:6" s="165" customFormat="1" ht="15.4" customHeight="1" outlineLevel="1" x14ac:dyDescent="0.2">
      <c r="B570" s="60" t="s">
        <v>4185</v>
      </c>
      <c r="C570" s="513" t="s">
        <v>1628</v>
      </c>
      <c r="D570" s="166" t="s">
        <v>260</v>
      </c>
      <c r="E570" s="173"/>
      <c r="F570" s="174"/>
    </row>
    <row r="571" spans="2:6" s="165" customFormat="1" ht="15.4" customHeight="1" outlineLevel="1" x14ac:dyDescent="0.2">
      <c r="B571" s="60" t="s">
        <v>4186</v>
      </c>
      <c r="C571" s="513" t="s">
        <v>1629</v>
      </c>
      <c r="D571" s="166" t="s">
        <v>260</v>
      </c>
      <c r="E571" s="173"/>
      <c r="F571" s="174"/>
    </row>
    <row r="572" spans="2:6" s="165" customFormat="1" ht="15.4" customHeight="1" outlineLevel="1" x14ac:dyDescent="0.2">
      <c r="B572" s="60" t="s">
        <v>4187</v>
      </c>
      <c r="C572" s="513" t="s">
        <v>1630</v>
      </c>
      <c r="D572" s="166" t="s">
        <v>260</v>
      </c>
      <c r="E572" s="173"/>
      <c r="F572" s="174"/>
    </row>
    <row r="573" spans="2:6" s="165" customFormat="1" ht="15.4" customHeight="1" outlineLevel="1" x14ac:dyDescent="0.2">
      <c r="B573" s="60" t="s">
        <v>4188</v>
      </c>
      <c r="C573" s="513" t="s">
        <v>1631</v>
      </c>
      <c r="D573" s="166" t="s">
        <v>260</v>
      </c>
      <c r="E573" s="173"/>
      <c r="F573" s="174"/>
    </row>
    <row r="574" spans="2:6" s="165" customFormat="1" ht="15.4" customHeight="1" outlineLevel="1" x14ac:dyDescent="0.2">
      <c r="B574" s="60" t="s">
        <v>4189</v>
      </c>
      <c r="C574" s="513" t="s">
        <v>1632</v>
      </c>
      <c r="D574" s="166" t="s">
        <v>260</v>
      </c>
      <c r="E574" s="173"/>
      <c r="F574" s="174"/>
    </row>
    <row r="575" spans="2:6" s="165" customFormat="1" ht="15.4" customHeight="1" outlineLevel="1" x14ac:dyDescent="0.2">
      <c r="B575" s="60" t="s">
        <v>4190</v>
      </c>
      <c r="C575" s="513" t="s">
        <v>1633</v>
      </c>
      <c r="D575" s="166" t="s">
        <v>260</v>
      </c>
      <c r="E575" s="173"/>
      <c r="F575" s="174"/>
    </row>
    <row r="576" spans="2:6" s="165" customFormat="1" ht="15.4" customHeight="1" outlineLevel="1" x14ac:dyDescent="0.2">
      <c r="B576" s="60" t="s">
        <v>4191</v>
      </c>
      <c r="C576" s="513" t="s">
        <v>1634</v>
      </c>
      <c r="D576" s="166" t="s">
        <v>260</v>
      </c>
      <c r="E576" s="173"/>
      <c r="F576" s="174"/>
    </row>
    <row r="577" spans="2:6" s="165" customFormat="1" ht="15.4" customHeight="1" outlineLevel="1" x14ac:dyDescent="0.2">
      <c r="B577" s="60" t="s">
        <v>4192</v>
      </c>
      <c r="C577" s="513" t="s">
        <v>1635</v>
      </c>
      <c r="D577" s="166" t="s">
        <v>260</v>
      </c>
      <c r="E577" s="173"/>
      <c r="F577" s="174"/>
    </row>
    <row r="578" spans="2:6" s="165" customFormat="1" ht="15.4" customHeight="1" outlineLevel="1" x14ac:dyDescent="0.2">
      <c r="B578" s="60" t="s">
        <v>4193</v>
      </c>
      <c r="C578" s="513" t="s">
        <v>1636</v>
      </c>
      <c r="D578" s="166" t="s">
        <v>260</v>
      </c>
      <c r="E578" s="173"/>
      <c r="F578" s="174"/>
    </row>
    <row r="579" spans="2:6" s="165" customFormat="1" ht="15.4" customHeight="1" outlineLevel="1" x14ac:dyDescent="0.2">
      <c r="B579" s="60" t="s">
        <v>4194</v>
      </c>
      <c r="C579" s="513" t="s">
        <v>1637</v>
      </c>
      <c r="D579" s="166" t="s">
        <v>260</v>
      </c>
      <c r="E579" s="173"/>
      <c r="F579" s="174"/>
    </row>
    <row r="580" spans="2:6" s="165" customFormat="1" ht="15.4" customHeight="1" outlineLevel="1" x14ac:dyDescent="0.2">
      <c r="B580" s="60" t="s">
        <v>4195</v>
      </c>
      <c r="C580" s="513" t="s">
        <v>1638</v>
      </c>
      <c r="D580" s="166" t="s">
        <v>260</v>
      </c>
      <c r="E580" s="173"/>
      <c r="F580" s="174"/>
    </row>
    <row r="581" spans="2:6" s="165" customFormat="1" ht="15.4" customHeight="1" outlineLevel="1" x14ac:dyDescent="0.2">
      <c r="B581" s="60" t="s">
        <v>4196</v>
      </c>
      <c r="C581" s="513" t="s">
        <v>1639</v>
      </c>
      <c r="D581" s="166" t="s">
        <v>260</v>
      </c>
      <c r="E581" s="173"/>
      <c r="F581" s="174"/>
    </row>
    <row r="582" spans="2:6" s="165" customFormat="1" ht="15.4" customHeight="1" outlineLevel="1" x14ac:dyDescent="0.2">
      <c r="B582" s="60" t="s">
        <v>4197</v>
      </c>
      <c r="C582" s="513" t="s">
        <v>1640</v>
      </c>
      <c r="D582" s="166" t="s">
        <v>260</v>
      </c>
      <c r="E582" s="173"/>
      <c r="F582" s="174"/>
    </row>
    <row r="583" spans="2:6" s="165" customFormat="1" ht="15.4" customHeight="1" outlineLevel="1" x14ac:dyDescent="0.2">
      <c r="B583" s="60" t="s">
        <v>4198</v>
      </c>
      <c r="C583" s="513" t="s">
        <v>1641</v>
      </c>
      <c r="D583" s="166" t="s">
        <v>260</v>
      </c>
      <c r="E583" s="173"/>
      <c r="F583" s="174"/>
    </row>
    <row r="584" spans="2:6" s="165" customFormat="1" ht="15.4" customHeight="1" outlineLevel="1" x14ac:dyDescent="0.2">
      <c r="B584" s="60" t="s">
        <v>4199</v>
      </c>
      <c r="C584" s="513" t="s">
        <v>1642</v>
      </c>
      <c r="D584" s="166" t="s">
        <v>260</v>
      </c>
      <c r="E584" s="173"/>
      <c r="F584" s="174"/>
    </row>
    <row r="585" spans="2:6" s="165" customFormat="1" ht="15.4" customHeight="1" outlineLevel="1" x14ac:dyDescent="0.2">
      <c r="B585" s="60" t="s">
        <v>4200</v>
      </c>
      <c r="C585" s="513" t="s">
        <v>1643</v>
      </c>
      <c r="D585" s="166" t="s">
        <v>260</v>
      </c>
      <c r="E585" s="173"/>
      <c r="F585" s="174"/>
    </row>
    <row r="586" spans="2:6" s="138" customFormat="1" ht="15" customHeight="1" x14ac:dyDescent="0.2">
      <c r="B586" s="60" t="s">
        <v>4201</v>
      </c>
      <c r="C586" s="514" t="s">
        <v>478</v>
      </c>
      <c r="D586" s="164" t="s">
        <v>209</v>
      </c>
      <c r="E586" s="636">
        <f>SUM(E587:E606)</f>
        <v>0</v>
      </c>
      <c r="F586" s="637">
        <f>SUM(F587:F606)</f>
        <v>0</v>
      </c>
    </row>
    <row r="587" spans="2:6" s="165" customFormat="1" ht="15.4" customHeight="1" outlineLevel="1" x14ac:dyDescent="0.2">
      <c r="B587" s="60" t="s">
        <v>4202</v>
      </c>
      <c r="C587" s="513" t="s">
        <v>2391</v>
      </c>
      <c r="D587" s="166" t="s">
        <v>260</v>
      </c>
      <c r="E587" s="173"/>
      <c r="F587" s="174"/>
    </row>
    <row r="588" spans="2:6" s="165" customFormat="1" ht="15.4" customHeight="1" outlineLevel="1" x14ac:dyDescent="0.2">
      <c r="B588" s="60" t="s">
        <v>4203</v>
      </c>
      <c r="C588" s="513" t="s">
        <v>2392</v>
      </c>
      <c r="D588" s="166" t="s">
        <v>260</v>
      </c>
      <c r="E588" s="173"/>
      <c r="F588" s="174"/>
    </row>
    <row r="589" spans="2:6" s="165" customFormat="1" ht="15.4" customHeight="1" outlineLevel="1" x14ac:dyDescent="0.2">
      <c r="B589" s="60" t="s">
        <v>4204</v>
      </c>
      <c r="C589" s="513" t="s">
        <v>2393</v>
      </c>
      <c r="D589" s="166" t="s">
        <v>260</v>
      </c>
      <c r="E589" s="173"/>
      <c r="F589" s="174"/>
    </row>
    <row r="590" spans="2:6" s="165" customFormat="1" ht="15.4" customHeight="1" outlineLevel="1" x14ac:dyDescent="0.2">
      <c r="B590" s="60" t="s">
        <v>4205</v>
      </c>
      <c r="C590" s="513" t="s">
        <v>2394</v>
      </c>
      <c r="D590" s="166" t="s">
        <v>260</v>
      </c>
      <c r="E590" s="173"/>
      <c r="F590" s="174"/>
    </row>
    <row r="591" spans="2:6" s="165" customFormat="1" ht="15.4" customHeight="1" outlineLevel="1" x14ac:dyDescent="0.2">
      <c r="B591" s="60" t="s">
        <v>4206</v>
      </c>
      <c r="C591" s="513" t="s">
        <v>2395</v>
      </c>
      <c r="D591" s="166" t="s">
        <v>260</v>
      </c>
      <c r="E591" s="173"/>
      <c r="F591" s="174"/>
    </row>
    <row r="592" spans="2:6" s="165" customFormat="1" ht="15.4" customHeight="1" outlineLevel="1" x14ac:dyDescent="0.2">
      <c r="B592" s="60" t="s">
        <v>4207</v>
      </c>
      <c r="C592" s="513" t="s">
        <v>2396</v>
      </c>
      <c r="D592" s="166" t="s">
        <v>260</v>
      </c>
      <c r="E592" s="173"/>
      <c r="F592" s="174"/>
    </row>
    <row r="593" spans="2:6" s="165" customFormat="1" ht="15.4" customHeight="1" outlineLevel="1" x14ac:dyDescent="0.2">
      <c r="B593" s="60" t="s">
        <v>4208</v>
      </c>
      <c r="C593" s="513" t="s">
        <v>2397</v>
      </c>
      <c r="D593" s="166" t="s">
        <v>260</v>
      </c>
      <c r="E593" s="173"/>
      <c r="F593" s="174"/>
    </row>
    <row r="594" spans="2:6" s="165" customFormat="1" ht="15.4" customHeight="1" outlineLevel="1" x14ac:dyDescent="0.2">
      <c r="B594" s="60" t="s">
        <v>4209</v>
      </c>
      <c r="C594" s="513" t="s">
        <v>2398</v>
      </c>
      <c r="D594" s="166" t="s">
        <v>260</v>
      </c>
      <c r="E594" s="173"/>
      <c r="F594" s="174"/>
    </row>
    <row r="595" spans="2:6" s="165" customFormat="1" ht="15.4" customHeight="1" outlineLevel="1" x14ac:dyDescent="0.2">
      <c r="B595" s="60" t="s">
        <v>4210</v>
      </c>
      <c r="C595" s="513" t="s">
        <v>2399</v>
      </c>
      <c r="D595" s="166" t="s">
        <v>260</v>
      </c>
      <c r="E595" s="173"/>
      <c r="F595" s="174"/>
    </row>
    <row r="596" spans="2:6" s="165" customFormat="1" ht="15.4" customHeight="1" outlineLevel="1" x14ac:dyDescent="0.2">
      <c r="B596" s="60" t="s">
        <v>4211</v>
      </c>
      <c r="C596" s="513" t="s">
        <v>2400</v>
      </c>
      <c r="D596" s="166" t="s">
        <v>260</v>
      </c>
      <c r="E596" s="173"/>
      <c r="F596" s="174"/>
    </row>
    <row r="597" spans="2:6" s="165" customFormat="1" ht="15.4" customHeight="1" outlineLevel="1" x14ac:dyDescent="0.2">
      <c r="B597" s="60" t="s">
        <v>4212</v>
      </c>
      <c r="C597" s="513" t="s">
        <v>2401</v>
      </c>
      <c r="D597" s="166" t="s">
        <v>260</v>
      </c>
      <c r="E597" s="173"/>
      <c r="F597" s="174"/>
    </row>
    <row r="598" spans="2:6" s="165" customFormat="1" ht="15.4" customHeight="1" outlineLevel="1" x14ac:dyDescent="0.2">
      <c r="B598" s="60" t="s">
        <v>4213</v>
      </c>
      <c r="C598" s="513" t="s">
        <v>2402</v>
      </c>
      <c r="D598" s="166" t="s">
        <v>260</v>
      </c>
      <c r="E598" s="173"/>
      <c r="F598" s="174"/>
    </row>
    <row r="599" spans="2:6" s="165" customFormat="1" ht="15.4" customHeight="1" outlineLevel="1" x14ac:dyDescent="0.2">
      <c r="B599" s="60" t="s">
        <v>4214</v>
      </c>
      <c r="C599" s="513" t="s">
        <v>2403</v>
      </c>
      <c r="D599" s="166" t="s">
        <v>260</v>
      </c>
      <c r="E599" s="173"/>
      <c r="F599" s="174"/>
    </row>
    <row r="600" spans="2:6" s="165" customFormat="1" ht="15.4" customHeight="1" outlineLevel="1" x14ac:dyDescent="0.2">
      <c r="B600" s="60" t="s">
        <v>4215</v>
      </c>
      <c r="C600" s="513" t="s">
        <v>2404</v>
      </c>
      <c r="D600" s="166" t="s">
        <v>260</v>
      </c>
      <c r="E600" s="173"/>
      <c r="F600" s="174"/>
    </row>
    <row r="601" spans="2:6" s="165" customFormat="1" ht="15.4" customHeight="1" outlineLevel="1" x14ac:dyDescent="0.2">
      <c r="B601" s="60" t="s">
        <v>4216</v>
      </c>
      <c r="C601" s="513" t="s">
        <v>2405</v>
      </c>
      <c r="D601" s="166" t="s">
        <v>260</v>
      </c>
      <c r="E601" s="173"/>
      <c r="F601" s="174"/>
    </row>
    <row r="602" spans="2:6" s="165" customFormat="1" ht="15.4" customHeight="1" outlineLevel="1" x14ac:dyDescent="0.2">
      <c r="B602" s="60" t="s">
        <v>4217</v>
      </c>
      <c r="C602" s="513" t="s">
        <v>2406</v>
      </c>
      <c r="D602" s="166" t="s">
        <v>260</v>
      </c>
      <c r="E602" s="173"/>
      <c r="F602" s="174"/>
    </row>
    <row r="603" spans="2:6" s="165" customFormat="1" ht="15.4" customHeight="1" outlineLevel="1" x14ac:dyDescent="0.2">
      <c r="B603" s="60" t="s">
        <v>4218</v>
      </c>
      <c r="C603" s="513" t="s">
        <v>2407</v>
      </c>
      <c r="D603" s="166" t="s">
        <v>260</v>
      </c>
      <c r="E603" s="173"/>
      <c r="F603" s="174"/>
    </row>
    <row r="604" spans="2:6" s="165" customFormat="1" ht="15.4" customHeight="1" outlineLevel="1" x14ac:dyDescent="0.2">
      <c r="B604" s="60" t="s">
        <v>4219</v>
      </c>
      <c r="C604" s="513" t="s">
        <v>2408</v>
      </c>
      <c r="D604" s="166" t="s">
        <v>260</v>
      </c>
      <c r="E604" s="173"/>
      <c r="F604" s="174"/>
    </row>
    <row r="605" spans="2:6" s="165" customFormat="1" ht="15.4" customHeight="1" outlineLevel="1" x14ac:dyDescent="0.2">
      <c r="B605" s="60" t="s">
        <v>4220</v>
      </c>
      <c r="C605" s="513" t="s">
        <v>2409</v>
      </c>
      <c r="D605" s="166" t="s">
        <v>260</v>
      </c>
      <c r="E605" s="173"/>
      <c r="F605" s="174"/>
    </row>
    <row r="606" spans="2:6" s="165" customFormat="1" ht="15.4" customHeight="1" outlineLevel="1" x14ac:dyDescent="0.2">
      <c r="B606" s="60" t="s">
        <v>4221</v>
      </c>
      <c r="C606" s="513" t="s">
        <v>2410</v>
      </c>
      <c r="D606" s="166" t="s">
        <v>260</v>
      </c>
      <c r="E606" s="173"/>
      <c r="F606" s="174"/>
    </row>
    <row r="607" spans="2:6" s="138" customFormat="1" ht="15" customHeight="1" x14ac:dyDescent="0.2">
      <c r="B607" s="60" t="s">
        <v>4222</v>
      </c>
      <c r="C607" s="514" t="s">
        <v>479</v>
      </c>
      <c r="D607" s="164" t="s">
        <v>4667</v>
      </c>
      <c r="E607" s="636">
        <f>SUM(E608:E627)</f>
        <v>0</v>
      </c>
      <c r="F607" s="637">
        <f>SUM(F608:F627)</f>
        <v>0</v>
      </c>
    </row>
    <row r="608" spans="2:6" s="165" customFormat="1" ht="15.4" customHeight="1" outlineLevel="1" x14ac:dyDescent="0.2">
      <c r="B608" s="60" t="s">
        <v>4223</v>
      </c>
      <c r="C608" s="513" t="s">
        <v>2411</v>
      </c>
      <c r="D608" s="166" t="s">
        <v>260</v>
      </c>
      <c r="E608" s="173"/>
      <c r="F608" s="174"/>
    </row>
    <row r="609" spans="2:6" s="165" customFormat="1" ht="15.4" customHeight="1" outlineLevel="1" x14ac:dyDescent="0.2">
      <c r="B609" s="60" t="s">
        <v>4224</v>
      </c>
      <c r="C609" s="513" t="s">
        <v>2412</v>
      </c>
      <c r="D609" s="166" t="s">
        <v>260</v>
      </c>
      <c r="E609" s="173"/>
      <c r="F609" s="174"/>
    </row>
    <row r="610" spans="2:6" s="165" customFormat="1" ht="15.4" customHeight="1" outlineLevel="1" x14ac:dyDescent="0.2">
      <c r="B610" s="60" t="s">
        <v>4225</v>
      </c>
      <c r="C610" s="513" t="s">
        <v>2413</v>
      </c>
      <c r="D610" s="166" t="s">
        <v>260</v>
      </c>
      <c r="E610" s="173"/>
      <c r="F610" s="174"/>
    </row>
    <row r="611" spans="2:6" s="165" customFormat="1" ht="15.4" customHeight="1" outlineLevel="1" x14ac:dyDescent="0.2">
      <c r="B611" s="60" t="s">
        <v>4226</v>
      </c>
      <c r="C611" s="513" t="s">
        <v>2414</v>
      </c>
      <c r="D611" s="166" t="s">
        <v>260</v>
      </c>
      <c r="E611" s="173"/>
      <c r="F611" s="174"/>
    </row>
    <row r="612" spans="2:6" s="165" customFormat="1" ht="15.4" customHeight="1" outlineLevel="1" x14ac:dyDescent="0.2">
      <c r="B612" s="60" t="s">
        <v>4227</v>
      </c>
      <c r="C612" s="513" t="s">
        <v>2415</v>
      </c>
      <c r="D612" s="166" t="s">
        <v>260</v>
      </c>
      <c r="E612" s="173"/>
      <c r="F612" s="174"/>
    </row>
    <row r="613" spans="2:6" s="165" customFormat="1" ht="15.4" customHeight="1" outlineLevel="1" x14ac:dyDescent="0.2">
      <c r="B613" s="60" t="s">
        <v>4228</v>
      </c>
      <c r="C613" s="513" t="s">
        <v>2416</v>
      </c>
      <c r="D613" s="166" t="s">
        <v>260</v>
      </c>
      <c r="E613" s="173"/>
      <c r="F613" s="174"/>
    </row>
    <row r="614" spans="2:6" s="165" customFormat="1" ht="15.4" customHeight="1" outlineLevel="1" x14ac:dyDescent="0.2">
      <c r="B614" s="60" t="s">
        <v>4229</v>
      </c>
      <c r="C614" s="513" t="s">
        <v>2417</v>
      </c>
      <c r="D614" s="166" t="s">
        <v>260</v>
      </c>
      <c r="E614" s="173"/>
      <c r="F614" s="174"/>
    </row>
    <row r="615" spans="2:6" s="165" customFormat="1" ht="15.4" customHeight="1" outlineLevel="1" x14ac:dyDescent="0.2">
      <c r="B615" s="60" t="s">
        <v>4230</v>
      </c>
      <c r="C615" s="513" t="s">
        <v>2418</v>
      </c>
      <c r="D615" s="166" t="s">
        <v>260</v>
      </c>
      <c r="E615" s="173"/>
      <c r="F615" s="174"/>
    </row>
    <row r="616" spans="2:6" s="165" customFormat="1" ht="15.4" customHeight="1" outlineLevel="1" x14ac:dyDescent="0.2">
      <c r="B616" s="60" t="s">
        <v>4231</v>
      </c>
      <c r="C616" s="513" t="s">
        <v>2419</v>
      </c>
      <c r="D616" s="166" t="s">
        <v>260</v>
      </c>
      <c r="E616" s="173"/>
      <c r="F616" s="174"/>
    </row>
    <row r="617" spans="2:6" s="165" customFormat="1" ht="15.4" customHeight="1" outlineLevel="1" x14ac:dyDescent="0.2">
      <c r="B617" s="60" t="s">
        <v>4232</v>
      </c>
      <c r="C617" s="513" t="s">
        <v>2420</v>
      </c>
      <c r="D617" s="166" t="s">
        <v>260</v>
      </c>
      <c r="E617" s="173"/>
      <c r="F617" s="174"/>
    </row>
    <row r="618" spans="2:6" s="165" customFormat="1" ht="15.4" customHeight="1" outlineLevel="1" x14ac:dyDescent="0.2">
      <c r="B618" s="60" t="s">
        <v>4233</v>
      </c>
      <c r="C618" s="513" t="s">
        <v>2421</v>
      </c>
      <c r="D618" s="166" t="s">
        <v>260</v>
      </c>
      <c r="E618" s="173"/>
      <c r="F618" s="174"/>
    </row>
    <row r="619" spans="2:6" s="165" customFormat="1" ht="15.4" customHeight="1" outlineLevel="1" x14ac:dyDescent="0.2">
      <c r="B619" s="60" t="s">
        <v>4234</v>
      </c>
      <c r="C619" s="513" t="s">
        <v>2422</v>
      </c>
      <c r="D619" s="166" t="s">
        <v>260</v>
      </c>
      <c r="E619" s="173"/>
      <c r="F619" s="174"/>
    </row>
    <row r="620" spans="2:6" s="165" customFormat="1" ht="15.4" customHeight="1" outlineLevel="1" x14ac:dyDescent="0.2">
      <c r="B620" s="60" t="s">
        <v>4235</v>
      </c>
      <c r="C620" s="513" t="s">
        <v>2423</v>
      </c>
      <c r="D620" s="166" t="s">
        <v>260</v>
      </c>
      <c r="E620" s="173"/>
      <c r="F620" s="174"/>
    </row>
    <row r="621" spans="2:6" s="165" customFormat="1" ht="15.4" customHeight="1" outlineLevel="1" x14ac:dyDescent="0.2">
      <c r="B621" s="60" t="s">
        <v>4236</v>
      </c>
      <c r="C621" s="513" t="s">
        <v>2424</v>
      </c>
      <c r="D621" s="166" t="s">
        <v>260</v>
      </c>
      <c r="E621" s="173"/>
      <c r="F621" s="174"/>
    </row>
    <row r="622" spans="2:6" s="165" customFormat="1" ht="15.4" customHeight="1" outlineLevel="1" x14ac:dyDescent="0.2">
      <c r="B622" s="60" t="s">
        <v>4237</v>
      </c>
      <c r="C622" s="513" t="s">
        <v>2425</v>
      </c>
      <c r="D622" s="166" t="s">
        <v>260</v>
      </c>
      <c r="E622" s="173"/>
      <c r="F622" s="174"/>
    </row>
    <row r="623" spans="2:6" s="165" customFormat="1" ht="15.4" customHeight="1" outlineLevel="1" x14ac:dyDescent="0.2">
      <c r="B623" s="60" t="s">
        <v>4238</v>
      </c>
      <c r="C623" s="513" t="s">
        <v>2426</v>
      </c>
      <c r="D623" s="166" t="s">
        <v>260</v>
      </c>
      <c r="E623" s="173"/>
      <c r="F623" s="174"/>
    </row>
    <row r="624" spans="2:6" s="165" customFormat="1" ht="15.4" customHeight="1" outlineLevel="1" x14ac:dyDescent="0.2">
      <c r="B624" s="60" t="s">
        <v>4239</v>
      </c>
      <c r="C624" s="513" t="s">
        <v>2427</v>
      </c>
      <c r="D624" s="166" t="s">
        <v>260</v>
      </c>
      <c r="E624" s="173"/>
      <c r="F624" s="174"/>
    </row>
    <row r="625" spans="2:6" s="165" customFormat="1" ht="15.4" customHeight="1" outlineLevel="1" x14ac:dyDescent="0.2">
      <c r="B625" s="60" t="s">
        <v>4240</v>
      </c>
      <c r="C625" s="513" t="s">
        <v>2428</v>
      </c>
      <c r="D625" s="166" t="s">
        <v>260</v>
      </c>
      <c r="E625" s="173"/>
      <c r="F625" s="174"/>
    </row>
    <row r="626" spans="2:6" s="165" customFormat="1" ht="15.4" customHeight="1" outlineLevel="1" x14ac:dyDescent="0.2">
      <c r="B626" s="60" t="s">
        <v>4241</v>
      </c>
      <c r="C626" s="513" t="s">
        <v>2429</v>
      </c>
      <c r="D626" s="166" t="s">
        <v>260</v>
      </c>
      <c r="E626" s="173"/>
      <c r="F626" s="174"/>
    </row>
    <row r="627" spans="2:6" s="165" customFormat="1" ht="15.4" customHeight="1" outlineLevel="1" x14ac:dyDescent="0.2">
      <c r="B627" s="60" t="s">
        <v>4242</v>
      </c>
      <c r="C627" s="513" t="s">
        <v>2430</v>
      </c>
      <c r="D627" s="166" t="s">
        <v>260</v>
      </c>
      <c r="E627" s="173"/>
      <c r="F627" s="174"/>
    </row>
    <row r="628" spans="2:6" s="30" customFormat="1" ht="15" customHeight="1" x14ac:dyDescent="0.2">
      <c r="B628" s="60" t="s">
        <v>4243</v>
      </c>
      <c r="C628" s="511" t="s">
        <v>438</v>
      </c>
      <c r="D628" s="94" t="s">
        <v>210</v>
      </c>
      <c r="E628" s="635">
        <f>E629+E650+E671+E692+E713+E734</f>
        <v>0</v>
      </c>
      <c r="F628" s="638">
        <f>F629+F650+F671+F692+F713+F734</f>
        <v>0</v>
      </c>
    </row>
    <row r="629" spans="2:6" s="138" customFormat="1" ht="15" customHeight="1" x14ac:dyDescent="0.2">
      <c r="B629" s="60" t="s">
        <v>4244</v>
      </c>
      <c r="C629" s="514" t="s">
        <v>409</v>
      </c>
      <c r="D629" s="164" t="s">
        <v>238</v>
      </c>
      <c r="E629" s="636">
        <f>SUM(E630:E649)</f>
        <v>0</v>
      </c>
      <c r="F629" s="637">
        <f>SUM(F630:F649)</f>
        <v>0</v>
      </c>
    </row>
    <row r="630" spans="2:6" s="165" customFormat="1" ht="15.4" customHeight="1" outlineLevel="1" x14ac:dyDescent="0.2">
      <c r="B630" s="60" t="s">
        <v>4245</v>
      </c>
      <c r="C630" s="513" t="s">
        <v>450</v>
      </c>
      <c r="D630" s="166" t="s">
        <v>211</v>
      </c>
      <c r="E630" s="173"/>
      <c r="F630" s="174"/>
    </row>
    <row r="631" spans="2:6" s="165" customFormat="1" ht="15.4" customHeight="1" outlineLevel="1" x14ac:dyDescent="0.2">
      <c r="B631" s="60" t="s">
        <v>4246</v>
      </c>
      <c r="C631" s="513" t="s">
        <v>451</v>
      </c>
      <c r="D631" s="166" t="s">
        <v>211</v>
      </c>
      <c r="E631" s="173"/>
      <c r="F631" s="174"/>
    </row>
    <row r="632" spans="2:6" s="165" customFormat="1" ht="15.4" customHeight="1" outlineLevel="1" x14ac:dyDescent="0.2">
      <c r="B632" s="60" t="s">
        <v>4247</v>
      </c>
      <c r="C632" s="513" t="s">
        <v>458</v>
      </c>
      <c r="D632" s="166" t="s">
        <v>211</v>
      </c>
      <c r="E632" s="173"/>
      <c r="F632" s="174"/>
    </row>
    <row r="633" spans="2:6" s="165" customFormat="1" ht="15.4" customHeight="1" outlineLevel="1" x14ac:dyDescent="0.2">
      <c r="B633" s="60" t="s">
        <v>4248</v>
      </c>
      <c r="C633" s="513" t="s">
        <v>600</v>
      </c>
      <c r="D633" s="166" t="s">
        <v>211</v>
      </c>
      <c r="E633" s="173"/>
      <c r="F633" s="174"/>
    </row>
    <row r="634" spans="2:6" s="165" customFormat="1" ht="15.4" customHeight="1" outlineLevel="1" x14ac:dyDescent="0.2">
      <c r="B634" s="60" t="s">
        <v>4249</v>
      </c>
      <c r="C634" s="513" t="s">
        <v>601</v>
      </c>
      <c r="D634" s="166" t="s">
        <v>211</v>
      </c>
      <c r="E634" s="173"/>
      <c r="F634" s="174"/>
    </row>
    <row r="635" spans="2:6" s="165" customFormat="1" ht="15.4" customHeight="1" outlineLevel="1" x14ac:dyDescent="0.2">
      <c r="B635" s="60" t="s">
        <v>4250</v>
      </c>
      <c r="C635" s="513" t="s">
        <v>602</v>
      </c>
      <c r="D635" s="166" t="s">
        <v>211</v>
      </c>
      <c r="E635" s="173"/>
      <c r="F635" s="174"/>
    </row>
    <row r="636" spans="2:6" s="165" customFormat="1" ht="15.4" customHeight="1" outlineLevel="1" x14ac:dyDescent="0.2">
      <c r="B636" s="60" t="s">
        <v>4251</v>
      </c>
      <c r="C636" s="513" t="s">
        <v>603</v>
      </c>
      <c r="D636" s="166" t="s">
        <v>211</v>
      </c>
      <c r="E636" s="173"/>
      <c r="F636" s="174"/>
    </row>
    <row r="637" spans="2:6" s="165" customFormat="1" ht="15.4" customHeight="1" outlineLevel="1" x14ac:dyDescent="0.2">
      <c r="B637" s="60" t="s">
        <v>4252</v>
      </c>
      <c r="C637" s="513" t="s">
        <v>604</v>
      </c>
      <c r="D637" s="166" t="s">
        <v>211</v>
      </c>
      <c r="E637" s="173"/>
      <c r="F637" s="174"/>
    </row>
    <row r="638" spans="2:6" s="165" customFormat="1" ht="15.4" customHeight="1" outlineLevel="1" x14ac:dyDescent="0.2">
      <c r="B638" s="60" t="s">
        <v>4253</v>
      </c>
      <c r="C638" s="513" t="s">
        <v>605</v>
      </c>
      <c r="D638" s="166" t="s">
        <v>211</v>
      </c>
      <c r="E638" s="173"/>
      <c r="F638" s="174"/>
    </row>
    <row r="639" spans="2:6" s="165" customFormat="1" ht="15.4" customHeight="1" outlineLevel="1" x14ac:dyDescent="0.2">
      <c r="B639" s="60" t="s">
        <v>4254</v>
      </c>
      <c r="C639" s="513" t="s">
        <v>606</v>
      </c>
      <c r="D639" s="166" t="s">
        <v>211</v>
      </c>
      <c r="E639" s="173"/>
      <c r="F639" s="174"/>
    </row>
    <row r="640" spans="2:6" s="165" customFormat="1" ht="15.4" customHeight="1" outlineLevel="1" x14ac:dyDescent="0.2">
      <c r="B640" s="60" t="s">
        <v>4255</v>
      </c>
      <c r="C640" s="513" t="s">
        <v>607</v>
      </c>
      <c r="D640" s="166" t="s">
        <v>211</v>
      </c>
      <c r="E640" s="173"/>
      <c r="F640" s="174"/>
    </row>
    <row r="641" spans="2:6" s="165" customFormat="1" ht="15.4" customHeight="1" outlineLevel="1" x14ac:dyDescent="0.2">
      <c r="B641" s="60" t="s">
        <v>4256</v>
      </c>
      <c r="C641" s="513" t="s">
        <v>608</v>
      </c>
      <c r="D641" s="166" t="s">
        <v>211</v>
      </c>
      <c r="E641" s="173"/>
      <c r="F641" s="174"/>
    </row>
    <row r="642" spans="2:6" s="165" customFormat="1" ht="15.4" customHeight="1" outlineLevel="1" x14ac:dyDescent="0.2">
      <c r="B642" s="60" t="s">
        <v>4257</v>
      </c>
      <c r="C642" s="513" t="s">
        <v>609</v>
      </c>
      <c r="D642" s="166" t="s">
        <v>211</v>
      </c>
      <c r="E642" s="173"/>
      <c r="F642" s="174"/>
    </row>
    <row r="643" spans="2:6" s="165" customFormat="1" ht="15.4" customHeight="1" outlineLevel="1" x14ac:dyDescent="0.2">
      <c r="B643" s="60" t="s">
        <v>4258</v>
      </c>
      <c r="C643" s="513" t="s">
        <v>610</v>
      </c>
      <c r="D643" s="166" t="s">
        <v>211</v>
      </c>
      <c r="E643" s="173"/>
      <c r="F643" s="174"/>
    </row>
    <row r="644" spans="2:6" s="165" customFormat="1" ht="15.4" customHeight="1" outlineLevel="1" x14ac:dyDescent="0.2">
      <c r="B644" s="60" t="s">
        <v>4259</v>
      </c>
      <c r="C644" s="513" t="s">
        <v>611</v>
      </c>
      <c r="D644" s="166" t="s">
        <v>211</v>
      </c>
      <c r="E644" s="173"/>
      <c r="F644" s="174"/>
    </row>
    <row r="645" spans="2:6" s="165" customFormat="1" ht="15.4" customHeight="1" outlineLevel="1" x14ac:dyDescent="0.2">
      <c r="B645" s="60" t="s">
        <v>4260</v>
      </c>
      <c r="C645" s="513" t="s">
        <v>612</v>
      </c>
      <c r="D645" s="166" t="s">
        <v>211</v>
      </c>
      <c r="E645" s="173"/>
      <c r="F645" s="174"/>
    </row>
    <row r="646" spans="2:6" s="165" customFormat="1" ht="15.4" customHeight="1" outlineLevel="1" x14ac:dyDescent="0.2">
      <c r="B646" s="60" t="s">
        <v>4261</v>
      </c>
      <c r="C646" s="513" t="s">
        <v>613</v>
      </c>
      <c r="D646" s="166" t="s">
        <v>211</v>
      </c>
      <c r="E646" s="173"/>
      <c r="F646" s="174"/>
    </row>
    <row r="647" spans="2:6" s="165" customFormat="1" ht="15.4" customHeight="1" outlineLevel="1" x14ac:dyDescent="0.2">
      <c r="B647" s="60" t="s">
        <v>4262</v>
      </c>
      <c r="C647" s="513" t="s">
        <v>614</v>
      </c>
      <c r="D647" s="166" t="s">
        <v>211</v>
      </c>
      <c r="E647" s="173"/>
      <c r="F647" s="174"/>
    </row>
    <row r="648" spans="2:6" s="165" customFormat="1" ht="15.4" customHeight="1" outlineLevel="1" x14ac:dyDescent="0.2">
      <c r="B648" s="60" t="s">
        <v>4263</v>
      </c>
      <c r="C648" s="513" t="s">
        <v>615</v>
      </c>
      <c r="D648" s="166" t="s">
        <v>211</v>
      </c>
      <c r="E648" s="173"/>
      <c r="F648" s="174"/>
    </row>
    <row r="649" spans="2:6" s="165" customFormat="1" ht="15.4" customHeight="1" outlineLevel="1" x14ac:dyDescent="0.2">
      <c r="B649" s="60" t="s">
        <v>4264</v>
      </c>
      <c r="C649" s="513" t="s">
        <v>616</v>
      </c>
      <c r="D649" s="166" t="s">
        <v>211</v>
      </c>
      <c r="E649" s="173"/>
      <c r="F649" s="174"/>
    </row>
    <row r="650" spans="2:6" s="138" customFormat="1" ht="15" customHeight="1" x14ac:dyDescent="0.2">
      <c r="B650" s="60" t="s">
        <v>4265</v>
      </c>
      <c r="C650" s="514" t="s">
        <v>410</v>
      </c>
      <c r="D650" s="164" t="s">
        <v>4665</v>
      </c>
      <c r="E650" s="636">
        <f>SUM(E651:E670)</f>
        <v>0</v>
      </c>
      <c r="F650" s="637">
        <f>SUM(F651:F670)</f>
        <v>0</v>
      </c>
    </row>
    <row r="651" spans="2:6" s="165" customFormat="1" ht="15.4" customHeight="1" outlineLevel="1" x14ac:dyDescent="0.2">
      <c r="B651" s="60" t="s">
        <v>4266</v>
      </c>
      <c r="C651" s="513" t="s">
        <v>454</v>
      </c>
      <c r="D651" s="166" t="s">
        <v>211</v>
      </c>
      <c r="E651" s="173"/>
      <c r="F651" s="174"/>
    </row>
    <row r="652" spans="2:6" s="165" customFormat="1" ht="15.4" customHeight="1" outlineLevel="1" x14ac:dyDescent="0.2">
      <c r="B652" s="60" t="s">
        <v>4267</v>
      </c>
      <c r="C652" s="513" t="s">
        <v>455</v>
      </c>
      <c r="D652" s="166" t="s">
        <v>211</v>
      </c>
      <c r="E652" s="173"/>
      <c r="F652" s="174"/>
    </row>
    <row r="653" spans="2:6" s="165" customFormat="1" ht="15.4" customHeight="1" outlineLevel="1" x14ac:dyDescent="0.2">
      <c r="B653" s="60" t="s">
        <v>4268</v>
      </c>
      <c r="C653" s="513" t="s">
        <v>459</v>
      </c>
      <c r="D653" s="166" t="s">
        <v>211</v>
      </c>
      <c r="E653" s="173"/>
      <c r="F653" s="174"/>
    </row>
    <row r="654" spans="2:6" s="165" customFormat="1" ht="15.4" customHeight="1" outlineLevel="1" x14ac:dyDescent="0.2">
      <c r="B654" s="60" t="s">
        <v>4269</v>
      </c>
      <c r="C654" s="513" t="s">
        <v>617</v>
      </c>
      <c r="D654" s="166" t="s">
        <v>211</v>
      </c>
      <c r="E654" s="173"/>
      <c r="F654" s="174"/>
    </row>
    <row r="655" spans="2:6" s="165" customFormat="1" ht="15.4" customHeight="1" outlineLevel="1" x14ac:dyDescent="0.2">
      <c r="B655" s="60" t="s">
        <v>4270</v>
      </c>
      <c r="C655" s="513" t="s">
        <v>618</v>
      </c>
      <c r="D655" s="166" t="s">
        <v>211</v>
      </c>
      <c r="E655" s="173"/>
      <c r="F655" s="174"/>
    </row>
    <row r="656" spans="2:6" s="165" customFormat="1" ht="15.4" customHeight="1" outlineLevel="1" x14ac:dyDescent="0.2">
      <c r="B656" s="60" t="s">
        <v>4271</v>
      </c>
      <c r="C656" s="513" t="s">
        <v>619</v>
      </c>
      <c r="D656" s="166" t="s">
        <v>211</v>
      </c>
      <c r="E656" s="173"/>
      <c r="F656" s="174"/>
    </row>
    <row r="657" spans="2:6" s="165" customFormat="1" ht="15.4" customHeight="1" outlineLevel="1" x14ac:dyDescent="0.2">
      <c r="B657" s="60" t="s">
        <v>4272</v>
      </c>
      <c r="C657" s="513" t="s">
        <v>620</v>
      </c>
      <c r="D657" s="166" t="s">
        <v>211</v>
      </c>
      <c r="E657" s="173"/>
      <c r="F657" s="174"/>
    </row>
    <row r="658" spans="2:6" s="165" customFormat="1" ht="15.4" customHeight="1" outlineLevel="1" x14ac:dyDescent="0.2">
      <c r="B658" s="60" t="s">
        <v>4273</v>
      </c>
      <c r="C658" s="513" t="s">
        <v>621</v>
      </c>
      <c r="D658" s="166" t="s">
        <v>211</v>
      </c>
      <c r="E658" s="173"/>
      <c r="F658" s="174"/>
    </row>
    <row r="659" spans="2:6" s="165" customFormat="1" ht="15.4" customHeight="1" outlineLevel="1" x14ac:dyDescent="0.2">
      <c r="B659" s="60" t="s">
        <v>4274</v>
      </c>
      <c r="C659" s="513" t="s">
        <v>622</v>
      </c>
      <c r="D659" s="166" t="s">
        <v>211</v>
      </c>
      <c r="E659" s="173"/>
      <c r="F659" s="174"/>
    </row>
    <row r="660" spans="2:6" s="165" customFormat="1" ht="15.4" customHeight="1" outlineLevel="1" x14ac:dyDescent="0.2">
      <c r="B660" s="60" t="s">
        <v>4275</v>
      </c>
      <c r="C660" s="513" t="s">
        <v>623</v>
      </c>
      <c r="D660" s="166" t="s">
        <v>211</v>
      </c>
      <c r="E660" s="173"/>
      <c r="F660" s="174"/>
    </row>
    <row r="661" spans="2:6" s="165" customFormat="1" ht="15.4" customHeight="1" outlineLevel="1" x14ac:dyDescent="0.2">
      <c r="B661" s="60" t="s">
        <v>4276</v>
      </c>
      <c r="C661" s="513" t="s">
        <v>624</v>
      </c>
      <c r="D661" s="166" t="s">
        <v>211</v>
      </c>
      <c r="E661" s="173"/>
      <c r="F661" s="174"/>
    </row>
    <row r="662" spans="2:6" s="165" customFormat="1" ht="15.4" customHeight="1" outlineLevel="1" x14ac:dyDescent="0.2">
      <c r="B662" s="60" t="s">
        <v>4277</v>
      </c>
      <c r="C662" s="513" t="s">
        <v>625</v>
      </c>
      <c r="D662" s="166" t="s">
        <v>211</v>
      </c>
      <c r="E662" s="173"/>
      <c r="F662" s="174"/>
    </row>
    <row r="663" spans="2:6" s="165" customFormat="1" ht="15.4" customHeight="1" outlineLevel="1" x14ac:dyDescent="0.2">
      <c r="B663" s="60" t="s">
        <v>4278</v>
      </c>
      <c r="C663" s="513" t="s">
        <v>626</v>
      </c>
      <c r="D663" s="166" t="s">
        <v>211</v>
      </c>
      <c r="E663" s="173"/>
      <c r="F663" s="174"/>
    </row>
    <row r="664" spans="2:6" s="165" customFormat="1" ht="15.4" customHeight="1" outlineLevel="1" x14ac:dyDescent="0.2">
      <c r="B664" s="60" t="s">
        <v>4279</v>
      </c>
      <c r="C664" s="513" t="s">
        <v>627</v>
      </c>
      <c r="D664" s="166" t="s">
        <v>211</v>
      </c>
      <c r="E664" s="173"/>
      <c r="F664" s="174"/>
    </row>
    <row r="665" spans="2:6" s="165" customFormat="1" ht="15.4" customHeight="1" outlineLevel="1" x14ac:dyDescent="0.2">
      <c r="B665" s="60" t="s">
        <v>4280</v>
      </c>
      <c r="C665" s="513" t="s">
        <v>628</v>
      </c>
      <c r="D665" s="166" t="s">
        <v>211</v>
      </c>
      <c r="E665" s="173"/>
      <c r="F665" s="174"/>
    </row>
    <row r="666" spans="2:6" s="165" customFormat="1" ht="15.4" customHeight="1" outlineLevel="1" x14ac:dyDescent="0.2">
      <c r="B666" s="60" t="s">
        <v>4281</v>
      </c>
      <c r="C666" s="513" t="s">
        <v>629</v>
      </c>
      <c r="D666" s="166" t="s">
        <v>211</v>
      </c>
      <c r="E666" s="173"/>
      <c r="F666" s="174"/>
    </row>
    <row r="667" spans="2:6" s="165" customFormat="1" ht="15.4" customHeight="1" outlineLevel="1" x14ac:dyDescent="0.2">
      <c r="B667" s="60" t="s">
        <v>4282</v>
      </c>
      <c r="C667" s="513" t="s">
        <v>630</v>
      </c>
      <c r="D667" s="166" t="s">
        <v>211</v>
      </c>
      <c r="E667" s="173"/>
      <c r="F667" s="174"/>
    </row>
    <row r="668" spans="2:6" s="165" customFormat="1" ht="15.4" customHeight="1" outlineLevel="1" x14ac:dyDescent="0.2">
      <c r="B668" s="60" t="s">
        <v>4283</v>
      </c>
      <c r="C668" s="513" t="s">
        <v>631</v>
      </c>
      <c r="D668" s="166" t="s">
        <v>211</v>
      </c>
      <c r="E668" s="173"/>
      <c r="F668" s="174"/>
    </row>
    <row r="669" spans="2:6" s="165" customFormat="1" ht="15.4" customHeight="1" outlineLevel="1" x14ac:dyDescent="0.2">
      <c r="B669" s="60" t="s">
        <v>4284</v>
      </c>
      <c r="C669" s="513" t="s">
        <v>632</v>
      </c>
      <c r="D669" s="166" t="s">
        <v>211</v>
      </c>
      <c r="E669" s="173"/>
      <c r="F669" s="174"/>
    </row>
    <row r="670" spans="2:6" s="165" customFormat="1" ht="15.4" customHeight="1" outlineLevel="1" x14ac:dyDescent="0.2">
      <c r="B670" s="60" t="s">
        <v>4285</v>
      </c>
      <c r="C670" s="513" t="s">
        <v>633</v>
      </c>
      <c r="D670" s="166" t="s">
        <v>211</v>
      </c>
      <c r="E670" s="173"/>
      <c r="F670" s="174"/>
    </row>
    <row r="671" spans="2:6" s="138" customFormat="1" ht="15" customHeight="1" x14ac:dyDescent="0.2">
      <c r="B671" s="60" t="s">
        <v>4286</v>
      </c>
      <c r="C671" s="514" t="s">
        <v>411</v>
      </c>
      <c r="D671" s="164" t="s">
        <v>243</v>
      </c>
      <c r="E671" s="636">
        <f>SUM(E672:E691)</f>
        <v>0</v>
      </c>
      <c r="F671" s="637">
        <f>SUM(F672:F691)</f>
        <v>0</v>
      </c>
    </row>
    <row r="672" spans="2:6" s="165" customFormat="1" ht="15.4" customHeight="1" outlineLevel="1" x14ac:dyDescent="0.2">
      <c r="B672" s="60" t="s">
        <v>4287</v>
      </c>
      <c r="C672" s="513" t="s">
        <v>1644</v>
      </c>
      <c r="D672" s="166" t="s">
        <v>211</v>
      </c>
      <c r="E672" s="173"/>
      <c r="F672" s="174"/>
    </row>
    <row r="673" spans="2:6" s="165" customFormat="1" ht="15.4" customHeight="1" outlineLevel="1" x14ac:dyDescent="0.2">
      <c r="B673" s="60" t="s">
        <v>4288</v>
      </c>
      <c r="C673" s="513" t="s">
        <v>1645</v>
      </c>
      <c r="D673" s="166" t="s">
        <v>211</v>
      </c>
      <c r="E673" s="173"/>
      <c r="F673" s="174"/>
    </row>
    <row r="674" spans="2:6" s="165" customFormat="1" ht="15.4" customHeight="1" outlineLevel="1" x14ac:dyDescent="0.2">
      <c r="B674" s="60" t="s">
        <v>4289</v>
      </c>
      <c r="C674" s="513" t="s">
        <v>1646</v>
      </c>
      <c r="D674" s="166" t="s">
        <v>211</v>
      </c>
      <c r="E674" s="173"/>
      <c r="F674" s="174"/>
    </row>
    <row r="675" spans="2:6" s="165" customFormat="1" ht="15.4" customHeight="1" outlineLevel="1" x14ac:dyDescent="0.2">
      <c r="B675" s="60" t="s">
        <v>4290</v>
      </c>
      <c r="C675" s="513" t="s">
        <v>1647</v>
      </c>
      <c r="D675" s="166" t="s">
        <v>211</v>
      </c>
      <c r="E675" s="173"/>
      <c r="F675" s="174"/>
    </row>
    <row r="676" spans="2:6" s="165" customFormat="1" ht="15.4" customHeight="1" outlineLevel="1" x14ac:dyDescent="0.2">
      <c r="B676" s="60" t="s">
        <v>4291</v>
      </c>
      <c r="C676" s="513" t="s">
        <v>1648</v>
      </c>
      <c r="D676" s="166" t="s">
        <v>211</v>
      </c>
      <c r="E676" s="173"/>
      <c r="F676" s="174"/>
    </row>
    <row r="677" spans="2:6" s="165" customFormat="1" ht="15.4" customHeight="1" outlineLevel="1" x14ac:dyDescent="0.2">
      <c r="B677" s="60" t="s">
        <v>4292</v>
      </c>
      <c r="C677" s="513" t="s">
        <v>1649</v>
      </c>
      <c r="D677" s="166" t="s">
        <v>211</v>
      </c>
      <c r="E677" s="173"/>
      <c r="F677" s="174"/>
    </row>
    <row r="678" spans="2:6" s="165" customFormat="1" ht="15.4" customHeight="1" outlineLevel="1" x14ac:dyDescent="0.2">
      <c r="B678" s="60" t="s">
        <v>4293</v>
      </c>
      <c r="C678" s="513" t="s">
        <v>1650</v>
      </c>
      <c r="D678" s="166" t="s">
        <v>211</v>
      </c>
      <c r="E678" s="173"/>
      <c r="F678" s="174"/>
    </row>
    <row r="679" spans="2:6" s="165" customFormat="1" ht="15.4" customHeight="1" outlineLevel="1" x14ac:dyDescent="0.2">
      <c r="B679" s="60" t="s">
        <v>4294</v>
      </c>
      <c r="C679" s="513" t="s">
        <v>1651</v>
      </c>
      <c r="D679" s="166" t="s">
        <v>211</v>
      </c>
      <c r="E679" s="173"/>
      <c r="F679" s="174"/>
    </row>
    <row r="680" spans="2:6" s="165" customFormat="1" ht="15.4" customHeight="1" outlineLevel="1" x14ac:dyDescent="0.2">
      <c r="B680" s="60" t="s">
        <v>4295</v>
      </c>
      <c r="C680" s="513" t="s">
        <v>1652</v>
      </c>
      <c r="D680" s="166" t="s">
        <v>211</v>
      </c>
      <c r="E680" s="173"/>
      <c r="F680" s="174"/>
    </row>
    <row r="681" spans="2:6" s="165" customFormat="1" ht="15.4" customHeight="1" outlineLevel="1" x14ac:dyDescent="0.2">
      <c r="B681" s="60" t="s">
        <v>4296</v>
      </c>
      <c r="C681" s="513" t="s">
        <v>1653</v>
      </c>
      <c r="D681" s="166" t="s">
        <v>211</v>
      </c>
      <c r="E681" s="173"/>
      <c r="F681" s="174"/>
    </row>
    <row r="682" spans="2:6" s="165" customFormat="1" ht="15.4" customHeight="1" outlineLevel="1" x14ac:dyDescent="0.2">
      <c r="B682" s="60" t="s">
        <v>4297</v>
      </c>
      <c r="C682" s="513" t="s">
        <v>1654</v>
      </c>
      <c r="D682" s="166" t="s">
        <v>211</v>
      </c>
      <c r="E682" s="173"/>
      <c r="F682" s="174"/>
    </row>
    <row r="683" spans="2:6" s="165" customFormat="1" ht="15.4" customHeight="1" outlineLevel="1" x14ac:dyDescent="0.2">
      <c r="B683" s="60" t="s">
        <v>4298</v>
      </c>
      <c r="C683" s="513" t="s">
        <v>1655</v>
      </c>
      <c r="D683" s="166" t="s">
        <v>211</v>
      </c>
      <c r="E683" s="173"/>
      <c r="F683" s="174"/>
    </row>
    <row r="684" spans="2:6" s="165" customFormat="1" ht="15.4" customHeight="1" outlineLevel="1" x14ac:dyDescent="0.2">
      <c r="B684" s="60" t="s">
        <v>4299</v>
      </c>
      <c r="C684" s="513" t="s">
        <v>1656</v>
      </c>
      <c r="D684" s="166" t="s">
        <v>211</v>
      </c>
      <c r="E684" s="173"/>
      <c r="F684" s="174"/>
    </row>
    <row r="685" spans="2:6" s="165" customFormat="1" ht="15.4" customHeight="1" outlineLevel="1" x14ac:dyDescent="0.2">
      <c r="B685" s="60" t="s">
        <v>4300</v>
      </c>
      <c r="C685" s="513" t="s">
        <v>1657</v>
      </c>
      <c r="D685" s="166" t="s">
        <v>211</v>
      </c>
      <c r="E685" s="173"/>
      <c r="F685" s="174"/>
    </row>
    <row r="686" spans="2:6" s="165" customFormat="1" ht="15.4" customHeight="1" outlineLevel="1" x14ac:dyDescent="0.2">
      <c r="B686" s="60" t="s">
        <v>4301</v>
      </c>
      <c r="C686" s="513" t="s">
        <v>1658</v>
      </c>
      <c r="D686" s="166" t="s">
        <v>211</v>
      </c>
      <c r="E686" s="173"/>
      <c r="F686" s="174"/>
    </row>
    <row r="687" spans="2:6" s="165" customFormat="1" ht="15.4" customHeight="1" outlineLevel="1" x14ac:dyDescent="0.2">
      <c r="B687" s="60" t="s">
        <v>4302</v>
      </c>
      <c r="C687" s="513" t="s">
        <v>1659</v>
      </c>
      <c r="D687" s="166" t="s">
        <v>211</v>
      </c>
      <c r="E687" s="173"/>
      <c r="F687" s="174"/>
    </row>
    <row r="688" spans="2:6" s="165" customFormat="1" ht="15.4" customHeight="1" outlineLevel="1" x14ac:dyDescent="0.2">
      <c r="B688" s="60" t="s">
        <v>4303</v>
      </c>
      <c r="C688" s="513" t="s">
        <v>1660</v>
      </c>
      <c r="D688" s="166" t="s">
        <v>211</v>
      </c>
      <c r="E688" s="173"/>
      <c r="F688" s="174"/>
    </row>
    <row r="689" spans="2:6" s="165" customFormat="1" ht="15.4" customHeight="1" outlineLevel="1" x14ac:dyDescent="0.2">
      <c r="B689" s="60" t="s">
        <v>4304</v>
      </c>
      <c r="C689" s="513" t="s">
        <v>1661</v>
      </c>
      <c r="D689" s="166" t="s">
        <v>211</v>
      </c>
      <c r="E689" s="173"/>
      <c r="F689" s="174"/>
    </row>
    <row r="690" spans="2:6" s="165" customFormat="1" ht="15.4" customHeight="1" outlineLevel="1" x14ac:dyDescent="0.2">
      <c r="B690" s="60" t="s">
        <v>4305</v>
      </c>
      <c r="C690" s="513" t="s">
        <v>1662</v>
      </c>
      <c r="D690" s="166" t="s">
        <v>211</v>
      </c>
      <c r="E690" s="173"/>
      <c r="F690" s="174"/>
    </row>
    <row r="691" spans="2:6" s="165" customFormat="1" ht="15.4" customHeight="1" outlineLevel="1" x14ac:dyDescent="0.2">
      <c r="B691" s="60" t="s">
        <v>4306</v>
      </c>
      <c r="C691" s="513" t="s">
        <v>1663</v>
      </c>
      <c r="D691" s="166" t="s">
        <v>211</v>
      </c>
      <c r="E691" s="173"/>
      <c r="F691" s="174"/>
    </row>
    <row r="692" spans="2:6" s="138" customFormat="1" ht="15" customHeight="1" x14ac:dyDescent="0.2">
      <c r="B692" s="60" t="s">
        <v>4307</v>
      </c>
      <c r="C692" s="514" t="s">
        <v>494</v>
      </c>
      <c r="D692" s="164" t="s">
        <v>212</v>
      </c>
      <c r="E692" s="636">
        <f>SUM(E693:E712)</f>
        <v>0</v>
      </c>
      <c r="F692" s="637">
        <f>SUM(F693:F712)</f>
        <v>0</v>
      </c>
    </row>
    <row r="693" spans="2:6" s="165" customFormat="1" ht="15.4" customHeight="1" outlineLevel="1" x14ac:dyDescent="0.2">
      <c r="B693" s="60" t="s">
        <v>4308</v>
      </c>
      <c r="C693" s="513" t="s">
        <v>1664</v>
      </c>
      <c r="D693" s="166" t="s">
        <v>211</v>
      </c>
      <c r="E693" s="173"/>
      <c r="F693" s="174"/>
    </row>
    <row r="694" spans="2:6" s="165" customFormat="1" ht="15.4" customHeight="1" outlineLevel="1" x14ac:dyDescent="0.2">
      <c r="B694" s="60" t="s">
        <v>4309</v>
      </c>
      <c r="C694" s="513" t="s">
        <v>1665</v>
      </c>
      <c r="D694" s="166" t="s">
        <v>211</v>
      </c>
      <c r="E694" s="173"/>
      <c r="F694" s="174"/>
    </row>
    <row r="695" spans="2:6" s="165" customFormat="1" ht="15.4" customHeight="1" outlineLevel="1" x14ac:dyDescent="0.2">
      <c r="B695" s="60" t="s">
        <v>4310</v>
      </c>
      <c r="C695" s="513" t="s">
        <v>1666</v>
      </c>
      <c r="D695" s="166" t="s">
        <v>211</v>
      </c>
      <c r="E695" s="173"/>
      <c r="F695" s="174"/>
    </row>
    <row r="696" spans="2:6" s="165" customFormat="1" ht="15.4" customHeight="1" outlineLevel="1" x14ac:dyDescent="0.2">
      <c r="B696" s="60" t="s">
        <v>4311</v>
      </c>
      <c r="C696" s="513" t="s">
        <v>1667</v>
      </c>
      <c r="D696" s="166" t="s">
        <v>211</v>
      </c>
      <c r="E696" s="173"/>
      <c r="F696" s="174"/>
    </row>
    <row r="697" spans="2:6" s="165" customFormat="1" ht="15.4" customHeight="1" outlineLevel="1" x14ac:dyDescent="0.2">
      <c r="B697" s="60" t="s">
        <v>4312</v>
      </c>
      <c r="C697" s="513" t="s">
        <v>1668</v>
      </c>
      <c r="D697" s="166" t="s">
        <v>211</v>
      </c>
      <c r="E697" s="173"/>
      <c r="F697" s="174"/>
    </row>
    <row r="698" spans="2:6" s="165" customFormat="1" ht="15.4" customHeight="1" outlineLevel="1" x14ac:dyDescent="0.2">
      <c r="B698" s="60" t="s">
        <v>4313</v>
      </c>
      <c r="C698" s="513" t="s">
        <v>1669</v>
      </c>
      <c r="D698" s="166" t="s">
        <v>211</v>
      </c>
      <c r="E698" s="173"/>
      <c r="F698" s="174"/>
    </row>
    <row r="699" spans="2:6" s="165" customFormat="1" ht="15.4" customHeight="1" outlineLevel="1" x14ac:dyDescent="0.2">
      <c r="B699" s="60" t="s">
        <v>4314</v>
      </c>
      <c r="C699" s="513" t="s">
        <v>1670</v>
      </c>
      <c r="D699" s="166" t="s">
        <v>211</v>
      </c>
      <c r="E699" s="173"/>
      <c r="F699" s="174"/>
    </row>
    <row r="700" spans="2:6" s="165" customFormat="1" ht="15.4" customHeight="1" outlineLevel="1" x14ac:dyDescent="0.2">
      <c r="B700" s="60" t="s">
        <v>4315</v>
      </c>
      <c r="C700" s="513" t="s">
        <v>1671</v>
      </c>
      <c r="D700" s="166" t="s">
        <v>211</v>
      </c>
      <c r="E700" s="173"/>
      <c r="F700" s="174"/>
    </row>
    <row r="701" spans="2:6" s="165" customFormat="1" ht="15.4" customHeight="1" outlineLevel="1" x14ac:dyDescent="0.2">
      <c r="B701" s="60" t="s">
        <v>4316</v>
      </c>
      <c r="C701" s="513" t="s">
        <v>1672</v>
      </c>
      <c r="D701" s="166" t="s">
        <v>211</v>
      </c>
      <c r="E701" s="173"/>
      <c r="F701" s="174"/>
    </row>
    <row r="702" spans="2:6" s="165" customFormat="1" ht="15.4" customHeight="1" outlineLevel="1" x14ac:dyDescent="0.2">
      <c r="B702" s="60" t="s">
        <v>4317</v>
      </c>
      <c r="C702" s="513" t="s">
        <v>1673</v>
      </c>
      <c r="D702" s="166" t="s">
        <v>211</v>
      </c>
      <c r="E702" s="173"/>
      <c r="F702" s="174"/>
    </row>
    <row r="703" spans="2:6" s="165" customFormat="1" ht="15.4" customHeight="1" outlineLevel="1" x14ac:dyDescent="0.2">
      <c r="B703" s="60" t="s">
        <v>4318</v>
      </c>
      <c r="C703" s="513" t="s">
        <v>1674</v>
      </c>
      <c r="D703" s="166" t="s">
        <v>211</v>
      </c>
      <c r="E703" s="173"/>
      <c r="F703" s="174"/>
    </row>
    <row r="704" spans="2:6" s="165" customFormat="1" ht="15.4" customHeight="1" outlineLevel="1" x14ac:dyDescent="0.2">
      <c r="B704" s="60" t="s">
        <v>4319</v>
      </c>
      <c r="C704" s="513" t="s">
        <v>1675</v>
      </c>
      <c r="D704" s="166" t="s">
        <v>211</v>
      </c>
      <c r="E704" s="173"/>
      <c r="F704" s="174"/>
    </row>
    <row r="705" spans="2:6" s="165" customFormat="1" ht="15.4" customHeight="1" outlineLevel="1" x14ac:dyDescent="0.2">
      <c r="B705" s="60" t="s">
        <v>4320</v>
      </c>
      <c r="C705" s="513" t="s">
        <v>1676</v>
      </c>
      <c r="D705" s="166" t="s">
        <v>211</v>
      </c>
      <c r="E705" s="173"/>
      <c r="F705" s="174"/>
    </row>
    <row r="706" spans="2:6" s="165" customFormat="1" ht="15.4" customHeight="1" outlineLevel="1" x14ac:dyDescent="0.2">
      <c r="B706" s="60" t="s">
        <v>4321</v>
      </c>
      <c r="C706" s="513" t="s">
        <v>1677</v>
      </c>
      <c r="D706" s="166" t="s">
        <v>211</v>
      </c>
      <c r="E706" s="173"/>
      <c r="F706" s="174"/>
    </row>
    <row r="707" spans="2:6" s="165" customFormat="1" ht="15.4" customHeight="1" outlineLevel="1" x14ac:dyDescent="0.2">
      <c r="B707" s="60" t="s">
        <v>4322</v>
      </c>
      <c r="C707" s="513" t="s">
        <v>1678</v>
      </c>
      <c r="D707" s="166" t="s">
        <v>211</v>
      </c>
      <c r="E707" s="173"/>
      <c r="F707" s="174"/>
    </row>
    <row r="708" spans="2:6" s="165" customFormat="1" ht="15.4" customHeight="1" outlineLevel="1" x14ac:dyDescent="0.2">
      <c r="B708" s="60" t="s">
        <v>4323</v>
      </c>
      <c r="C708" s="513" t="s">
        <v>1679</v>
      </c>
      <c r="D708" s="166" t="s">
        <v>211</v>
      </c>
      <c r="E708" s="173"/>
      <c r="F708" s="174"/>
    </row>
    <row r="709" spans="2:6" s="165" customFormat="1" ht="15.4" customHeight="1" outlineLevel="1" x14ac:dyDescent="0.2">
      <c r="B709" s="60" t="s">
        <v>4324</v>
      </c>
      <c r="C709" s="513" t="s">
        <v>1680</v>
      </c>
      <c r="D709" s="166" t="s">
        <v>211</v>
      </c>
      <c r="E709" s="173"/>
      <c r="F709" s="174"/>
    </row>
    <row r="710" spans="2:6" s="165" customFormat="1" ht="15.4" customHeight="1" outlineLevel="1" x14ac:dyDescent="0.2">
      <c r="B710" s="60" t="s">
        <v>4325</v>
      </c>
      <c r="C710" s="513" t="s">
        <v>1681</v>
      </c>
      <c r="D710" s="166" t="s">
        <v>211</v>
      </c>
      <c r="E710" s="173"/>
      <c r="F710" s="174"/>
    </row>
    <row r="711" spans="2:6" s="165" customFormat="1" ht="15.4" customHeight="1" outlineLevel="1" x14ac:dyDescent="0.2">
      <c r="B711" s="60" t="s">
        <v>4326</v>
      </c>
      <c r="C711" s="513" t="s">
        <v>1682</v>
      </c>
      <c r="D711" s="166" t="s">
        <v>211</v>
      </c>
      <c r="E711" s="173"/>
      <c r="F711" s="174"/>
    </row>
    <row r="712" spans="2:6" s="165" customFormat="1" ht="15.4" customHeight="1" outlineLevel="1" x14ac:dyDescent="0.2">
      <c r="B712" s="60" t="s">
        <v>4327</v>
      </c>
      <c r="C712" s="513" t="s">
        <v>1683</v>
      </c>
      <c r="D712" s="166" t="s">
        <v>211</v>
      </c>
      <c r="E712" s="173"/>
      <c r="F712" s="174"/>
    </row>
    <row r="713" spans="2:6" s="138" customFormat="1" ht="15" customHeight="1" x14ac:dyDescent="0.2">
      <c r="B713" s="60" t="s">
        <v>4328</v>
      </c>
      <c r="C713" s="514" t="s">
        <v>495</v>
      </c>
      <c r="D713" s="164" t="s">
        <v>244</v>
      </c>
      <c r="E713" s="636">
        <f>SUM(E714:E733)</f>
        <v>0</v>
      </c>
      <c r="F713" s="637">
        <f>SUM(F714:F733)</f>
        <v>0</v>
      </c>
    </row>
    <row r="714" spans="2:6" s="165" customFormat="1" ht="15.4" customHeight="1" outlineLevel="1" x14ac:dyDescent="0.2">
      <c r="B714" s="60" t="s">
        <v>4329</v>
      </c>
      <c r="C714" s="513" t="s">
        <v>2431</v>
      </c>
      <c r="D714" s="166" t="s">
        <v>211</v>
      </c>
      <c r="E714" s="173"/>
      <c r="F714" s="174"/>
    </row>
    <row r="715" spans="2:6" s="165" customFormat="1" ht="15.4" customHeight="1" outlineLevel="1" x14ac:dyDescent="0.2">
      <c r="B715" s="60" t="s">
        <v>4330</v>
      </c>
      <c r="C715" s="513" t="s">
        <v>2432</v>
      </c>
      <c r="D715" s="166" t="s">
        <v>211</v>
      </c>
      <c r="E715" s="173"/>
      <c r="F715" s="174"/>
    </row>
    <row r="716" spans="2:6" s="165" customFormat="1" ht="15.4" customHeight="1" outlineLevel="1" x14ac:dyDescent="0.2">
      <c r="B716" s="60" t="s">
        <v>4331</v>
      </c>
      <c r="C716" s="513" t="s">
        <v>2433</v>
      </c>
      <c r="D716" s="166" t="s">
        <v>211</v>
      </c>
      <c r="E716" s="173"/>
      <c r="F716" s="174"/>
    </row>
    <row r="717" spans="2:6" s="165" customFormat="1" ht="15.4" customHeight="1" outlineLevel="1" x14ac:dyDescent="0.2">
      <c r="B717" s="60" t="s">
        <v>4332</v>
      </c>
      <c r="C717" s="513" t="s">
        <v>2434</v>
      </c>
      <c r="D717" s="166" t="s">
        <v>211</v>
      </c>
      <c r="E717" s="173"/>
      <c r="F717" s="174"/>
    </row>
    <row r="718" spans="2:6" s="165" customFormat="1" ht="15.4" customHeight="1" outlineLevel="1" x14ac:dyDescent="0.2">
      <c r="B718" s="60" t="s">
        <v>4333</v>
      </c>
      <c r="C718" s="513" t="s">
        <v>2435</v>
      </c>
      <c r="D718" s="166" t="s">
        <v>211</v>
      </c>
      <c r="E718" s="173"/>
      <c r="F718" s="174"/>
    </row>
    <row r="719" spans="2:6" s="165" customFormat="1" ht="15.4" customHeight="1" outlineLevel="1" x14ac:dyDescent="0.2">
      <c r="B719" s="60" t="s">
        <v>4334</v>
      </c>
      <c r="C719" s="513" t="s">
        <v>2436</v>
      </c>
      <c r="D719" s="166" t="s">
        <v>211</v>
      </c>
      <c r="E719" s="173"/>
      <c r="F719" s="174"/>
    </row>
    <row r="720" spans="2:6" s="165" customFormat="1" ht="15.4" customHeight="1" outlineLevel="1" x14ac:dyDescent="0.2">
      <c r="B720" s="60" t="s">
        <v>4335</v>
      </c>
      <c r="C720" s="513" t="s">
        <v>2437</v>
      </c>
      <c r="D720" s="166" t="s">
        <v>211</v>
      </c>
      <c r="E720" s="173"/>
      <c r="F720" s="174"/>
    </row>
    <row r="721" spans="2:6" s="165" customFormat="1" ht="15.4" customHeight="1" outlineLevel="1" x14ac:dyDescent="0.2">
      <c r="B721" s="60" t="s">
        <v>4336</v>
      </c>
      <c r="C721" s="513" t="s">
        <v>2438</v>
      </c>
      <c r="D721" s="166" t="s">
        <v>211</v>
      </c>
      <c r="E721" s="173"/>
      <c r="F721" s="174"/>
    </row>
    <row r="722" spans="2:6" s="165" customFormat="1" ht="15.4" customHeight="1" outlineLevel="1" x14ac:dyDescent="0.2">
      <c r="B722" s="60" t="s">
        <v>4337</v>
      </c>
      <c r="C722" s="513" t="s">
        <v>2439</v>
      </c>
      <c r="D722" s="166" t="s">
        <v>211</v>
      </c>
      <c r="E722" s="173"/>
      <c r="F722" s="174"/>
    </row>
    <row r="723" spans="2:6" s="165" customFormat="1" ht="15.4" customHeight="1" outlineLevel="1" x14ac:dyDescent="0.2">
      <c r="B723" s="60" t="s">
        <v>4338</v>
      </c>
      <c r="C723" s="513" t="s">
        <v>2440</v>
      </c>
      <c r="D723" s="166" t="s">
        <v>211</v>
      </c>
      <c r="E723" s="173"/>
      <c r="F723" s="174"/>
    </row>
    <row r="724" spans="2:6" s="165" customFormat="1" ht="15.4" customHeight="1" outlineLevel="1" x14ac:dyDescent="0.2">
      <c r="B724" s="60" t="s">
        <v>4339</v>
      </c>
      <c r="C724" s="513" t="s">
        <v>2441</v>
      </c>
      <c r="D724" s="166" t="s">
        <v>211</v>
      </c>
      <c r="E724" s="173"/>
      <c r="F724" s="174"/>
    </row>
    <row r="725" spans="2:6" s="165" customFormat="1" ht="15.4" customHeight="1" outlineLevel="1" x14ac:dyDescent="0.2">
      <c r="B725" s="60" t="s">
        <v>4340</v>
      </c>
      <c r="C725" s="513" t="s">
        <v>2442</v>
      </c>
      <c r="D725" s="166" t="s">
        <v>211</v>
      </c>
      <c r="E725" s="173"/>
      <c r="F725" s="174"/>
    </row>
    <row r="726" spans="2:6" s="165" customFormat="1" ht="15.4" customHeight="1" outlineLevel="1" x14ac:dyDescent="0.2">
      <c r="B726" s="60" t="s">
        <v>4341</v>
      </c>
      <c r="C726" s="513" t="s">
        <v>2443</v>
      </c>
      <c r="D726" s="166" t="s">
        <v>211</v>
      </c>
      <c r="E726" s="173"/>
      <c r="F726" s="174"/>
    </row>
    <row r="727" spans="2:6" s="165" customFormat="1" ht="15.4" customHeight="1" outlineLevel="1" x14ac:dyDescent="0.2">
      <c r="B727" s="60" t="s">
        <v>4342</v>
      </c>
      <c r="C727" s="513" t="s">
        <v>2444</v>
      </c>
      <c r="D727" s="166" t="s">
        <v>211</v>
      </c>
      <c r="E727" s="173"/>
      <c r="F727" s="174"/>
    </row>
    <row r="728" spans="2:6" s="165" customFormat="1" ht="15.4" customHeight="1" outlineLevel="1" x14ac:dyDescent="0.2">
      <c r="B728" s="60" t="s">
        <v>4343</v>
      </c>
      <c r="C728" s="513" t="s">
        <v>2445</v>
      </c>
      <c r="D728" s="166" t="s">
        <v>211</v>
      </c>
      <c r="E728" s="173"/>
      <c r="F728" s="174"/>
    </row>
    <row r="729" spans="2:6" s="165" customFormat="1" ht="15.4" customHeight="1" outlineLevel="1" x14ac:dyDescent="0.2">
      <c r="B729" s="60" t="s">
        <v>4344</v>
      </c>
      <c r="C729" s="513" t="s">
        <v>2446</v>
      </c>
      <c r="D729" s="166" t="s">
        <v>211</v>
      </c>
      <c r="E729" s="173"/>
      <c r="F729" s="174"/>
    </row>
    <row r="730" spans="2:6" s="165" customFormat="1" ht="15.4" customHeight="1" outlineLevel="1" x14ac:dyDescent="0.2">
      <c r="B730" s="60" t="s">
        <v>4345</v>
      </c>
      <c r="C730" s="513" t="s">
        <v>2447</v>
      </c>
      <c r="D730" s="166" t="s">
        <v>211</v>
      </c>
      <c r="E730" s="173"/>
      <c r="F730" s="174"/>
    </row>
    <row r="731" spans="2:6" s="165" customFormat="1" ht="15.4" customHeight="1" outlineLevel="1" x14ac:dyDescent="0.2">
      <c r="B731" s="60" t="s">
        <v>4346</v>
      </c>
      <c r="C731" s="513" t="s">
        <v>2448</v>
      </c>
      <c r="D731" s="166" t="s">
        <v>211</v>
      </c>
      <c r="E731" s="173"/>
      <c r="F731" s="174"/>
    </row>
    <row r="732" spans="2:6" s="165" customFormat="1" ht="15.4" customHeight="1" outlineLevel="1" x14ac:dyDescent="0.2">
      <c r="B732" s="60" t="s">
        <v>4347</v>
      </c>
      <c r="C732" s="513" t="s">
        <v>2449</v>
      </c>
      <c r="D732" s="166" t="s">
        <v>211</v>
      </c>
      <c r="E732" s="173"/>
      <c r="F732" s="174"/>
    </row>
    <row r="733" spans="2:6" s="165" customFormat="1" ht="15.4" customHeight="1" outlineLevel="1" x14ac:dyDescent="0.2">
      <c r="B733" s="60" t="s">
        <v>4348</v>
      </c>
      <c r="C733" s="513" t="s">
        <v>2450</v>
      </c>
      <c r="D733" s="166" t="s">
        <v>211</v>
      </c>
      <c r="E733" s="173"/>
      <c r="F733" s="174"/>
    </row>
    <row r="734" spans="2:6" s="138" customFormat="1" ht="15" customHeight="1" x14ac:dyDescent="0.2">
      <c r="B734" s="60" t="s">
        <v>4349</v>
      </c>
      <c r="C734" s="514" t="s">
        <v>496</v>
      </c>
      <c r="D734" s="164" t="s">
        <v>4668</v>
      </c>
      <c r="E734" s="636">
        <f>SUM(E735:E754)</f>
        <v>0</v>
      </c>
      <c r="F734" s="637">
        <f>SUM(F735:F754)</f>
        <v>0</v>
      </c>
    </row>
    <row r="735" spans="2:6" s="165" customFormat="1" ht="15.4" customHeight="1" outlineLevel="1" x14ac:dyDescent="0.2">
      <c r="B735" s="60" t="s">
        <v>4350</v>
      </c>
      <c r="C735" s="513" t="s">
        <v>2451</v>
      </c>
      <c r="D735" s="166" t="s">
        <v>211</v>
      </c>
      <c r="E735" s="173"/>
      <c r="F735" s="174"/>
    </row>
    <row r="736" spans="2:6" s="165" customFormat="1" ht="15.4" customHeight="1" outlineLevel="1" x14ac:dyDescent="0.2">
      <c r="B736" s="60" t="s">
        <v>4351</v>
      </c>
      <c r="C736" s="513" t="s">
        <v>2452</v>
      </c>
      <c r="D736" s="166" t="s">
        <v>211</v>
      </c>
      <c r="E736" s="173"/>
      <c r="F736" s="174"/>
    </row>
    <row r="737" spans="2:6" s="165" customFormat="1" ht="15.4" customHeight="1" outlineLevel="1" x14ac:dyDescent="0.2">
      <c r="B737" s="60" t="s">
        <v>4352</v>
      </c>
      <c r="C737" s="513" t="s">
        <v>2453</v>
      </c>
      <c r="D737" s="166" t="s">
        <v>211</v>
      </c>
      <c r="E737" s="173"/>
      <c r="F737" s="174"/>
    </row>
    <row r="738" spans="2:6" s="165" customFormat="1" ht="15.4" customHeight="1" outlineLevel="1" x14ac:dyDescent="0.2">
      <c r="B738" s="60" t="s">
        <v>4353</v>
      </c>
      <c r="C738" s="513" t="s">
        <v>2454</v>
      </c>
      <c r="D738" s="166" t="s">
        <v>211</v>
      </c>
      <c r="E738" s="173"/>
      <c r="F738" s="174"/>
    </row>
    <row r="739" spans="2:6" s="165" customFormat="1" ht="15.4" customHeight="1" outlineLevel="1" x14ac:dyDescent="0.2">
      <c r="B739" s="60" t="s">
        <v>4354</v>
      </c>
      <c r="C739" s="513" t="s">
        <v>2455</v>
      </c>
      <c r="D739" s="166" t="s">
        <v>211</v>
      </c>
      <c r="E739" s="173"/>
      <c r="F739" s="174"/>
    </row>
    <row r="740" spans="2:6" s="165" customFormat="1" ht="15.4" customHeight="1" outlineLevel="1" x14ac:dyDescent="0.2">
      <c r="B740" s="60" t="s">
        <v>4355</v>
      </c>
      <c r="C740" s="513" t="s">
        <v>2456</v>
      </c>
      <c r="D740" s="166" t="s">
        <v>211</v>
      </c>
      <c r="E740" s="173"/>
      <c r="F740" s="174"/>
    </row>
    <row r="741" spans="2:6" s="165" customFormat="1" ht="15.4" customHeight="1" outlineLevel="1" x14ac:dyDescent="0.2">
      <c r="B741" s="60" t="s">
        <v>4356</v>
      </c>
      <c r="C741" s="513" t="s">
        <v>2457</v>
      </c>
      <c r="D741" s="166" t="s">
        <v>211</v>
      </c>
      <c r="E741" s="173"/>
      <c r="F741" s="174"/>
    </row>
    <row r="742" spans="2:6" s="165" customFormat="1" ht="15.4" customHeight="1" outlineLevel="1" x14ac:dyDescent="0.2">
      <c r="B742" s="60" t="s">
        <v>4357</v>
      </c>
      <c r="C742" s="513" t="s">
        <v>2458</v>
      </c>
      <c r="D742" s="166" t="s">
        <v>211</v>
      </c>
      <c r="E742" s="173"/>
      <c r="F742" s="174"/>
    </row>
    <row r="743" spans="2:6" s="165" customFormat="1" ht="15.4" customHeight="1" outlineLevel="1" x14ac:dyDescent="0.2">
      <c r="B743" s="60" t="s">
        <v>4358</v>
      </c>
      <c r="C743" s="513" t="s">
        <v>2459</v>
      </c>
      <c r="D743" s="166" t="s">
        <v>211</v>
      </c>
      <c r="E743" s="173"/>
      <c r="F743" s="174"/>
    </row>
    <row r="744" spans="2:6" s="165" customFormat="1" ht="15.4" customHeight="1" outlineLevel="1" x14ac:dyDescent="0.2">
      <c r="B744" s="60" t="s">
        <v>4359</v>
      </c>
      <c r="C744" s="513" t="s">
        <v>2460</v>
      </c>
      <c r="D744" s="166" t="s">
        <v>211</v>
      </c>
      <c r="E744" s="173"/>
      <c r="F744" s="174"/>
    </row>
    <row r="745" spans="2:6" s="165" customFormat="1" ht="15.4" customHeight="1" outlineLevel="1" x14ac:dyDescent="0.2">
      <c r="B745" s="60" t="s">
        <v>4360</v>
      </c>
      <c r="C745" s="513" t="s">
        <v>2461</v>
      </c>
      <c r="D745" s="166" t="s">
        <v>211</v>
      </c>
      <c r="E745" s="173"/>
      <c r="F745" s="174"/>
    </row>
    <row r="746" spans="2:6" s="165" customFormat="1" ht="15.4" customHeight="1" outlineLevel="1" x14ac:dyDescent="0.2">
      <c r="B746" s="60" t="s">
        <v>4361</v>
      </c>
      <c r="C746" s="513" t="s">
        <v>2462</v>
      </c>
      <c r="D746" s="166" t="s">
        <v>211</v>
      </c>
      <c r="E746" s="173"/>
      <c r="F746" s="174"/>
    </row>
    <row r="747" spans="2:6" s="165" customFormat="1" ht="15.4" customHeight="1" outlineLevel="1" x14ac:dyDescent="0.2">
      <c r="B747" s="60" t="s">
        <v>4362</v>
      </c>
      <c r="C747" s="513" t="s">
        <v>2463</v>
      </c>
      <c r="D747" s="166" t="s">
        <v>211</v>
      </c>
      <c r="E747" s="173"/>
      <c r="F747" s="174"/>
    </row>
    <row r="748" spans="2:6" s="165" customFormat="1" ht="15.4" customHeight="1" outlineLevel="1" x14ac:dyDescent="0.2">
      <c r="B748" s="60" t="s">
        <v>4363</v>
      </c>
      <c r="C748" s="513" t="s">
        <v>2464</v>
      </c>
      <c r="D748" s="166" t="s">
        <v>211</v>
      </c>
      <c r="E748" s="173"/>
      <c r="F748" s="174"/>
    </row>
    <row r="749" spans="2:6" s="165" customFormat="1" ht="15.4" customHeight="1" outlineLevel="1" x14ac:dyDescent="0.2">
      <c r="B749" s="60" t="s">
        <v>4364</v>
      </c>
      <c r="C749" s="513" t="s">
        <v>2465</v>
      </c>
      <c r="D749" s="166" t="s">
        <v>211</v>
      </c>
      <c r="E749" s="173"/>
      <c r="F749" s="174"/>
    </row>
    <row r="750" spans="2:6" s="165" customFormat="1" ht="15.4" customHeight="1" outlineLevel="1" x14ac:dyDescent="0.2">
      <c r="B750" s="60" t="s">
        <v>4365</v>
      </c>
      <c r="C750" s="513" t="s">
        <v>2466</v>
      </c>
      <c r="D750" s="166" t="s">
        <v>211</v>
      </c>
      <c r="E750" s="173"/>
      <c r="F750" s="174"/>
    </row>
    <row r="751" spans="2:6" s="165" customFormat="1" ht="15.4" customHeight="1" outlineLevel="1" x14ac:dyDescent="0.2">
      <c r="B751" s="60" t="s">
        <v>4366</v>
      </c>
      <c r="C751" s="513" t="s">
        <v>2467</v>
      </c>
      <c r="D751" s="166" t="s">
        <v>211</v>
      </c>
      <c r="E751" s="173"/>
      <c r="F751" s="174"/>
    </row>
    <row r="752" spans="2:6" s="165" customFormat="1" ht="15.4" customHeight="1" outlineLevel="1" x14ac:dyDescent="0.2">
      <c r="B752" s="60" t="s">
        <v>4367</v>
      </c>
      <c r="C752" s="513" t="s">
        <v>2468</v>
      </c>
      <c r="D752" s="166" t="s">
        <v>211</v>
      </c>
      <c r="E752" s="173"/>
      <c r="F752" s="174"/>
    </row>
    <row r="753" spans="2:6" s="165" customFormat="1" ht="15.4" customHeight="1" outlineLevel="1" x14ac:dyDescent="0.2">
      <c r="B753" s="60" t="s">
        <v>4368</v>
      </c>
      <c r="C753" s="513" t="s">
        <v>2469</v>
      </c>
      <c r="D753" s="166" t="s">
        <v>211</v>
      </c>
      <c r="E753" s="173"/>
      <c r="F753" s="174"/>
    </row>
    <row r="754" spans="2:6" s="165" customFormat="1" ht="15.4" customHeight="1" outlineLevel="1" x14ac:dyDescent="0.2">
      <c r="B754" s="60" t="s">
        <v>4369</v>
      </c>
      <c r="C754" s="513" t="s">
        <v>2470</v>
      </c>
      <c r="D754" s="166" t="s">
        <v>211</v>
      </c>
      <c r="E754" s="173"/>
      <c r="F754" s="174"/>
    </row>
    <row r="755" spans="2:6" s="30" customFormat="1" ht="15" customHeight="1" x14ac:dyDescent="0.2">
      <c r="B755" s="60" t="s">
        <v>4370</v>
      </c>
      <c r="C755" s="511" t="s">
        <v>426</v>
      </c>
      <c r="D755" s="94" t="s">
        <v>213</v>
      </c>
      <c r="E755" s="635">
        <f>E756+E777+E798+E819+E840+E861</f>
        <v>0</v>
      </c>
      <c r="F755" s="638">
        <f>F756+F777+F798+F819+F840+F861</f>
        <v>0</v>
      </c>
    </row>
    <row r="756" spans="2:6" s="138" customFormat="1" ht="15" customHeight="1" x14ac:dyDescent="0.2">
      <c r="B756" s="60" t="s">
        <v>4371</v>
      </c>
      <c r="C756" s="514" t="s">
        <v>427</v>
      </c>
      <c r="D756" s="164" t="s">
        <v>245</v>
      </c>
      <c r="E756" s="636">
        <f>SUM(E757:E776)</f>
        <v>0</v>
      </c>
      <c r="F756" s="637">
        <f>SUM(F757:F776)</f>
        <v>0</v>
      </c>
    </row>
    <row r="757" spans="2:6" s="159" customFormat="1" ht="15.4" customHeight="1" outlineLevel="1" x14ac:dyDescent="0.2">
      <c r="B757" s="60" t="s">
        <v>4372</v>
      </c>
      <c r="C757" s="513" t="s">
        <v>443</v>
      </c>
      <c r="D757" s="166" t="s">
        <v>246</v>
      </c>
      <c r="E757" s="173"/>
      <c r="F757" s="174"/>
    </row>
    <row r="758" spans="2:6" s="165" customFormat="1" ht="15.4" customHeight="1" outlineLevel="1" x14ac:dyDescent="0.2">
      <c r="B758" s="60" t="s">
        <v>4373</v>
      </c>
      <c r="C758" s="513" t="s">
        <v>442</v>
      </c>
      <c r="D758" s="166" t="s">
        <v>246</v>
      </c>
      <c r="E758" s="173"/>
      <c r="F758" s="174"/>
    </row>
    <row r="759" spans="2:6" s="165" customFormat="1" ht="15.4" customHeight="1" outlineLevel="1" x14ac:dyDescent="0.2">
      <c r="B759" s="60" t="s">
        <v>4374</v>
      </c>
      <c r="C759" s="513" t="s">
        <v>460</v>
      </c>
      <c r="D759" s="166" t="s">
        <v>246</v>
      </c>
      <c r="E759" s="173"/>
      <c r="F759" s="174"/>
    </row>
    <row r="760" spans="2:6" s="165" customFormat="1" ht="15.4" customHeight="1" outlineLevel="1" x14ac:dyDescent="0.2">
      <c r="B760" s="60" t="s">
        <v>4375</v>
      </c>
      <c r="C760" s="513" t="s">
        <v>634</v>
      </c>
      <c r="D760" s="166" t="s">
        <v>246</v>
      </c>
      <c r="E760" s="173"/>
      <c r="F760" s="174"/>
    </row>
    <row r="761" spans="2:6" s="165" customFormat="1" ht="15.4" customHeight="1" outlineLevel="1" x14ac:dyDescent="0.2">
      <c r="B761" s="60" t="s">
        <v>4376</v>
      </c>
      <c r="C761" s="513" t="s">
        <v>635</v>
      </c>
      <c r="D761" s="166" t="s">
        <v>246</v>
      </c>
      <c r="E761" s="173"/>
      <c r="F761" s="174"/>
    </row>
    <row r="762" spans="2:6" s="165" customFormat="1" ht="15.4" customHeight="1" outlineLevel="1" x14ac:dyDescent="0.2">
      <c r="B762" s="60" t="s">
        <v>4377</v>
      </c>
      <c r="C762" s="513" t="s">
        <v>636</v>
      </c>
      <c r="D762" s="166" t="s">
        <v>246</v>
      </c>
      <c r="E762" s="173"/>
      <c r="F762" s="174"/>
    </row>
    <row r="763" spans="2:6" s="165" customFormat="1" ht="15.4" customHeight="1" outlineLevel="1" x14ac:dyDescent="0.2">
      <c r="B763" s="60" t="s">
        <v>4378</v>
      </c>
      <c r="C763" s="513" t="s">
        <v>637</v>
      </c>
      <c r="D763" s="166" t="s">
        <v>246</v>
      </c>
      <c r="E763" s="173"/>
      <c r="F763" s="174"/>
    </row>
    <row r="764" spans="2:6" s="165" customFormat="1" ht="15.4" customHeight="1" outlineLevel="1" x14ac:dyDescent="0.2">
      <c r="B764" s="60" t="s">
        <v>4379</v>
      </c>
      <c r="C764" s="513" t="s">
        <v>638</v>
      </c>
      <c r="D764" s="166" t="s">
        <v>246</v>
      </c>
      <c r="E764" s="173"/>
      <c r="F764" s="174"/>
    </row>
    <row r="765" spans="2:6" s="165" customFormat="1" ht="15.4" customHeight="1" outlineLevel="1" x14ac:dyDescent="0.2">
      <c r="B765" s="60" t="s">
        <v>4380</v>
      </c>
      <c r="C765" s="513" t="s">
        <v>639</v>
      </c>
      <c r="D765" s="166" t="s">
        <v>246</v>
      </c>
      <c r="E765" s="173"/>
      <c r="F765" s="174"/>
    </row>
    <row r="766" spans="2:6" s="165" customFormat="1" ht="15.4" customHeight="1" outlineLevel="1" x14ac:dyDescent="0.2">
      <c r="B766" s="60" t="s">
        <v>4381</v>
      </c>
      <c r="C766" s="513" t="s">
        <v>640</v>
      </c>
      <c r="D766" s="166" t="s">
        <v>246</v>
      </c>
      <c r="E766" s="173"/>
      <c r="F766" s="174"/>
    </row>
    <row r="767" spans="2:6" s="165" customFormat="1" ht="15.4" customHeight="1" outlineLevel="1" x14ac:dyDescent="0.2">
      <c r="B767" s="60" t="s">
        <v>4382</v>
      </c>
      <c r="C767" s="513" t="s">
        <v>641</v>
      </c>
      <c r="D767" s="166" t="s">
        <v>246</v>
      </c>
      <c r="E767" s="173"/>
      <c r="F767" s="174"/>
    </row>
    <row r="768" spans="2:6" s="165" customFormat="1" ht="15.4" customHeight="1" outlineLevel="1" x14ac:dyDescent="0.2">
      <c r="B768" s="60" t="s">
        <v>4383</v>
      </c>
      <c r="C768" s="513" t="s">
        <v>642</v>
      </c>
      <c r="D768" s="166" t="s">
        <v>246</v>
      </c>
      <c r="E768" s="173"/>
      <c r="F768" s="174"/>
    </row>
    <row r="769" spans="2:6" s="165" customFormat="1" ht="15.4" customHeight="1" outlineLevel="1" x14ac:dyDescent="0.2">
      <c r="B769" s="60" t="s">
        <v>4384</v>
      </c>
      <c r="C769" s="513" t="s">
        <v>643</v>
      </c>
      <c r="D769" s="166" t="s">
        <v>246</v>
      </c>
      <c r="E769" s="173"/>
      <c r="F769" s="174"/>
    </row>
    <row r="770" spans="2:6" s="165" customFormat="1" ht="15.4" customHeight="1" outlineLevel="1" x14ac:dyDescent="0.2">
      <c r="B770" s="60" t="s">
        <v>4385</v>
      </c>
      <c r="C770" s="513" t="s">
        <v>644</v>
      </c>
      <c r="D770" s="166" t="s">
        <v>246</v>
      </c>
      <c r="E770" s="173"/>
      <c r="F770" s="174"/>
    </row>
    <row r="771" spans="2:6" s="165" customFormat="1" ht="15.4" customHeight="1" outlineLevel="1" x14ac:dyDescent="0.2">
      <c r="B771" s="60" t="s">
        <v>4386</v>
      </c>
      <c r="C771" s="513" t="s">
        <v>645</v>
      </c>
      <c r="D771" s="166" t="s">
        <v>246</v>
      </c>
      <c r="E771" s="173"/>
      <c r="F771" s="174"/>
    </row>
    <row r="772" spans="2:6" s="165" customFormat="1" ht="15.4" customHeight="1" outlineLevel="1" x14ac:dyDescent="0.2">
      <c r="B772" s="60" t="s">
        <v>4387</v>
      </c>
      <c r="C772" s="513" t="s">
        <v>646</v>
      </c>
      <c r="D772" s="166" t="s">
        <v>246</v>
      </c>
      <c r="E772" s="173"/>
      <c r="F772" s="174"/>
    </row>
    <row r="773" spans="2:6" s="165" customFormat="1" ht="15.4" customHeight="1" outlineLevel="1" x14ac:dyDescent="0.2">
      <c r="B773" s="60" t="s">
        <v>4388</v>
      </c>
      <c r="C773" s="513" t="s">
        <v>647</v>
      </c>
      <c r="D773" s="166" t="s">
        <v>246</v>
      </c>
      <c r="E773" s="173"/>
      <c r="F773" s="174"/>
    </row>
    <row r="774" spans="2:6" s="165" customFormat="1" ht="15.4" customHeight="1" outlineLevel="1" x14ac:dyDescent="0.2">
      <c r="B774" s="60" t="s">
        <v>4389</v>
      </c>
      <c r="C774" s="513" t="s">
        <v>648</v>
      </c>
      <c r="D774" s="166" t="s">
        <v>246</v>
      </c>
      <c r="E774" s="173"/>
      <c r="F774" s="174"/>
    </row>
    <row r="775" spans="2:6" s="165" customFormat="1" ht="15.4" customHeight="1" outlineLevel="1" x14ac:dyDescent="0.2">
      <c r="B775" s="60" t="s">
        <v>4390</v>
      </c>
      <c r="C775" s="513" t="s">
        <v>649</v>
      </c>
      <c r="D775" s="166" t="s">
        <v>246</v>
      </c>
      <c r="E775" s="173"/>
      <c r="F775" s="174"/>
    </row>
    <row r="776" spans="2:6" s="165" customFormat="1" ht="15.4" customHeight="1" outlineLevel="1" x14ac:dyDescent="0.2">
      <c r="B776" s="60" t="s">
        <v>4391</v>
      </c>
      <c r="C776" s="513" t="s">
        <v>650</v>
      </c>
      <c r="D776" s="166" t="s">
        <v>246</v>
      </c>
      <c r="E776" s="173"/>
      <c r="F776" s="174"/>
    </row>
    <row r="777" spans="2:6" s="138" customFormat="1" ht="15" customHeight="1" x14ac:dyDescent="0.2">
      <c r="B777" s="60" t="s">
        <v>4392</v>
      </c>
      <c r="C777" s="514" t="s">
        <v>428</v>
      </c>
      <c r="D777" s="164" t="s">
        <v>2781</v>
      </c>
      <c r="E777" s="636">
        <f>SUM(E778:E797)</f>
        <v>0</v>
      </c>
      <c r="F777" s="637">
        <f>SUM(F778:F797)</f>
        <v>0</v>
      </c>
    </row>
    <row r="778" spans="2:6" s="165" customFormat="1" ht="15.4" customHeight="1" outlineLevel="1" x14ac:dyDescent="0.2">
      <c r="B778" s="60" t="s">
        <v>4393</v>
      </c>
      <c r="C778" s="513" t="s">
        <v>444</v>
      </c>
      <c r="D778" s="166" t="s">
        <v>246</v>
      </c>
      <c r="E778" s="173"/>
      <c r="F778" s="174"/>
    </row>
    <row r="779" spans="2:6" s="165" customFormat="1" ht="15.4" customHeight="1" outlineLevel="1" x14ac:dyDescent="0.2">
      <c r="B779" s="60" t="s">
        <v>4394</v>
      </c>
      <c r="C779" s="513" t="s">
        <v>445</v>
      </c>
      <c r="D779" s="166" t="s">
        <v>246</v>
      </c>
      <c r="E779" s="173"/>
      <c r="F779" s="174"/>
    </row>
    <row r="780" spans="2:6" s="165" customFormat="1" ht="15.4" customHeight="1" outlineLevel="1" x14ac:dyDescent="0.2">
      <c r="B780" s="60" t="s">
        <v>4395</v>
      </c>
      <c r="C780" s="513" t="s">
        <v>461</v>
      </c>
      <c r="D780" s="166" t="s">
        <v>246</v>
      </c>
      <c r="E780" s="173"/>
      <c r="F780" s="174"/>
    </row>
    <row r="781" spans="2:6" s="165" customFormat="1" ht="15.4" customHeight="1" outlineLevel="1" x14ac:dyDescent="0.2">
      <c r="B781" s="60" t="s">
        <v>4396</v>
      </c>
      <c r="C781" s="513" t="s">
        <v>651</v>
      </c>
      <c r="D781" s="166" t="s">
        <v>246</v>
      </c>
      <c r="E781" s="173"/>
      <c r="F781" s="174"/>
    </row>
    <row r="782" spans="2:6" s="165" customFormat="1" ht="15.4" customHeight="1" outlineLevel="1" x14ac:dyDescent="0.2">
      <c r="B782" s="60" t="s">
        <v>4397</v>
      </c>
      <c r="C782" s="513" t="s">
        <v>652</v>
      </c>
      <c r="D782" s="166" t="s">
        <v>246</v>
      </c>
      <c r="E782" s="173"/>
      <c r="F782" s="174"/>
    </row>
    <row r="783" spans="2:6" s="165" customFormat="1" ht="15.4" customHeight="1" outlineLevel="1" x14ac:dyDescent="0.2">
      <c r="B783" s="60" t="s">
        <v>4398</v>
      </c>
      <c r="C783" s="513" t="s">
        <v>653</v>
      </c>
      <c r="D783" s="166" t="s">
        <v>246</v>
      </c>
      <c r="E783" s="173"/>
      <c r="F783" s="174"/>
    </row>
    <row r="784" spans="2:6" s="165" customFormat="1" ht="15.4" customHeight="1" outlineLevel="1" x14ac:dyDescent="0.2">
      <c r="B784" s="60" t="s">
        <v>4399</v>
      </c>
      <c r="C784" s="513" t="s">
        <v>654</v>
      </c>
      <c r="D784" s="166" t="s">
        <v>246</v>
      </c>
      <c r="E784" s="173"/>
      <c r="F784" s="174"/>
    </row>
    <row r="785" spans="2:6" s="165" customFormat="1" ht="15.4" customHeight="1" outlineLevel="1" x14ac:dyDescent="0.2">
      <c r="B785" s="60" t="s">
        <v>4400</v>
      </c>
      <c r="C785" s="513" t="s">
        <v>655</v>
      </c>
      <c r="D785" s="166" t="s">
        <v>246</v>
      </c>
      <c r="E785" s="173"/>
      <c r="F785" s="174"/>
    </row>
    <row r="786" spans="2:6" s="165" customFormat="1" ht="15.4" customHeight="1" outlineLevel="1" x14ac:dyDescent="0.2">
      <c r="B786" s="60" t="s">
        <v>4401</v>
      </c>
      <c r="C786" s="513" t="s">
        <v>656</v>
      </c>
      <c r="D786" s="166" t="s">
        <v>246</v>
      </c>
      <c r="E786" s="173"/>
      <c r="F786" s="174"/>
    </row>
    <row r="787" spans="2:6" s="165" customFormat="1" ht="15.4" customHeight="1" outlineLevel="1" x14ac:dyDescent="0.2">
      <c r="B787" s="60" t="s">
        <v>4402</v>
      </c>
      <c r="C787" s="513" t="s">
        <v>657</v>
      </c>
      <c r="D787" s="166" t="s">
        <v>246</v>
      </c>
      <c r="E787" s="173"/>
      <c r="F787" s="174"/>
    </row>
    <row r="788" spans="2:6" s="165" customFormat="1" ht="15.4" customHeight="1" outlineLevel="1" x14ac:dyDescent="0.2">
      <c r="B788" s="60" t="s">
        <v>4403</v>
      </c>
      <c r="C788" s="513" t="s">
        <v>658</v>
      </c>
      <c r="D788" s="166" t="s">
        <v>246</v>
      </c>
      <c r="E788" s="173"/>
      <c r="F788" s="174"/>
    </row>
    <row r="789" spans="2:6" s="165" customFormat="1" ht="15.4" customHeight="1" outlineLevel="1" x14ac:dyDescent="0.2">
      <c r="B789" s="60" t="s">
        <v>4404</v>
      </c>
      <c r="C789" s="513" t="s">
        <v>659</v>
      </c>
      <c r="D789" s="166" t="s">
        <v>246</v>
      </c>
      <c r="E789" s="173"/>
      <c r="F789" s="174"/>
    </row>
    <row r="790" spans="2:6" s="165" customFormat="1" ht="15.4" customHeight="1" outlineLevel="1" x14ac:dyDescent="0.2">
      <c r="B790" s="60" t="s">
        <v>4405</v>
      </c>
      <c r="C790" s="513" t="s">
        <v>660</v>
      </c>
      <c r="D790" s="166" t="s">
        <v>246</v>
      </c>
      <c r="E790" s="173"/>
      <c r="F790" s="174"/>
    </row>
    <row r="791" spans="2:6" s="165" customFormat="1" ht="15.4" customHeight="1" outlineLevel="1" x14ac:dyDescent="0.2">
      <c r="B791" s="60" t="s">
        <v>4406</v>
      </c>
      <c r="C791" s="513" t="s">
        <v>661</v>
      </c>
      <c r="D791" s="166" t="s">
        <v>246</v>
      </c>
      <c r="E791" s="173"/>
      <c r="F791" s="174"/>
    </row>
    <row r="792" spans="2:6" s="165" customFormat="1" ht="15.4" customHeight="1" outlineLevel="1" x14ac:dyDescent="0.2">
      <c r="B792" s="60" t="s">
        <v>4407</v>
      </c>
      <c r="C792" s="513" t="s">
        <v>662</v>
      </c>
      <c r="D792" s="166" t="s">
        <v>246</v>
      </c>
      <c r="E792" s="173"/>
      <c r="F792" s="174"/>
    </row>
    <row r="793" spans="2:6" s="165" customFormat="1" ht="15.4" customHeight="1" outlineLevel="1" x14ac:dyDescent="0.2">
      <c r="B793" s="60" t="s">
        <v>4408</v>
      </c>
      <c r="C793" s="513" t="s">
        <v>663</v>
      </c>
      <c r="D793" s="166" t="s">
        <v>246</v>
      </c>
      <c r="E793" s="173"/>
      <c r="F793" s="174"/>
    </row>
    <row r="794" spans="2:6" s="165" customFormat="1" ht="15.4" customHeight="1" outlineLevel="1" x14ac:dyDescent="0.2">
      <c r="B794" s="60" t="s">
        <v>4409</v>
      </c>
      <c r="C794" s="513" t="s">
        <v>664</v>
      </c>
      <c r="D794" s="166" t="s">
        <v>246</v>
      </c>
      <c r="E794" s="173"/>
      <c r="F794" s="174"/>
    </row>
    <row r="795" spans="2:6" s="165" customFormat="1" ht="15.4" customHeight="1" outlineLevel="1" x14ac:dyDescent="0.2">
      <c r="B795" s="60" t="s">
        <v>4410</v>
      </c>
      <c r="C795" s="513" t="s">
        <v>665</v>
      </c>
      <c r="D795" s="166" t="s">
        <v>246</v>
      </c>
      <c r="E795" s="173"/>
      <c r="F795" s="174"/>
    </row>
    <row r="796" spans="2:6" s="165" customFormat="1" ht="15.4" customHeight="1" outlineLevel="1" x14ac:dyDescent="0.2">
      <c r="B796" s="60" t="s">
        <v>4411</v>
      </c>
      <c r="C796" s="513" t="s">
        <v>666</v>
      </c>
      <c r="D796" s="166" t="s">
        <v>246</v>
      </c>
      <c r="E796" s="173"/>
      <c r="F796" s="174"/>
    </row>
    <row r="797" spans="2:6" s="165" customFormat="1" ht="15.4" customHeight="1" outlineLevel="1" x14ac:dyDescent="0.2">
      <c r="B797" s="60" t="s">
        <v>4412</v>
      </c>
      <c r="C797" s="513" t="s">
        <v>667</v>
      </c>
      <c r="D797" s="166" t="s">
        <v>246</v>
      </c>
      <c r="E797" s="173"/>
      <c r="F797" s="174"/>
    </row>
    <row r="798" spans="2:6" s="138" customFormat="1" ht="15" customHeight="1" x14ac:dyDescent="0.2">
      <c r="B798" s="60" t="s">
        <v>4413</v>
      </c>
      <c r="C798" s="514" t="s">
        <v>439</v>
      </c>
      <c r="D798" s="164" t="s">
        <v>247</v>
      </c>
      <c r="E798" s="636">
        <f>SUM(E799:E818)</f>
        <v>0</v>
      </c>
      <c r="F798" s="637">
        <f>SUM(F799:F818)</f>
        <v>0</v>
      </c>
    </row>
    <row r="799" spans="2:6" s="165" customFormat="1" ht="15.4" customHeight="1" outlineLevel="1" x14ac:dyDescent="0.2">
      <c r="B799" s="60" t="s">
        <v>4414</v>
      </c>
      <c r="C799" s="513" t="s">
        <v>1684</v>
      </c>
      <c r="D799" s="166" t="s">
        <v>246</v>
      </c>
      <c r="E799" s="173"/>
      <c r="F799" s="174"/>
    </row>
    <row r="800" spans="2:6" s="165" customFormat="1" ht="15.4" customHeight="1" outlineLevel="1" x14ac:dyDescent="0.2">
      <c r="B800" s="60" t="s">
        <v>4415</v>
      </c>
      <c r="C800" s="513" t="s">
        <v>1685</v>
      </c>
      <c r="D800" s="166" t="s">
        <v>246</v>
      </c>
      <c r="E800" s="173"/>
      <c r="F800" s="174"/>
    </row>
    <row r="801" spans="2:6" s="165" customFormat="1" ht="15.4" customHeight="1" outlineLevel="1" x14ac:dyDescent="0.2">
      <c r="B801" s="60" t="s">
        <v>4416</v>
      </c>
      <c r="C801" s="513" t="s">
        <v>1686</v>
      </c>
      <c r="D801" s="166" t="s">
        <v>246</v>
      </c>
      <c r="E801" s="173"/>
      <c r="F801" s="174"/>
    </row>
    <row r="802" spans="2:6" s="165" customFormat="1" ht="15.4" customHeight="1" outlineLevel="1" x14ac:dyDescent="0.2">
      <c r="B802" s="60" t="s">
        <v>4417</v>
      </c>
      <c r="C802" s="513" t="s">
        <v>1687</v>
      </c>
      <c r="D802" s="166" t="s">
        <v>246</v>
      </c>
      <c r="E802" s="173"/>
      <c r="F802" s="174"/>
    </row>
    <row r="803" spans="2:6" s="165" customFormat="1" ht="15.4" customHeight="1" outlineLevel="1" x14ac:dyDescent="0.2">
      <c r="B803" s="60" t="s">
        <v>4418</v>
      </c>
      <c r="C803" s="513" t="s">
        <v>1688</v>
      </c>
      <c r="D803" s="166" t="s">
        <v>246</v>
      </c>
      <c r="E803" s="173"/>
      <c r="F803" s="174"/>
    </row>
    <row r="804" spans="2:6" s="165" customFormat="1" ht="15.4" customHeight="1" outlineLevel="1" x14ac:dyDescent="0.2">
      <c r="B804" s="60" t="s">
        <v>4419</v>
      </c>
      <c r="C804" s="513" t="s">
        <v>1689</v>
      </c>
      <c r="D804" s="166" t="s">
        <v>246</v>
      </c>
      <c r="E804" s="173"/>
      <c r="F804" s="174"/>
    </row>
    <row r="805" spans="2:6" s="165" customFormat="1" ht="15.4" customHeight="1" outlineLevel="1" x14ac:dyDescent="0.2">
      <c r="B805" s="60" t="s">
        <v>4420</v>
      </c>
      <c r="C805" s="513" t="s">
        <v>1690</v>
      </c>
      <c r="D805" s="166" t="s">
        <v>246</v>
      </c>
      <c r="E805" s="173"/>
      <c r="F805" s="174"/>
    </row>
    <row r="806" spans="2:6" s="165" customFormat="1" ht="15.4" customHeight="1" outlineLevel="1" x14ac:dyDescent="0.2">
      <c r="B806" s="60" t="s">
        <v>4421</v>
      </c>
      <c r="C806" s="513" t="s">
        <v>1691</v>
      </c>
      <c r="D806" s="166" t="s">
        <v>246</v>
      </c>
      <c r="E806" s="173"/>
      <c r="F806" s="174"/>
    </row>
    <row r="807" spans="2:6" s="165" customFormat="1" ht="15.4" customHeight="1" outlineLevel="1" x14ac:dyDescent="0.2">
      <c r="B807" s="60" t="s">
        <v>4422</v>
      </c>
      <c r="C807" s="513" t="s">
        <v>1692</v>
      </c>
      <c r="D807" s="166" t="s">
        <v>246</v>
      </c>
      <c r="E807" s="173"/>
      <c r="F807" s="174"/>
    </row>
    <row r="808" spans="2:6" s="165" customFormat="1" ht="15.4" customHeight="1" outlineLevel="1" x14ac:dyDescent="0.2">
      <c r="B808" s="60" t="s">
        <v>4423</v>
      </c>
      <c r="C808" s="513" t="s">
        <v>1693</v>
      </c>
      <c r="D808" s="166" t="s">
        <v>246</v>
      </c>
      <c r="E808" s="173"/>
      <c r="F808" s="174"/>
    </row>
    <row r="809" spans="2:6" s="165" customFormat="1" ht="15.4" customHeight="1" outlineLevel="1" x14ac:dyDescent="0.2">
      <c r="B809" s="60" t="s">
        <v>4424</v>
      </c>
      <c r="C809" s="513" t="s">
        <v>1694</v>
      </c>
      <c r="D809" s="166" t="s">
        <v>246</v>
      </c>
      <c r="E809" s="173"/>
      <c r="F809" s="174"/>
    </row>
    <row r="810" spans="2:6" s="165" customFormat="1" ht="15.4" customHeight="1" outlineLevel="1" x14ac:dyDescent="0.2">
      <c r="B810" s="60" t="s">
        <v>4425</v>
      </c>
      <c r="C810" s="513" t="s">
        <v>1695</v>
      </c>
      <c r="D810" s="166" t="s">
        <v>246</v>
      </c>
      <c r="E810" s="173"/>
      <c r="F810" s="174"/>
    </row>
    <row r="811" spans="2:6" s="165" customFormat="1" ht="15.4" customHeight="1" outlineLevel="1" x14ac:dyDescent="0.2">
      <c r="B811" s="60" t="s">
        <v>4426</v>
      </c>
      <c r="C811" s="513" t="s">
        <v>1696</v>
      </c>
      <c r="D811" s="166" t="s">
        <v>246</v>
      </c>
      <c r="E811" s="173"/>
      <c r="F811" s="174"/>
    </row>
    <row r="812" spans="2:6" s="165" customFormat="1" ht="15.4" customHeight="1" outlineLevel="1" x14ac:dyDescent="0.2">
      <c r="B812" s="60" t="s">
        <v>4427</v>
      </c>
      <c r="C812" s="513" t="s">
        <v>1697</v>
      </c>
      <c r="D812" s="166" t="s">
        <v>246</v>
      </c>
      <c r="E812" s="173"/>
      <c r="F812" s="174"/>
    </row>
    <row r="813" spans="2:6" s="165" customFormat="1" ht="15.4" customHeight="1" outlineLevel="1" x14ac:dyDescent="0.2">
      <c r="B813" s="60" t="s">
        <v>4428</v>
      </c>
      <c r="C813" s="513" t="s">
        <v>1698</v>
      </c>
      <c r="D813" s="166" t="s">
        <v>246</v>
      </c>
      <c r="E813" s="173"/>
      <c r="F813" s="174"/>
    </row>
    <row r="814" spans="2:6" s="165" customFormat="1" ht="15.4" customHeight="1" outlineLevel="1" x14ac:dyDescent="0.2">
      <c r="B814" s="60" t="s">
        <v>4429</v>
      </c>
      <c r="C814" s="513" t="s">
        <v>1699</v>
      </c>
      <c r="D814" s="166" t="s">
        <v>246</v>
      </c>
      <c r="E814" s="173"/>
      <c r="F814" s="174"/>
    </row>
    <row r="815" spans="2:6" s="165" customFormat="1" ht="15.4" customHeight="1" outlineLevel="1" x14ac:dyDescent="0.2">
      <c r="B815" s="60" t="s">
        <v>4430</v>
      </c>
      <c r="C815" s="513" t="s">
        <v>1700</v>
      </c>
      <c r="D815" s="166" t="s">
        <v>246</v>
      </c>
      <c r="E815" s="173"/>
      <c r="F815" s="174"/>
    </row>
    <row r="816" spans="2:6" s="165" customFormat="1" ht="15.4" customHeight="1" outlineLevel="1" x14ac:dyDescent="0.2">
      <c r="B816" s="60" t="s">
        <v>4431</v>
      </c>
      <c r="C816" s="513" t="s">
        <v>1701</v>
      </c>
      <c r="D816" s="166" t="s">
        <v>246</v>
      </c>
      <c r="E816" s="173"/>
      <c r="F816" s="174"/>
    </row>
    <row r="817" spans="2:6" s="165" customFormat="1" ht="15.4" customHeight="1" outlineLevel="1" x14ac:dyDescent="0.2">
      <c r="B817" s="60" t="s">
        <v>4432</v>
      </c>
      <c r="C817" s="513" t="s">
        <v>1702</v>
      </c>
      <c r="D817" s="166" t="s">
        <v>246</v>
      </c>
      <c r="E817" s="173"/>
      <c r="F817" s="174"/>
    </row>
    <row r="818" spans="2:6" s="165" customFormat="1" ht="15.4" customHeight="1" outlineLevel="1" x14ac:dyDescent="0.2">
      <c r="B818" s="60" t="s">
        <v>4433</v>
      </c>
      <c r="C818" s="513" t="s">
        <v>1703</v>
      </c>
      <c r="D818" s="166" t="s">
        <v>246</v>
      </c>
      <c r="E818" s="173"/>
      <c r="F818" s="174"/>
    </row>
    <row r="819" spans="2:6" s="138" customFormat="1" ht="15" customHeight="1" x14ac:dyDescent="0.2">
      <c r="B819" s="60" t="s">
        <v>4434</v>
      </c>
      <c r="C819" s="514" t="s">
        <v>511</v>
      </c>
      <c r="D819" s="164" t="s">
        <v>214</v>
      </c>
      <c r="E819" s="636">
        <f>SUM(E820:E839)</f>
        <v>0</v>
      </c>
      <c r="F819" s="637">
        <f>SUM(F820:F839)</f>
        <v>0</v>
      </c>
    </row>
    <row r="820" spans="2:6" s="159" customFormat="1" ht="15.4" customHeight="1" outlineLevel="1" x14ac:dyDescent="0.2">
      <c r="B820" s="60" t="s">
        <v>4435</v>
      </c>
      <c r="C820" s="513" t="s">
        <v>1704</v>
      </c>
      <c r="D820" s="166" t="s">
        <v>246</v>
      </c>
      <c r="E820" s="173"/>
      <c r="F820" s="174"/>
    </row>
    <row r="821" spans="2:6" s="165" customFormat="1" ht="15.4" customHeight="1" outlineLevel="1" x14ac:dyDescent="0.2">
      <c r="B821" s="60" t="s">
        <v>4436</v>
      </c>
      <c r="C821" s="513" t="s">
        <v>1705</v>
      </c>
      <c r="D821" s="166" t="s">
        <v>246</v>
      </c>
      <c r="E821" s="173"/>
      <c r="F821" s="174"/>
    </row>
    <row r="822" spans="2:6" s="165" customFormat="1" ht="15.4" customHeight="1" outlineLevel="1" x14ac:dyDescent="0.2">
      <c r="B822" s="60" t="s">
        <v>4437</v>
      </c>
      <c r="C822" s="513" t="s">
        <v>1706</v>
      </c>
      <c r="D822" s="166" t="s">
        <v>246</v>
      </c>
      <c r="E822" s="173"/>
      <c r="F822" s="174"/>
    </row>
    <row r="823" spans="2:6" s="165" customFormat="1" ht="15.4" customHeight="1" outlineLevel="1" x14ac:dyDescent="0.2">
      <c r="B823" s="60" t="s">
        <v>4438</v>
      </c>
      <c r="C823" s="513" t="s">
        <v>1707</v>
      </c>
      <c r="D823" s="166" t="s">
        <v>246</v>
      </c>
      <c r="E823" s="173"/>
      <c r="F823" s="174"/>
    </row>
    <row r="824" spans="2:6" s="165" customFormat="1" ht="15.4" customHeight="1" outlineLevel="1" x14ac:dyDescent="0.2">
      <c r="B824" s="60" t="s">
        <v>4439</v>
      </c>
      <c r="C824" s="513" t="s">
        <v>1708</v>
      </c>
      <c r="D824" s="166" t="s">
        <v>246</v>
      </c>
      <c r="E824" s="173"/>
      <c r="F824" s="174"/>
    </row>
    <row r="825" spans="2:6" s="165" customFormat="1" ht="15.4" customHeight="1" outlineLevel="1" x14ac:dyDescent="0.2">
      <c r="B825" s="60" t="s">
        <v>4440</v>
      </c>
      <c r="C825" s="513" t="s">
        <v>1709</v>
      </c>
      <c r="D825" s="166" t="s">
        <v>246</v>
      </c>
      <c r="E825" s="173"/>
      <c r="F825" s="174"/>
    </row>
    <row r="826" spans="2:6" s="165" customFormat="1" ht="15.4" customHeight="1" outlineLevel="1" x14ac:dyDescent="0.2">
      <c r="B826" s="60" t="s">
        <v>4441</v>
      </c>
      <c r="C826" s="513" t="s">
        <v>1710</v>
      </c>
      <c r="D826" s="166" t="s">
        <v>246</v>
      </c>
      <c r="E826" s="173"/>
      <c r="F826" s="174"/>
    </row>
    <row r="827" spans="2:6" s="165" customFormat="1" ht="15.4" customHeight="1" outlineLevel="1" x14ac:dyDescent="0.2">
      <c r="B827" s="60" t="s">
        <v>4442</v>
      </c>
      <c r="C827" s="513" t="s">
        <v>1711</v>
      </c>
      <c r="D827" s="166" t="s">
        <v>246</v>
      </c>
      <c r="E827" s="173"/>
      <c r="F827" s="174"/>
    </row>
    <row r="828" spans="2:6" s="165" customFormat="1" ht="15.4" customHeight="1" outlineLevel="1" x14ac:dyDescent="0.2">
      <c r="B828" s="60" t="s">
        <v>4443</v>
      </c>
      <c r="C828" s="513" t="s">
        <v>1712</v>
      </c>
      <c r="D828" s="166" t="s">
        <v>246</v>
      </c>
      <c r="E828" s="173"/>
      <c r="F828" s="174"/>
    </row>
    <row r="829" spans="2:6" s="165" customFormat="1" ht="15.4" customHeight="1" outlineLevel="1" x14ac:dyDescent="0.2">
      <c r="B829" s="60" t="s">
        <v>4444</v>
      </c>
      <c r="C829" s="513" t="s">
        <v>1713</v>
      </c>
      <c r="D829" s="166" t="s">
        <v>246</v>
      </c>
      <c r="E829" s="173"/>
      <c r="F829" s="174"/>
    </row>
    <row r="830" spans="2:6" s="165" customFormat="1" ht="15.4" customHeight="1" outlineLevel="1" x14ac:dyDescent="0.2">
      <c r="B830" s="60" t="s">
        <v>4445</v>
      </c>
      <c r="C830" s="513" t="s">
        <v>1714</v>
      </c>
      <c r="D830" s="166" t="s">
        <v>246</v>
      </c>
      <c r="E830" s="173"/>
      <c r="F830" s="174"/>
    </row>
    <row r="831" spans="2:6" s="165" customFormat="1" ht="15.4" customHeight="1" outlineLevel="1" x14ac:dyDescent="0.2">
      <c r="B831" s="60" t="s">
        <v>4446</v>
      </c>
      <c r="C831" s="513" t="s">
        <v>1715</v>
      </c>
      <c r="D831" s="166" t="s">
        <v>246</v>
      </c>
      <c r="E831" s="173"/>
      <c r="F831" s="174"/>
    </row>
    <row r="832" spans="2:6" s="165" customFormat="1" ht="15.4" customHeight="1" outlineLevel="1" x14ac:dyDescent="0.2">
      <c r="B832" s="60" t="s">
        <v>4447</v>
      </c>
      <c r="C832" s="513" t="s">
        <v>1716</v>
      </c>
      <c r="D832" s="166" t="s">
        <v>246</v>
      </c>
      <c r="E832" s="173"/>
      <c r="F832" s="174"/>
    </row>
    <row r="833" spans="2:6" s="165" customFormat="1" ht="15.4" customHeight="1" outlineLevel="1" x14ac:dyDescent="0.2">
      <c r="B833" s="60" t="s">
        <v>4448</v>
      </c>
      <c r="C833" s="513" t="s">
        <v>1717</v>
      </c>
      <c r="D833" s="166" t="s">
        <v>246</v>
      </c>
      <c r="E833" s="173"/>
      <c r="F833" s="174"/>
    </row>
    <row r="834" spans="2:6" s="165" customFormat="1" ht="15.4" customHeight="1" outlineLevel="1" x14ac:dyDescent="0.2">
      <c r="B834" s="60" t="s">
        <v>4449</v>
      </c>
      <c r="C834" s="513" t="s">
        <v>1718</v>
      </c>
      <c r="D834" s="166" t="s">
        <v>246</v>
      </c>
      <c r="E834" s="173"/>
      <c r="F834" s="174"/>
    </row>
    <row r="835" spans="2:6" s="165" customFormat="1" ht="15.4" customHeight="1" outlineLevel="1" x14ac:dyDescent="0.2">
      <c r="B835" s="60" t="s">
        <v>4450</v>
      </c>
      <c r="C835" s="513" t="s">
        <v>1719</v>
      </c>
      <c r="D835" s="166" t="s">
        <v>246</v>
      </c>
      <c r="E835" s="173"/>
      <c r="F835" s="174"/>
    </row>
    <row r="836" spans="2:6" s="165" customFormat="1" ht="15.4" customHeight="1" outlineLevel="1" x14ac:dyDescent="0.2">
      <c r="B836" s="60" t="s">
        <v>4451</v>
      </c>
      <c r="C836" s="513" t="s">
        <v>1720</v>
      </c>
      <c r="D836" s="166" t="s">
        <v>246</v>
      </c>
      <c r="E836" s="173"/>
      <c r="F836" s="174"/>
    </row>
    <row r="837" spans="2:6" s="165" customFormat="1" ht="15.4" customHeight="1" outlineLevel="1" x14ac:dyDescent="0.2">
      <c r="B837" s="60" t="s">
        <v>4452</v>
      </c>
      <c r="C837" s="513" t="s">
        <v>1721</v>
      </c>
      <c r="D837" s="166" t="s">
        <v>246</v>
      </c>
      <c r="E837" s="173"/>
      <c r="F837" s="174"/>
    </row>
    <row r="838" spans="2:6" s="165" customFormat="1" ht="15.4" customHeight="1" outlineLevel="1" x14ac:dyDescent="0.2">
      <c r="B838" s="60" t="s">
        <v>4453</v>
      </c>
      <c r="C838" s="513" t="s">
        <v>1722</v>
      </c>
      <c r="D838" s="166" t="s">
        <v>246</v>
      </c>
      <c r="E838" s="173"/>
      <c r="F838" s="174"/>
    </row>
    <row r="839" spans="2:6" s="165" customFormat="1" ht="15.4" customHeight="1" outlineLevel="1" x14ac:dyDescent="0.2">
      <c r="B839" s="60" t="s">
        <v>4454</v>
      </c>
      <c r="C839" s="513" t="s">
        <v>1723</v>
      </c>
      <c r="D839" s="166" t="s">
        <v>246</v>
      </c>
      <c r="E839" s="173"/>
      <c r="F839" s="174"/>
    </row>
    <row r="840" spans="2:6" s="138" customFormat="1" ht="15" customHeight="1" x14ac:dyDescent="0.2">
      <c r="B840" s="60" t="s">
        <v>4455</v>
      </c>
      <c r="C840" s="514" t="s">
        <v>512</v>
      </c>
      <c r="D840" s="164" t="s">
        <v>248</v>
      </c>
      <c r="E840" s="636">
        <f>SUM(E841:E860)</f>
        <v>0</v>
      </c>
      <c r="F840" s="637">
        <f>SUM(F841:F860)</f>
        <v>0</v>
      </c>
    </row>
    <row r="841" spans="2:6" s="165" customFormat="1" ht="15.4" customHeight="1" outlineLevel="1" x14ac:dyDescent="0.2">
      <c r="B841" s="60" t="s">
        <v>4456</v>
      </c>
      <c r="C841" s="513" t="s">
        <v>2783</v>
      </c>
      <c r="D841" s="166" t="s">
        <v>246</v>
      </c>
      <c r="E841" s="173"/>
      <c r="F841" s="174"/>
    </row>
    <row r="842" spans="2:6" s="165" customFormat="1" ht="15.4" customHeight="1" outlineLevel="1" x14ac:dyDescent="0.2">
      <c r="B842" s="60" t="s">
        <v>4457</v>
      </c>
      <c r="C842" s="513" t="s">
        <v>2784</v>
      </c>
      <c r="D842" s="166" t="s">
        <v>246</v>
      </c>
      <c r="E842" s="173"/>
      <c r="F842" s="174"/>
    </row>
    <row r="843" spans="2:6" s="165" customFormat="1" ht="15.4" customHeight="1" outlineLevel="1" x14ac:dyDescent="0.2">
      <c r="B843" s="60" t="s">
        <v>4458</v>
      </c>
      <c r="C843" s="513" t="s">
        <v>2785</v>
      </c>
      <c r="D843" s="166" t="s">
        <v>246</v>
      </c>
      <c r="E843" s="173"/>
      <c r="F843" s="174"/>
    </row>
    <row r="844" spans="2:6" s="165" customFormat="1" ht="15.4" customHeight="1" outlineLevel="1" x14ac:dyDescent="0.2">
      <c r="B844" s="60" t="s">
        <v>4459</v>
      </c>
      <c r="C844" s="513" t="s">
        <v>2786</v>
      </c>
      <c r="D844" s="166" t="s">
        <v>246</v>
      </c>
      <c r="E844" s="173"/>
      <c r="F844" s="174"/>
    </row>
    <row r="845" spans="2:6" s="165" customFormat="1" ht="15.4" customHeight="1" outlineLevel="1" x14ac:dyDescent="0.2">
      <c r="B845" s="60" t="s">
        <v>4460</v>
      </c>
      <c r="C845" s="513" t="s">
        <v>2787</v>
      </c>
      <c r="D845" s="166" t="s">
        <v>246</v>
      </c>
      <c r="E845" s="173"/>
      <c r="F845" s="174"/>
    </row>
    <row r="846" spans="2:6" s="165" customFormat="1" ht="15.4" customHeight="1" outlineLevel="1" x14ac:dyDescent="0.2">
      <c r="B846" s="60" t="s">
        <v>4461</v>
      </c>
      <c r="C846" s="513" t="s">
        <v>2788</v>
      </c>
      <c r="D846" s="166" t="s">
        <v>246</v>
      </c>
      <c r="E846" s="173"/>
      <c r="F846" s="174"/>
    </row>
    <row r="847" spans="2:6" s="165" customFormat="1" ht="15.4" customHeight="1" outlineLevel="1" x14ac:dyDescent="0.2">
      <c r="B847" s="60" t="s">
        <v>4462</v>
      </c>
      <c r="C847" s="513" t="s">
        <v>2789</v>
      </c>
      <c r="D847" s="166" t="s">
        <v>246</v>
      </c>
      <c r="E847" s="173"/>
      <c r="F847" s="174"/>
    </row>
    <row r="848" spans="2:6" s="165" customFormat="1" ht="15.4" customHeight="1" outlineLevel="1" x14ac:dyDescent="0.2">
      <c r="B848" s="60" t="s">
        <v>4463</v>
      </c>
      <c r="C848" s="513" t="s">
        <v>2790</v>
      </c>
      <c r="D848" s="166" t="s">
        <v>246</v>
      </c>
      <c r="E848" s="173"/>
      <c r="F848" s="174"/>
    </row>
    <row r="849" spans="2:6" s="165" customFormat="1" ht="15.4" customHeight="1" outlineLevel="1" x14ac:dyDescent="0.2">
      <c r="B849" s="60" t="s">
        <v>4464</v>
      </c>
      <c r="C849" s="513" t="s">
        <v>2791</v>
      </c>
      <c r="D849" s="166" t="s">
        <v>246</v>
      </c>
      <c r="E849" s="173"/>
      <c r="F849" s="174"/>
    </row>
    <row r="850" spans="2:6" s="165" customFormat="1" ht="15.4" customHeight="1" outlineLevel="1" x14ac:dyDescent="0.2">
      <c r="B850" s="60" t="s">
        <v>4465</v>
      </c>
      <c r="C850" s="513" t="s">
        <v>2792</v>
      </c>
      <c r="D850" s="166" t="s">
        <v>246</v>
      </c>
      <c r="E850" s="173"/>
      <c r="F850" s="174"/>
    </row>
    <row r="851" spans="2:6" s="165" customFormat="1" ht="15.4" customHeight="1" outlineLevel="1" x14ac:dyDescent="0.2">
      <c r="B851" s="60" t="s">
        <v>4466</v>
      </c>
      <c r="C851" s="513" t="s">
        <v>2793</v>
      </c>
      <c r="D851" s="166" t="s">
        <v>246</v>
      </c>
      <c r="E851" s="173"/>
      <c r="F851" s="174"/>
    </row>
    <row r="852" spans="2:6" s="165" customFormat="1" ht="15.4" customHeight="1" outlineLevel="1" x14ac:dyDescent="0.2">
      <c r="B852" s="60" t="s">
        <v>4467</v>
      </c>
      <c r="C852" s="513" t="s">
        <v>2794</v>
      </c>
      <c r="D852" s="166" t="s">
        <v>246</v>
      </c>
      <c r="E852" s="173"/>
      <c r="F852" s="174"/>
    </row>
    <row r="853" spans="2:6" s="165" customFormat="1" ht="15.4" customHeight="1" outlineLevel="1" x14ac:dyDescent="0.2">
      <c r="B853" s="60" t="s">
        <v>4468</v>
      </c>
      <c r="C853" s="513" t="s">
        <v>2795</v>
      </c>
      <c r="D853" s="166" t="s">
        <v>246</v>
      </c>
      <c r="E853" s="173"/>
      <c r="F853" s="174"/>
    </row>
    <row r="854" spans="2:6" s="165" customFormat="1" ht="15.4" customHeight="1" outlineLevel="1" x14ac:dyDescent="0.2">
      <c r="B854" s="60" t="s">
        <v>4469</v>
      </c>
      <c r="C854" s="513" t="s">
        <v>2796</v>
      </c>
      <c r="D854" s="166" t="s">
        <v>246</v>
      </c>
      <c r="E854" s="173"/>
      <c r="F854" s="174"/>
    </row>
    <row r="855" spans="2:6" s="165" customFormat="1" ht="15.4" customHeight="1" outlineLevel="1" x14ac:dyDescent="0.2">
      <c r="B855" s="60" t="s">
        <v>4470</v>
      </c>
      <c r="C855" s="513" t="s">
        <v>2797</v>
      </c>
      <c r="D855" s="166" t="s">
        <v>246</v>
      </c>
      <c r="E855" s="173"/>
      <c r="F855" s="174"/>
    </row>
    <row r="856" spans="2:6" s="165" customFormat="1" ht="15.4" customHeight="1" outlineLevel="1" x14ac:dyDescent="0.2">
      <c r="B856" s="60" t="s">
        <v>4471</v>
      </c>
      <c r="C856" s="513" t="s">
        <v>2798</v>
      </c>
      <c r="D856" s="166" t="s">
        <v>246</v>
      </c>
      <c r="E856" s="173"/>
      <c r="F856" s="174"/>
    </row>
    <row r="857" spans="2:6" s="165" customFormat="1" ht="15.4" customHeight="1" outlineLevel="1" x14ac:dyDescent="0.2">
      <c r="B857" s="60" t="s">
        <v>4472</v>
      </c>
      <c r="C857" s="513" t="s">
        <v>2799</v>
      </c>
      <c r="D857" s="166" t="s">
        <v>246</v>
      </c>
      <c r="E857" s="173"/>
      <c r="F857" s="174"/>
    </row>
    <row r="858" spans="2:6" s="165" customFormat="1" ht="15.4" customHeight="1" outlineLevel="1" x14ac:dyDescent="0.2">
      <c r="B858" s="60" t="s">
        <v>4473</v>
      </c>
      <c r="C858" s="513" t="s">
        <v>2800</v>
      </c>
      <c r="D858" s="166" t="s">
        <v>246</v>
      </c>
      <c r="E858" s="173"/>
      <c r="F858" s="174"/>
    </row>
    <row r="859" spans="2:6" s="165" customFormat="1" ht="15.4" customHeight="1" outlineLevel="1" x14ac:dyDescent="0.2">
      <c r="B859" s="60" t="s">
        <v>4474</v>
      </c>
      <c r="C859" s="513" t="s">
        <v>2801</v>
      </c>
      <c r="D859" s="166" t="s">
        <v>246</v>
      </c>
      <c r="E859" s="173"/>
      <c r="F859" s="174"/>
    </row>
    <row r="860" spans="2:6" s="165" customFormat="1" ht="15.4" customHeight="1" outlineLevel="1" x14ac:dyDescent="0.2">
      <c r="B860" s="60" t="s">
        <v>4475</v>
      </c>
      <c r="C860" s="513" t="s">
        <v>2802</v>
      </c>
      <c r="D860" s="166" t="s">
        <v>246</v>
      </c>
      <c r="E860" s="173"/>
      <c r="F860" s="174"/>
    </row>
    <row r="861" spans="2:6" s="138" customFormat="1" ht="15" customHeight="1" x14ac:dyDescent="0.2">
      <c r="B861" s="60" t="s">
        <v>4476</v>
      </c>
      <c r="C861" s="514" t="s">
        <v>513</v>
      </c>
      <c r="D861" s="164" t="s">
        <v>215</v>
      </c>
      <c r="E861" s="636">
        <f>SUM(E862:E881)</f>
        <v>0</v>
      </c>
      <c r="F861" s="637">
        <f>SUM(F862:F881)</f>
        <v>0</v>
      </c>
    </row>
    <row r="862" spans="2:6" s="165" customFormat="1" ht="15.4" customHeight="1" outlineLevel="1" x14ac:dyDescent="0.2">
      <c r="B862" s="60" t="s">
        <v>4477</v>
      </c>
      <c r="C862" s="513" t="s">
        <v>2803</v>
      </c>
      <c r="D862" s="166" t="s">
        <v>246</v>
      </c>
      <c r="E862" s="173"/>
      <c r="F862" s="174"/>
    </row>
    <row r="863" spans="2:6" s="165" customFormat="1" ht="15.4" customHeight="1" outlineLevel="1" x14ac:dyDescent="0.2">
      <c r="B863" s="60" t="s">
        <v>4478</v>
      </c>
      <c r="C863" s="513" t="s">
        <v>2804</v>
      </c>
      <c r="D863" s="166" t="s">
        <v>246</v>
      </c>
      <c r="E863" s="173"/>
      <c r="F863" s="174"/>
    </row>
    <row r="864" spans="2:6" s="165" customFormat="1" ht="15.4" customHeight="1" outlineLevel="1" x14ac:dyDescent="0.2">
      <c r="B864" s="60" t="s">
        <v>4479</v>
      </c>
      <c r="C864" s="513" t="s">
        <v>2805</v>
      </c>
      <c r="D864" s="166" t="s">
        <v>246</v>
      </c>
      <c r="E864" s="173"/>
      <c r="F864" s="174"/>
    </row>
    <row r="865" spans="2:6" s="165" customFormat="1" ht="15.4" customHeight="1" outlineLevel="1" x14ac:dyDescent="0.2">
      <c r="B865" s="60" t="s">
        <v>4480</v>
      </c>
      <c r="C865" s="513" t="s">
        <v>2806</v>
      </c>
      <c r="D865" s="166" t="s">
        <v>246</v>
      </c>
      <c r="E865" s="173"/>
      <c r="F865" s="174"/>
    </row>
    <row r="866" spans="2:6" s="165" customFormat="1" ht="15.4" customHeight="1" outlineLevel="1" x14ac:dyDescent="0.2">
      <c r="B866" s="60" t="s">
        <v>4481</v>
      </c>
      <c r="C866" s="513" t="s">
        <v>2807</v>
      </c>
      <c r="D866" s="166" t="s">
        <v>246</v>
      </c>
      <c r="E866" s="173"/>
      <c r="F866" s="174"/>
    </row>
    <row r="867" spans="2:6" s="165" customFormat="1" ht="15.4" customHeight="1" outlineLevel="1" x14ac:dyDescent="0.2">
      <c r="B867" s="60" t="s">
        <v>4482</v>
      </c>
      <c r="C867" s="513" t="s">
        <v>2808</v>
      </c>
      <c r="D867" s="166" t="s">
        <v>246</v>
      </c>
      <c r="E867" s="173"/>
      <c r="F867" s="174"/>
    </row>
    <row r="868" spans="2:6" s="165" customFormat="1" ht="15.4" customHeight="1" outlineLevel="1" x14ac:dyDescent="0.2">
      <c r="B868" s="60" t="s">
        <v>4483</v>
      </c>
      <c r="C868" s="513" t="s">
        <v>2809</v>
      </c>
      <c r="D868" s="166" t="s">
        <v>246</v>
      </c>
      <c r="E868" s="173"/>
      <c r="F868" s="174"/>
    </row>
    <row r="869" spans="2:6" s="165" customFormat="1" ht="15.4" customHeight="1" outlineLevel="1" x14ac:dyDescent="0.2">
      <c r="B869" s="60" t="s">
        <v>4484</v>
      </c>
      <c r="C869" s="513" t="s">
        <v>2810</v>
      </c>
      <c r="D869" s="166" t="s">
        <v>246</v>
      </c>
      <c r="E869" s="173"/>
      <c r="F869" s="174"/>
    </row>
    <row r="870" spans="2:6" s="165" customFormat="1" ht="15.4" customHeight="1" outlineLevel="1" x14ac:dyDescent="0.2">
      <c r="B870" s="60" t="s">
        <v>4485</v>
      </c>
      <c r="C870" s="513" t="s">
        <v>2811</v>
      </c>
      <c r="D870" s="166" t="s">
        <v>246</v>
      </c>
      <c r="E870" s="173"/>
      <c r="F870" s="174"/>
    </row>
    <row r="871" spans="2:6" s="165" customFormat="1" ht="15.4" customHeight="1" outlineLevel="1" x14ac:dyDescent="0.2">
      <c r="B871" s="60" t="s">
        <v>4486</v>
      </c>
      <c r="C871" s="513" t="s">
        <v>2812</v>
      </c>
      <c r="D871" s="166" t="s">
        <v>246</v>
      </c>
      <c r="E871" s="173"/>
      <c r="F871" s="174"/>
    </row>
    <row r="872" spans="2:6" s="165" customFormat="1" ht="15.4" customHeight="1" outlineLevel="1" x14ac:dyDescent="0.2">
      <c r="B872" s="60" t="s">
        <v>4487</v>
      </c>
      <c r="C872" s="513" t="s">
        <v>2813</v>
      </c>
      <c r="D872" s="166" t="s">
        <v>246</v>
      </c>
      <c r="E872" s="173"/>
      <c r="F872" s="174"/>
    </row>
    <row r="873" spans="2:6" s="165" customFormat="1" ht="15.4" customHeight="1" outlineLevel="1" x14ac:dyDescent="0.2">
      <c r="B873" s="60" t="s">
        <v>4488</v>
      </c>
      <c r="C873" s="513" t="s">
        <v>2814</v>
      </c>
      <c r="D873" s="166" t="s">
        <v>246</v>
      </c>
      <c r="E873" s="173"/>
      <c r="F873" s="174"/>
    </row>
    <row r="874" spans="2:6" s="165" customFormat="1" ht="15.4" customHeight="1" outlineLevel="1" x14ac:dyDescent="0.2">
      <c r="B874" s="60" t="s">
        <v>4489</v>
      </c>
      <c r="C874" s="513" t="s">
        <v>2815</v>
      </c>
      <c r="D874" s="166" t="s">
        <v>246</v>
      </c>
      <c r="E874" s="173"/>
      <c r="F874" s="174"/>
    </row>
    <row r="875" spans="2:6" s="165" customFormat="1" ht="15.4" customHeight="1" outlineLevel="1" x14ac:dyDescent="0.2">
      <c r="B875" s="60" t="s">
        <v>4490</v>
      </c>
      <c r="C875" s="513" t="s">
        <v>2816</v>
      </c>
      <c r="D875" s="166" t="s">
        <v>246</v>
      </c>
      <c r="E875" s="173"/>
      <c r="F875" s="174"/>
    </row>
    <row r="876" spans="2:6" s="165" customFormat="1" ht="15.4" customHeight="1" outlineLevel="1" x14ac:dyDescent="0.2">
      <c r="B876" s="60" t="s">
        <v>4491</v>
      </c>
      <c r="C876" s="513" t="s">
        <v>2817</v>
      </c>
      <c r="D876" s="166" t="s">
        <v>246</v>
      </c>
      <c r="E876" s="173"/>
      <c r="F876" s="174"/>
    </row>
    <row r="877" spans="2:6" s="165" customFormat="1" ht="15.4" customHeight="1" outlineLevel="1" x14ac:dyDescent="0.2">
      <c r="B877" s="60" t="s">
        <v>4492</v>
      </c>
      <c r="C877" s="513" t="s">
        <v>2818</v>
      </c>
      <c r="D877" s="166" t="s">
        <v>246</v>
      </c>
      <c r="E877" s="173"/>
      <c r="F877" s="174"/>
    </row>
    <row r="878" spans="2:6" s="165" customFormat="1" ht="15.4" customHeight="1" outlineLevel="1" x14ac:dyDescent="0.2">
      <c r="B878" s="60" t="s">
        <v>4493</v>
      </c>
      <c r="C878" s="513" t="s">
        <v>2819</v>
      </c>
      <c r="D878" s="166" t="s">
        <v>246</v>
      </c>
      <c r="E878" s="173"/>
      <c r="F878" s="174"/>
    </row>
    <row r="879" spans="2:6" s="165" customFormat="1" ht="15.4" customHeight="1" outlineLevel="1" x14ac:dyDescent="0.2">
      <c r="B879" s="60" t="s">
        <v>4494</v>
      </c>
      <c r="C879" s="513" t="s">
        <v>2820</v>
      </c>
      <c r="D879" s="166" t="s">
        <v>246</v>
      </c>
      <c r="E879" s="173"/>
      <c r="F879" s="174"/>
    </row>
    <row r="880" spans="2:6" s="165" customFormat="1" ht="15.4" customHeight="1" outlineLevel="1" x14ac:dyDescent="0.2">
      <c r="B880" s="60" t="s">
        <v>4495</v>
      </c>
      <c r="C880" s="513" t="s">
        <v>2821</v>
      </c>
      <c r="D880" s="166" t="s">
        <v>246</v>
      </c>
      <c r="E880" s="173"/>
      <c r="F880" s="174"/>
    </row>
    <row r="881" spans="2:6" s="165" customFormat="1" ht="15.4" customHeight="1" outlineLevel="1" x14ac:dyDescent="0.2">
      <c r="B881" s="60" t="s">
        <v>4496</v>
      </c>
      <c r="C881" s="513" t="s">
        <v>2822</v>
      </c>
      <c r="D881" s="166" t="s">
        <v>246</v>
      </c>
      <c r="E881" s="173"/>
      <c r="F881" s="174"/>
    </row>
    <row r="882" spans="2:6" s="30" customFormat="1" ht="15" customHeight="1" x14ac:dyDescent="0.2">
      <c r="B882" s="60" t="s">
        <v>4497</v>
      </c>
      <c r="C882" s="511" t="s">
        <v>429</v>
      </c>
      <c r="D882" s="94" t="s">
        <v>216</v>
      </c>
      <c r="E882" s="635">
        <f>E883+E904+E925</f>
        <v>0</v>
      </c>
      <c r="F882" s="638">
        <f>F883+F904+F925</f>
        <v>0</v>
      </c>
    </row>
    <row r="883" spans="2:6" s="138" customFormat="1" ht="15" customHeight="1" x14ac:dyDescent="0.2">
      <c r="B883" s="60" t="s">
        <v>4498</v>
      </c>
      <c r="C883" s="514" t="s">
        <v>412</v>
      </c>
      <c r="D883" s="164" t="s">
        <v>217</v>
      </c>
      <c r="E883" s="636">
        <f>SUM(E884:E903)</f>
        <v>0</v>
      </c>
      <c r="F883" s="637">
        <f>SUM(F884:F903)</f>
        <v>0</v>
      </c>
    </row>
    <row r="884" spans="2:6" s="165" customFormat="1" ht="15.4" customHeight="1" outlineLevel="1" x14ac:dyDescent="0.2">
      <c r="B884" s="60" t="s">
        <v>4499</v>
      </c>
      <c r="C884" s="513" t="s">
        <v>1724</v>
      </c>
      <c r="D884" s="166" t="s">
        <v>218</v>
      </c>
      <c r="E884" s="173"/>
      <c r="F884" s="174"/>
    </row>
    <row r="885" spans="2:6" s="165" customFormat="1" ht="15.4" customHeight="1" outlineLevel="1" x14ac:dyDescent="0.2">
      <c r="B885" s="60" t="s">
        <v>4500</v>
      </c>
      <c r="C885" s="513" t="s">
        <v>1725</v>
      </c>
      <c r="D885" s="166" t="s">
        <v>218</v>
      </c>
      <c r="E885" s="173"/>
      <c r="F885" s="174"/>
    </row>
    <row r="886" spans="2:6" s="165" customFormat="1" ht="15.4" customHeight="1" outlineLevel="1" x14ac:dyDescent="0.2">
      <c r="B886" s="60" t="s">
        <v>4501</v>
      </c>
      <c r="C886" s="513" t="s">
        <v>1726</v>
      </c>
      <c r="D886" s="166" t="s">
        <v>218</v>
      </c>
      <c r="E886" s="173"/>
      <c r="F886" s="174"/>
    </row>
    <row r="887" spans="2:6" s="165" customFormat="1" ht="15.4" customHeight="1" outlineLevel="1" x14ac:dyDescent="0.2">
      <c r="B887" s="60" t="s">
        <v>4502</v>
      </c>
      <c r="C887" s="513" t="s">
        <v>1727</v>
      </c>
      <c r="D887" s="166" t="s">
        <v>218</v>
      </c>
      <c r="E887" s="173"/>
      <c r="F887" s="174"/>
    </row>
    <row r="888" spans="2:6" s="165" customFormat="1" ht="15.4" customHeight="1" outlineLevel="1" x14ac:dyDescent="0.2">
      <c r="B888" s="60" t="s">
        <v>4503</v>
      </c>
      <c r="C888" s="513" t="s">
        <v>1728</v>
      </c>
      <c r="D888" s="166" t="s">
        <v>218</v>
      </c>
      <c r="E888" s="173"/>
      <c r="F888" s="174"/>
    </row>
    <row r="889" spans="2:6" s="165" customFormat="1" ht="15.4" customHeight="1" outlineLevel="1" x14ac:dyDescent="0.2">
      <c r="B889" s="60" t="s">
        <v>4504</v>
      </c>
      <c r="C889" s="513" t="s">
        <v>1729</v>
      </c>
      <c r="D889" s="166" t="s">
        <v>218</v>
      </c>
      <c r="E889" s="173"/>
      <c r="F889" s="174"/>
    </row>
    <row r="890" spans="2:6" s="165" customFormat="1" ht="15.4" customHeight="1" outlineLevel="1" x14ac:dyDescent="0.2">
      <c r="B890" s="60" t="s">
        <v>4505</v>
      </c>
      <c r="C890" s="513" t="s">
        <v>1730</v>
      </c>
      <c r="D890" s="166" t="s">
        <v>218</v>
      </c>
      <c r="E890" s="173"/>
      <c r="F890" s="174"/>
    </row>
    <row r="891" spans="2:6" s="165" customFormat="1" ht="15.4" customHeight="1" outlineLevel="1" x14ac:dyDescent="0.2">
      <c r="B891" s="60" t="s">
        <v>4506</v>
      </c>
      <c r="C891" s="513" t="s">
        <v>1731</v>
      </c>
      <c r="D891" s="166" t="s">
        <v>218</v>
      </c>
      <c r="E891" s="173"/>
      <c r="F891" s="174"/>
    </row>
    <row r="892" spans="2:6" s="165" customFormat="1" ht="15.4" customHeight="1" outlineLevel="1" x14ac:dyDescent="0.2">
      <c r="B892" s="60" t="s">
        <v>4507</v>
      </c>
      <c r="C892" s="513" t="s">
        <v>1732</v>
      </c>
      <c r="D892" s="166" t="s">
        <v>218</v>
      </c>
      <c r="E892" s="173"/>
      <c r="F892" s="174"/>
    </row>
    <row r="893" spans="2:6" s="165" customFormat="1" ht="15.4" customHeight="1" outlineLevel="1" x14ac:dyDescent="0.2">
      <c r="B893" s="60" t="s">
        <v>4508</v>
      </c>
      <c r="C893" s="513" t="s">
        <v>1733</v>
      </c>
      <c r="D893" s="166" t="s">
        <v>218</v>
      </c>
      <c r="E893" s="173"/>
      <c r="F893" s="174"/>
    </row>
    <row r="894" spans="2:6" s="165" customFormat="1" ht="15.4" customHeight="1" outlineLevel="1" x14ac:dyDescent="0.2">
      <c r="B894" s="60" t="s">
        <v>4509</v>
      </c>
      <c r="C894" s="513" t="s">
        <v>1734</v>
      </c>
      <c r="D894" s="166" t="s">
        <v>218</v>
      </c>
      <c r="E894" s="173"/>
      <c r="F894" s="174"/>
    </row>
    <row r="895" spans="2:6" s="165" customFormat="1" ht="15.4" customHeight="1" outlineLevel="1" x14ac:dyDescent="0.2">
      <c r="B895" s="60" t="s">
        <v>4510</v>
      </c>
      <c r="C895" s="513" t="s">
        <v>1735</v>
      </c>
      <c r="D895" s="166" t="s">
        <v>218</v>
      </c>
      <c r="E895" s="173"/>
      <c r="F895" s="174"/>
    </row>
    <row r="896" spans="2:6" s="165" customFormat="1" ht="15.4" customHeight="1" outlineLevel="1" x14ac:dyDescent="0.2">
      <c r="B896" s="60" t="s">
        <v>4511</v>
      </c>
      <c r="C896" s="513" t="s">
        <v>1736</v>
      </c>
      <c r="D896" s="166" t="s">
        <v>218</v>
      </c>
      <c r="E896" s="173"/>
      <c r="F896" s="174"/>
    </row>
    <row r="897" spans="2:6" s="165" customFormat="1" ht="15.4" customHeight="1" outlineLevel="1" x14ac:dyDescent="0.2">
      <c r="B897" s="60" t="s">
        <v>4512</v>
      </c>
      <c r="C897" s="513" t="s">
        <v>1737</v>
      </c>
      <c r="D897" s="166" t="s">
        <v>218</v>
      </c>
      <c r="E897" s="173"/>
      <c r="F897" s="174"/>
    </row>
    <row r="898" spans="2:6" s="165" customFormat="1" ht="15.4" customHeight="1" outlineLevel="1" x14ac:dyDescent="0.2">
      <c r="B898" s="60" t="s">
        <v>4513</v>
      </c>
      <c r="C898" s="513" t="s">
        <v>1738</v>
      </c>
      <c r="D898" s="166" t="s">
        <v>218</v>
      </c>
      <c r="E898" s="173"/>
      <c r="F898" s="174"/>
    </row>
    <row r="899" spans="2:6" s="165" customFormat="1" ht="15.4" customHeight="1" outlineLevel="1" x14ac:dyDescent="0.2">
      <c r="B899" s="60" t="s">
        <v>4514</v>
      </c>
      <c r="C899" s="513" t="s">
        <v>1739</v>
      </c>
      <c r="D899" s="166" t="s">
        <v>218</v>
      </c>
      <c r="E899" s="173"/>
      <c r="F899" s="174"/>
    </row>
    <row r="900" spans="2:6" s="165" customFormat="1" ht="15.4" customHeight="1" outlineLevel="1" x14ac:dyDescent="0.2">
      <c r="B900" s="60" t="s">
        <v>4515</v>
      </c>
      <c r="C900" s="513" t="s">
        <v>1740</v>
      </c>
      <c r="D900" s="166" t="s">
        <v>218</v>
      </c>
      <c r="E900" s="173"/>
      <c r="F900" s="174"/>
    </row>
    <row r="901" spans="2:6" s="165" customFormat="1" ht="15.4" customHeight="1" outlineLevel="1" x14ac:dyDescent="0.2">
      <c r="B901" s="60" t="s">
        <v>4516</v>
      </c>
      <c r="C901" s="513" t="s">
        <v>1741</v>
      </c>
      <c r="D901" s="166" t="s">
        <v>218</v>
      </c>
      <c r="E901" s="173"/>
      <c r="F901" s="174"/>
    </row>
    <row r="902" spans="2:6" s="165" customFormat="1" ht="15.4" customHeight="1" outlineLevel="1" x14ac:dyDescent="0.2">
      <c r="B902" s="60" t="s">
        <v>4517</v>
      </c>
      <c r="C902" s="513" t="s">
        <v>1742</v>
      </c>
      <c r="D902" s="166" t="s">
        <v>218</v>
      </c>
      <c r="E902" s="173"/>
      <c r="F902" s="174"/>
    </row>
    <row r="903" spans="2:6" s="165" customFormat="1" ht="15.4" customHeight="1" outlineLevel="1" x14ac:dyDescent="0.2">
      <c r="B903" s="60" t="s">
        <v>4518</v>
      </c>
      <c r="C903" s="513" t="s">
        <v>1743</v>
      </c>
      <c r="D903" s="166" t="s">
        <v>218</v>
      </c>
      <c r="E903" s="173"/>
      <c r="F903" s="174"/>
    </row>
    <row r="904" spans="2:6" s="138" customFormat="1" ht="15" customHeight="1" x14ac:dyDescent="0.2">
      <c r="B904" s="60" t="s">
        <v>4519</v>
      </c>
      <c r="C904" s="514" t="s">
        <v>413</v>
      </c>
      <c r="D904" s="164" t="s">
        <v>219</v>
      </c>
      <c r="E904" s="636">
        <f>SUM(E905:E924)</f>
        <v>0</v>
      </c>
      <c r="F904" s="637">
        <f>SUM(F905:F924)</f>
        <v>0</v>
      </c>
    </row>
    <row r="905" spans="2:6" s="165" customFormat="1" ht="15.4" customHeight="1" outlineLevel="1" x14ac:dyDescent="0.2">
      <c r="B905" s="60" t="s">
        <v>4520</v>
      </c>
      <c r="C905" s="513" t="s">
        <v>1744</v>
      </c>
      <c r="D905" s="166" t="s">
        <v>218</v>
      </c>
      <c r="E905" s="173"/>
      <c r="F905" s="174"/>
    </row>
    <row r="906" spans="2:6" s="165" customFormat="1" ht="15.4" customHeight="1" outlineLevel="1" x14ac:dyDescent="0.2">
      <c r="B906" s="60" t="s">
        <v>4521</v>
      </c>
      <c r="C906" s="513" t="s">
        <v>1745</v>
      </c>
      <c r="D906" s="166" t="s">
        <v>218</v>
      </c>
      <c r="E906" s="173"/>
      <c r="F906" s="174"/>
    </row>
    <row r="907" spans="2:6" s="165" customFormat="1" ht="15.4" customHeight="1" outlineLevel="1" x14ac:dyDescent="0.2">
      <c r="B907" s="60" t="s">
        <v>4522</v>
      </c>
      <c r="C907" s="513" t="s">
        <v>1746</v>
      </c>
      <c r="D907" s="166" t="s">
        <v>218</v>
      </c>
      <c r="E907" s="173"/>
      <c r="F907" s="174"/>
    </row>
    <row r="908" spans="2:6" s="165" customFormat="1" ht="15.4" customHeight="1" outlineLevel="1" x14ac:dyDescent="0.2">
      <c r="B908" s="60" t="s">
        <v>4523</v>
      </c>
      <c r="C908" s="513" t="s">
        <v>1747</v>
      </c>
      <c r="D908" s="166" t="s">
        <v>218</v>
      </c>
      <c r="E908" s="173"/>
      <c r="F908" s="174"/>
    </row>
    <row r="909" spans="2:6" s="165" customFormat="1" ht="15.4" customHeight="1" outlineLevel="1" x14ac:dyDescent="0.2">
      <c r="B909" s="60" t="s">
        <v>4524</v>
      </c>
      <c r="C909" s="513" t="s">
        <v>1748</v>
      </c>
      <c r="D909" s="166" t="s">
        <v>218</v>
      </c>
      <c r="E909" s="173"/>
      <c r="F909" s="174"/>
    </row>
    <row r="910" spans="2:6" s="165" customFormat="1" ht="15.4" customHeight="1" outlineLevel="1" x14ac:dyDescent="0.2">
      <c r="B910" s="60" t="s">
        <v>4525</v>
      </c>
      <c r="C910" s="513" t="s">
        <v>1749</v>
      </c>
      <c r="D910" s="166" t="s">
        <v>218</v>
      </c>
      <c r="E910" s="173"/>
      <c r="F910" s="174"/>
    </row>
    <row r="911" spans="2:6" s="165" customFormat="1" ht="15.4" customHeight="1" outlineLevel="1" x14ac:dyDescent="0.2">
      <c r="B911" s="60" t="s">
        <v>4526</v>
      </c>
      <c r="C911" s="513" t="s">
        <v>1750</v>
      </c>
      <c r="D911" s="166" t="s">
        <v>218</v>
      </c>
      <c r="E911" s="173"/>
      <c r="F911" s="174"/>
    </row>
    <row r="912" spans="2:6" s="165" customFormat="1" ht="15.4" customHeight="1" outlineLevel="1" x14ac:dyDescent="0.2">
      <c r="B912" s="60" t="s">
        <v>4527</v>
      </c>
      <c r="C912" s="513" t="s">
        <v>1751</v>
      </c>
      <c r="D912" s="166" t="s">
        <v>218</v>
      </c>
      <c r="E912" s="173"/>
      <c r="F912" s="174"/>
    </row>
    <row r="913" spans="2:6" s="165" customFormat="1" ht="15.4" customHeight="1" outlineLevel="1" x14ac:dyDescent="0.2">
      <c r="B913" s="60" t="s">
        <v>4528</v>
      </c>
      <c r="C913" s="513" t="s">
        <v>1752</v>
      </c>
      <c r="D913" s="166" t="s">
        <v>218</v>
      </c>
      <c r="E913" s="173"/>
      <c r="F913" s="174"/>
    </row>
    <row r="914" spans="2:6" s="165" customFormat="1" ht="15.4" customHeight="1" outlineLevel="1" x14ac:dyDescent="0.2">
      <c r="B914" s="60" t="s">
        <v>4529</v>
      </c>
      <c r="C914" s="513" t="s">
        <v>1753</v>
      </c>
      <c r="D914" s="166" t="s">
        <v>218</v>
      </c>
      <c r="E914" s="173"/>
      <c r="F914" s="174"/>
    </row>
    <row r="915" spans="2:6" s="165" customFormat="1" ht="15.4" customHeight="1" outlineLevel="1" x14ac:dyDescent="0.2">
      <c r="B915" s="60" t="s">
        <v>4530</v>
      </c>
      <c r="C915" s="513" t="s">
        <v>1754</v>
      </c>
      <c r="D915" s="166" t="s">
        <v>218</v>
      </c>
      <c r="E915" s="173"/>
      <c r="F915" s="174"/>
    </row>
    <row r="916" spans="2:6" s="165" customFormat="1" ht="15.4" customHeight="1" outlineLevel="1" x14ac:dyDescent="0.2">
      <c r="B916" s="60" t="s">
        <v>4531</v>
      </c>
      <c r="C916" s="513" t="s">
        <v>1755</v>
      </c>
      <c r="D916" s="166" t="s">
        <v>218</v>
      </c>
      <c r="E916" s="173"/>
      <c r="F916" s="174"/>
    </row>
    <row r="917" spans="2:6" s="165" customFormat="1" ht="15.4" customHeight="1" outlineLevel="1" x14ac:dyDescent="0.2">
      <c r="B917" s="60" t="s">
        <v>4532</v>
      </c>
      <c r="C917" s="513" t="s">
        <v>1756</v>
      </c>
      <c r="D917" s="166" t="s">
        <v>218</v>
      </c>
      <c r="E917" s="173"/>
      <c r="F917" s="174"/>
    </row>
    <row r="918" spans="2:6" s="165" customFormat="1" ht="15.4" customHeight="1" outlineLevel="1" x14ac:dyDescent="0.2">
      <c r="B918" s="60" t="s">
        <v>4533</v>
      </c>
      <c r="C918" s="513" t="s">
        <v>1757</v>
      </c>
      <c r="D918" s="166" t="s">
        <v>218</v>
      </c>
      <c r="E918" s="173"/>
      <c r="F918" s="174"/>
    </row>
    <row r="919" spans="2:6" s="165" customFormat="1" ht="15.4" customHeight="1" outlineLevel="1" x14ac:dyDescent="0.2">
      <c r="B919" s="60" t="s">
        <v>4534</v>
      </c>
      <c r="C919" s="513" t="s">
        <v>1758</v>
      </c>
      <c r="D919" s="166" t="s">
        <v>218</v>
      </c>
      <c r="E919" s="173"/>
      <c r="F919" s="174"/>
    </row>
    <row r="920" spans="2:6" s="165" customFormat="1" ht="15.4" customHeight="1" outlineLevel="1" x14ac:dyDescent="0.2">
      <c r="B920" s="60" t="s">
        <v>4535</v>
      </c>
      <c r="C920" s="513" t="s">
        <v>1759</v>
      </c>
      <c r="D920" s="166" t="s">
        <v>218</v>
      </c>
      <c r="E920" s="173"/>
      <c r="F920" s="174"/>
    </row>
    <row r="921" spans="2:6" s="165" customFormat="1" ht="15.4" customHeight="1" outlineLevel="1" x14ac:dyDescent="0.2">
      <c r="B921" s="60" t="s">
        <v>4536</v>
      </c>
      <c r="C921" s="513" t="s">
        <v>1760</v>
      </c>
      <c r="D921" s="166" t="s">
        <v>218</v>
      </c>
      <c r="E921" s="173"/>
      <c r="F921" s="174"/>
    </row>
    <row r="922" spans="2:6" s="165" customFormat="1" ht="15.4" customHeight="1" outlineLevel="1" x14ac:dyDescent="0.2">
      <c r="B922" s="60" t="s">
        <v>4537</v>
      </c>
      <c r="C922" s="513" t="s">
        <v>1761</v>
      </c>
      <c r="D922" s="166" t="s">
        <v>218</v>
      </c>
      <c r="E922" s="173"/>
      <c r="F922" s="174"/>
    </row>
    <row r="923" spans="2:6" s="165" customFormat="1" ht="15.4" customHeight="1" outlineLevel="1" x14ac:dyDescent="0.2">
      <c r="B923" s="60" t="s">
        <v>4538</v>
      </c>
      <c r="C923" s="513" t="s">
        <v>1762</v>
      </c>
      <c r="D923" s="166" t="s">
        <v>218</v>
      </c>
      <c r="E923" s="173"/>
      <c r="F923" s="174"/>
    </row>
    <row r="924" spans="2:6" s="165" customFormat="1" ht="15.4" customHeight="1" outlineLevel="1" x14ac:dyDescent="0.2">
      <c r="B924" s="60" t="s">
        <v>4539</v>
      </c>
      <c r="C924" s="513" t="s">
        <v>1763</v>
      </c>
      <c r="D924" s="166" t="s">
        <v>218</v>
      </c>
      <c r="E924" s="173"/>
      <c r="F924" s="174"/>
    </row>
    <row r="925" spans="2:6" s="138" customFormat="1" ht="15" customHeight="1" x14ac:dyDescent="0.2">
      <c r="B925" s="60" t="s">
        <v>4540</v>
      </c>
      <c r="C925" s="514" t="s">
        <v>435</v>
      </c>
      <c r="D925" s="164" t="s">
        <v>220</v>
      </c>
      <c r="E925" s="636">
        <f>SUM(E926:E945)</f>
        <v>0</v>
      </c>
      <c r="F925" s="637">
        <f>SUM(F926:F945)</f>
        <v>0</v>
      </c>
    </row>
    <row r="926" spans="2:6" s="167" customFormat="1" ht="15.4" customHeight="1" outlineLevel="1" x14ac:dyDescent="0.2">
      <c r="B926" s="60" t="s">
        <v>4541</v>
      </c>
      <c r="C926" s="513" t="s">
        <v>1764</v>
      </c>
      <c r="D926" s="151" t="s">
        <v>218</v>
      </c>
      <c r="E926" s="154"/>
      <c r="F926" s="175"/>
    </row>
    <row r="927" spans="2:6" s="167" customFormat="1" ht="15.4" customHeight="1" outlineLevel="1" x14ac:dyDescent="0.2">
      <c r="B927" s="60" t="s">
        <v>4542</v>
      </c>
      <c r="C927" s="513" t="s">
        <v>1765</v>
      </c>
      <c r="D927" s="151" t="s">
        <v>218</v>
      </c>
      <c r="E927" s="154"/>
      <c r="F927" s="175"/>
    </row>
    <row r="928" spans="2:6" s="167" customFormat="1" ht="15.4" customHeight="1" outlineLevel="1" x14ac:dyDescent="0.2">
      <c r="B928" s="60" t="s">
        <v>4543</v>
      </c>
      <c r="C928" s="513" t="s">
        <v>1766</v>
      </c>
      <c r="D928" s="151" t="s">
        <v>218</v>
      </c>
      <c r="E928" s="154"/>
      <c r="F928" s="175"/>
    </row>
    <row r="929" spans="2:6" s="167" customFormat="1" ht="15.4" customHeight="1" outlineLevel="1" x14ac:dyDescent="0.2">
      <c r="B929" s="60" t="s">
        <v>4544</v>
      </c>
      <c r="C929" s="513" t="s">
        <v>1767</v>
      </c>
      <c r="D929" s="151" t="s">
        <v>218</v>
      </c>
      <c r="E929" s="154"/>
      <c r="F929" s="175"/>
    </row>
    <row r="930" spans="2:6" s="167" customFormat="1" ht="15.4" customHeight="1" outlineLevel="1" x14ac:dyDescent="0.2">
      <c r="B930" s="60" t="s">
        <v>4545</v>
      </c>
      <c r="C930" s="513" t="s">
        <v>1768</v>
      </c>
      <c r="D930" s="151" t="s">
        <v>218</v>
      </c>
      <c r="E930" s="154"/>
      <c r="F930" s="175"/>
    </row>
    <row r="931" spans="2:6" s="167" customFormat="1" ht="15.4" customHeight="1" outlineLevel="1" x14ac:dyDescent="0.2">
      <c r="B931" s="60" t="s">
        <v>4546</v>
      </c>
      <c r="C931" s="513" t="s">
        <v>1769</v>
      </c>
      <c r="D931" s="151" t="s">
        <v>218</v>
      </c>
      <c r="E931" s="154"/>
      <c r="F931" s="175"/>
    </row>
    <row r="932" spans="2:6" s="167" customFormat="1" ht="15.4" customHeight="1" outlineLevel="1" x14ac:dyDescent="0.2">
      <c r="B932" s="60" t="s">
        <v>4547</v>
      </c>
      <c r="C932" s="513" t="s">
        <v>1770</v>
      </c>
      <c r="D932" s="151" t="s">
        <v>218</v>
      </c>
      <c r="E932" s="154"/>
      <c r="F932" s="175"/>
    </row>
    <row r="933" spans="2:6" s="167" customFormat="1" ht="15.4" customHeight="1" outlineLevel="1" x14ac:dyDescent="0.2">
      <c r="B933" s="60" t="s">
        <v>4548</v>
      </c>
      <c r="C933" s="513" t="s">
        <v>1771</v>
      </c>
      <c r="D933" s="151" t="s">
        <v>218</v>
      </c>
      <c r="E933" s="154"/>
      <c r="F933" s="175"/>
    </row>
    <row r="934" spans="2:6" s="167" customFormat="1" ht="15.4" customHeight="1" outlineLevel="1" x14ac:dyDescent="0.2">
      <c r="B934" s="60" t="s">
        <v>4549</v>
      </c>
      <c r="C934" s="513" t="s">
        <v>1772</v>
      </c>
      <c r="D934" s="151" t="s">
        <v>218</v>
      </c>
      <c r="E934" s="154"/>
      <c r="F934" s="175"/>
    </row>
    <row r="935" spans="2:6" s="167" customFormat="1" ht="15.4" customHeight="1" outlineLevel="1" x14ac:dyDescent="0.2">
      <c r="B935" s="60" t="s">
        <v>4550</v>
      </c>
      <c r="C935" s="513" t="s">
        <v>1773</v>
      </c>
      <c r="D935" s="151" t="s">
        <v>218</v>
      </c>
      <c r="E935" s="154"/>
      <c r="F935" s="175"/>
    </row>
    <row r="936" spans="2:6" s="167" customFormat="1" ht="15.4" customHeight="1" outlineLevel="1" x14ac:dyDescent="0.2">
      <c r="B936" s="60" t="s">
        <v>4551</v>
      </c>
      <c r="C936" s="513" t="s">
        <v>1774</v>
      </c>
      <c r="D936" s="151" t="s">
        <v>218</v>
      </c>
      <c r="E936" s="154"/>
      <c r="F936" s="175"/>
    </row>
    <row r="937" spans="2:6" s="167" customFormat="1" ht="15.4" customHeight="1" outlineLevel="1" x14ac:dyDescent="0.2">
      <c r="B937" s="60" t="s">
        <v>4552</v>
      </c>
      <c r="C937" s="513" t="s">
        <v>1775</v>
      </c>
      <c r="D937" s="151" t="s">
        <v>218</v>
      </c>
      <c r="E937" s="154"/>
      <c r="F937" s="175"/>
    </row>
    <row r="938" spans="2:6" s="167" customFormat="1" ht="15.4" customHeight="1" outlineLevel="1" x14ac:dyDescent="0.2">
      <c r="B938" s="60" t="s">
        <v>4553</v>
      </c>
      <c r="C938" s="513" t="s">
        <v>1776</v>
      </c>
      <c r="D938" s="151" t="s">
        <v>218</v>
      </c>
      <c r="E938" s="154"/>
      <c r="F938" s="175"/>
    </row>
    <row r="939" spans="2:6" s="167" customFormat="1" ht="15.4" customHeight="1" outlineLevel="1" x14ac:dyDescent="0.2">
      <c r="B939" s="60" t="s">
        <v>4554</v>
      </c>
      <c r="C939" s="513" t="s">
        <v>1777</v>
      </c>
      <c r="D939" s="151" t="s">
        <v>218</v>
      </c>
      <c r="E939" s="154"/>
      <c r="F939" s="175"/>
    </row>
    <row r="940" spans="2:6" s="167" customFormat="1" ht="15.4" customHeight="1" outlineLevel="1" x14ac:dyDescent="0.2">
      <c r="B940" s="60" t="s">
        <v>4555</v>
      </c>
      <c r="C940" s="513" t="s">
        <v>1778</v>
      </c>
      <c r="D940" s="151" t="s">
        <v>218</v>
      </c>
      <c r="E940" s="154"/>
      <c r="F940" s="175"/>
    </row>
    <row r="941" spans="2:6" s="167" customFormat="1" ht="15.4" customHeight="1" outlineLevel="1" x14ac:dyDescent="0.2">
      <c r="B941" s="60" t="s">
        <v>4556</v>
      </c>
      <c r="C941" s="513" t="s">
        <v>1779</v>
      </c>
      <c r="D941" s="151" t="s">
        <v>218</v>
      </c>
      <c r="E941" s="154"/>
      <c r="F941" s="175"/>
    </row>
    <row r="942" spans="2:6" s="167" customFormat="1" ht="15.4" customHeight="1" outlineLevel="1" x14ac:dyDescent="0.2">
      <c r="B942" s="60" t="s">
        <v>4557</v>
      </c>
      <c r="C942" s="513" t="s">
        <v>1780</v>
      </c>
      <c r="D942" s="151" t="s">
        <v>218</v>
      </c>
      <c r="E942" s="154"/>
      <c r="F942" s="175"/>
    </row>
    <row r="943" spans="2:6" s="167" customFormat="1" ht="15.4" customHeight="1" outlineLevel="1" x14ac:dyDescent="0.2">
      <c r="B943" s="60" t="s">
        <v>4558</v>
      </c>
      <c r="C943" s="513" t="s">
        <v>1781</v>
      </c>
      <c r="D943" s="151" t="s">
        <v>218</v>
      </c>
      <c r="E943" s="154"/>
      <c r="F943" s="175"/>
    </row>
    <row r="944" spans="2:6" s="167" customFormat="1" ht="15.4" customHeight="1" outlineLevel="1" x14ac:dyDescent="0.2">
      <c r="B944" s="60" t="s">
        <v>4559</v>
      </c>
      <c r="C944" s="513" t="s">
        <v>1782</v>
      </c>
      <c r="D944" s="151" t="s">
        <v>218</v>
      </c>
      <c r="E944" s="154"/>
      <c r="F944" s="175"/>
    </row>
    <row r="945" spans="2:6" s="167" customFormat="1" ht="15.4" customHeight="1" outlineLevel="1" x14ac:dyDescent="0.2">
      <c r="B945" s="60" t="s">
        <v>4560</v>
      </c>
      <c r="C945" s="513" t="s">
        <v>1783</v>
      </c>
      <c r="D945" s="151" t="s">
        <v>218</v>
      </c>
      <c r="E945" s="154"/>
      <c r="F945" s="175"/>
    </row>
    <row r="946" spans="2:6" s="624" customFormat="1" ht="15.75" thickBot="1" x14ac:dyDescent="0.35">
      <c r="B946" s="631" t="s">
        <v>4561</v>
      </c>
      <c r="C946" s="837" t="s">
        <v>3370</v>
      </c>
      <c r="D946" s="838"/>
      <c r="E946" s="243">
        <f>E480+E501+E628+E755+E882</f>
        <v>0</v>
      </c>
      <c r="F946" s="244">
        <f>F480+F501+F628+F755+F882</f>
        <v>0</v>
      </c>
    </row>
    <row r="947" spans="2:6" ht="12" customHeight="1" x14ac:dyDescent="0.2">
      <c r="C947" s="79"/>
      <c r="D947" s="79"/>
      <c r="E947" s="79"/>
      <c r="F947" s="79"/>
    </row>
    <row r="948" spans="2:6" ht="12" customHeight="1" x14ac:dyDescent="0.3">
      <c r="C948" s="782"/>
      <c r="D948" s="782"/>
      <c r="E948" s="782"/>
      <c r="F948" s="782"/>
    </row>
    <row r="949" spans="2:6" x14ac:dyDescent="0.2">
      <c r="C949" s="785"/>
      <c r="D949" s="785"/>
      <c r="E949" s="785"/>
      <c r="F949" s="785"/>
    </row>
    <row r="950" spans="2:6" ht="12" customHeight="1" x14ac:dyDescent="0.3">
      <c r="C950" s="782"/>
      <c r="D950" s="782"/>
      <c r="E950" s="782"/>
      <c r="F950" s="782"/>
    </row>
    <row r="951" spans="2:6" x14ac:dyDescent="0.2">
      <c r="C951" s="785"/>
      <c r="D951" s="785"/>
      <c r="E951" s="785"/>
      <c r="F951" s="785"/>
    </row>
    <row r="952" spans="2:6" ht="12" customHeight="1" x14ac:dyDescent="0.3">
      <c r="C952" s="782"/>
      <c r="D952" s="782"/>
      <c r="E952" s="782"/>
      <c r="F952" s="782"/>
    </row>
    <row r="953" spans="2:6" x14ac:dyDescent="0.2">
      <c r="C953" s="785"/>
      <c r="D953" s="785"/>
      <c r="E953" s="785"/>
      <c r="F953" s="785"/>
    </row>
  </sheetData>
  <customSheetViews>
    <customSheetView guid="{F18E25A1-ACAC-4BA2-9084-15C64EADD71F}" fitToPage="1" topLeftCell="A55">
      <selection activeCell="F55" sqref="F55"/>
      <pageMargins left="0.46" right="0.39" top="0.41" bottom="0.28999999999999998" header="0.28999999999999998" footer="0.28999999999999998"/>
      <pageSetup paperSize="9" scale="73" fitToWidth="2" orientation="portrait" horizontalDpi="300" verticalDpi="300" r:id="rId1"/>
      <headerFooter alignWithMargins="0"/>
    </customSheetView>
    <customSheetView guid="{42441662-3193-455A-AAAC-E0697E2ED236}" showPageBreaks="1" fitToPage="1" topLeftCell="A59">
      <selection activeCell="B34" sqref="B34"/>
      <pageMargins left="0.46" right="0.39" top="0.41" bottom="0.28999999999999998" header="0.28999999999999998" footer="0.28999999999999998"/>
      <pageSetup paperSize="9" scale="73" fitToWidth="2" orientation="portrait" horizontalDpi="300" verticalDpi="300" r:id="rId2"/>
      <headerFooter alignWithMargins="0"/>
    </customSheetView>
    <customSheetView guid="{AB1DC9E9-A3E4-4BE0-8A49-B02D340E9D12}" fitToPage="1">
      <selection activeCell="B5" sqref="B5"/>
      <pageMargins left="0.46" right="0.39" top="0.41" bottom="0.28999999999999998" header="0.28999999999999998" footer="0.28999999999999998"/>
      <pageSetup paperSize="9" scale="83" fitToWidth="2" orientation="portrait" horizontalDpi="300" verticalDpi="300" r:id="rId3"/>
      <headerFooter alignWithMargins="0"/>
    </customSheetView>
    <customSheetView guid="{BC7A4191-54CC-4009-AB21-42ED557A5091}" showPageBreaks="1" fitToPage="1" showRuler="0" topLeftCell="A25">
      <selection activeCell="B38" sqref="B38"/>
      <pageMargins left="0.46" right="0.39" top="0.41" bottom="0.28999999999999998" header="0.28999999999999998" footer="0.28999999999999998"/>
      <pageSetup paperSize="9" scale="83" fitToWidth="2" orientation="portrait" horizontalDpi="300" verticalDpi="300" r:id="rId4"/>
      <headerFooter alignWithMargins="0"/>
    </customSheetView>
  </customSheetViews>
  <mergeCells count="15">
    <mergeCell ref="B1:C1"/>
    <mergeCell ref="E1:F1"/>
    <mergeCell ref="E5:F5"/>
    <mergeCell ref="B2:F2"/>
    <mergeCell ref="C953:F953"/>
    <mergeCell ref="D4:F4"/>
    <mergeCell ref="C8:F8"/>
    <mergeCell ref="C476:D476"/>
    <mergeCell ref="C946:D946"/>
    <mergeCell ref="C478:F478"/>
    <mergeCell ref="C948:F948"/>
    <mergeCell ref="C949:F949"/>
    <mergeCell ref="C950:F950"/>
    <mergeCell ref="C951:F951"/>
    <mergeCell ref="C952:F952"/>
  </mergeCells>
  <phoneticPr fontId="3" type="noConversion"/>
  <printOptions horizontalCentered="1"/>
  <pageMargins left="0.2" right="0.2" top="0.17" bottom="0.2" header="0.17" footer="0.19"/>
  <pageSetup paperSize="9" scale="78" fitToWidth="2" orientation="portrait" horizontalDpi="300" verticalDpi="300" r:id="rId5"/>
  <headerFooter alignWithMargins="0"/>
  <ignoredErrors>
    <ignoredError sqref="C158:C159 C12:C13 C14:C31 C32 C53 C74 C95 C116 C137 C180 C201 C222 C243 C264 C285:C286 C307 C328 C349 C370 C391 C412:C413 C434 C455 C490:C501 C502 C523:C627 C628:C734 C755:C861 C882:C925 B10:B94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1:H53"/>
  <sheetViews>
    <sheetView showGridLines="0" zoomScale="90" zoomScaleNormal="90" workbookViewId="0">
      <pane ySplit="6" topLeftCell="A7" activePane="bottomLeft" state="frozen"/>
      <selection activeCell="C120" sqref="C120"/>
      <selection pane="bottomLeft" activeCell="J22" sqref="J22"/>
    </sheetView>
  </sheetViews>
  <sheetFormatPr defaultColWidth="9.140625" defaultRowHeight="15" x14ac:dyDescent="0.2"/>
  <cols>
    <col min="1" max="1" width="2" style="134" customWidth="1"/>
    <col min="2" max="2" width="11.28515625" style="134" customWidth="1"/>
    <col min="3" max="3" width="4.5703125" style="134" customWidth="1"/>
    <col min="4" max="4" width="70.5703125" style="134" customWidth="1"/>
    <col min="5" max="6" width="16.140625" style="134" customWidth="1"/>
    <col min="7" max="16384" width="9.140625" style="134"/>
  </cols>
  <sheetData>
    <row r="1" spans="2:8" x14ac:dyDescent="0.2">
      <c r="B1" s="831" t="s">
        <v>315</v>
      </c>
      <c r="C1" s="831"/>
      <c r="E1" s="832" t="s">
        <v>1219</v>
      </c>
      <c r="F1" s="832"/>
    </row>
    <row r="2" spans="2:8" x14ac:dyDescent="0.2">
      <c r="B2" s="831" t="s">
        <v>1209</v>
      </c>
      <c r="C2" s="831"/>
      <c r="D2" s="831"/>
      <c r="E2" s="831"/>
      <c r="F2" s="831"/>
    </row>
    <row r="3" spans="2:8" x14ac:dyDescent="0.2">
      <c r="C3" s="142"/>
    </row>
    <row r="4" spans="2:8" s="51" customFormat="1" ht="18" x14ac:dyDescent="0.2">
      <c r="B4" s="90"/>
      <c r="C4" s="843" t="s">
        <v>222</v>
      </c>
      <c r="D4" s="843"/>
      <c r="E4" s="843"/>
      <c r="F4" s="843"/>
    </row>
    <row r="5" spans="2:8" ht="15.75" thickBot="1" x14ac:dyDescent="0.25">
      <c r="C5" s="26"/>
      <c r="D5" s="17"/>
      <c r="E5" s="844" t="s">
        <v>323</v>
      </c>
      <c r="F5" s="844"/>
    </row>
    <row r="6" spans="2:8" s="54" customFormat="1" ht="45.75" thickBot="1" x14ac:dyDescent="0.25">
      <c r="B6" s="507" t="s">
        <v>4627</v>
      </c>
      <c r="C6" s="422" t="s">
        <v>1211</v>
      </c>
      <c r="D6" s="415"/>
      <c r="E6" s="416" t="s">
        <v>322</v>
      </c>
      <c r="F6" s="417" t="s">
        <v>333</v>
      </c>
    </row>
    <row r="7" spans="2:8" s="30" customFormat="1" ht="9" customHeight="1" x14ac:dyDescent="0.2">
      <c r="C7" s="26"/>
      <c r="E7" s="53"/>
      <c r="F7" s="53"/>
      <c r="H7" s="17"/>
    </row>
    <row r="8" spans="2:8" s="30" customFormat="1" ht="15" customHeight="1" x14ac:dyDescent="0.2">
      <c r="C8" s="842" t="s">
        <v>2</v>
      </c>
      <c r="D8" s="842"/>
      <c r="E8" s="842"/>
      <c r="F8" s="842"/>
      <c r="H8" s="17"/>
    </row>
    <row r="9" spans="2:8" s="79" customFormat="1" ht="15" customHeight="1" thickBot="1" x14ac:dyDescent="0.25">
      <c r="C9" s="839" t="s">
        <v>3324</v>
      </c>
      <c r="D9" s="839"/>
      <c r="E9" s="839"/>
      <c r="F9" s="839"/>
    </row>
    <row r="10" spans="2:8" ht="15" customHeight="1" x14ac:dyDescent="0.2">
      <c r="B10" s="439" t="s">
        <v>3628</v>
      </c>
      <c r="C10" s="496">
        <v>1</v>
      </c>
      <c r="D10" s="493" t="s">
        <v>4670</v>
      </c>
      <c r="E10" s="494"/>
      <c r="F10" s="495"/>
    </row>
    <row r="11" spans="2:8" ht="15" customHeight="1" x14ac:dyDescent="0.2">
      <c r="B11" s="444" t="s">
        <v>3629</v>
      </c>
      <c r="C11" s="437">
        <v>2</v>
      </c>
      <c r="D11" s="131" t="s">
        <v>223</v>
      </c>
      <c r="E11" s="91"/>
      <c r="F11" s="92"/>
    </row>
    <row r="12" spans="2:8" ht="15" customHeight="1" x14ac:dyDescent="0.2">
      <c r="B12" s="60" t="s">
        <v>3630</v>
      </c>
      <c r="C12" s="425">
        <v>3</v>
      </c>
      <c r="D12" s="131" t="s">
        <v>224</v>
      </c>
      <c r="E12" s="91"/>
      <c r="F12" s="92"/>
    </row>
    <row r="13" spans="2:8" ht="15" customHeight="1" thickBot="1" x14ac:dyDescent="0.25">
      <c r="B13" s="467" t="s">
        <v>3631</v>
      </c>
      <c r="C13" s="841" t="s">
        <v>3371</v>
      </c>
      <c r="D13" s="813"/>
      <c r="E13" s="241">
        <f>E10+E11+E12</f>
        <v>0</v>
      </c>
      <c r="F13" s="242">
        <f>F10+F11+F12</f>
        <v>0</v>
      </c>
    </row>
    <row r="14" spans="2:8" s="30" customFormat="1" ht="9" customHeight="1" x14ac:dyDescent="0.2">
      <c r="C14" s="9"/>
      <c r="D14" s="17"/>
      <c r="E14" s="136"/>
      <c r="F14" s="136"/>
    </row>
    <row r="15" spans="2:8" s="79" customFormat="1" ht="15" customHeight="1" thickBot="1" x14ac:dyDescent="0.25">
      <c r="C15" s="839" t="s">
        <v>3325</v>
      </c>
      <c r="D15" s="839"/>
      <c r="E15" s="839"/>
      <c r="F15" s="839"/>
    </row>
    <row r="16" spans="2:8" ht="15" customHeight="1" x14ac:dyDescent="0.2">
      <c r="B16" s="439" t="s">
        <v>3632</v>
      </c>
      <c r="C16" s="496">
        <v>4</v>
      </c>
      <c r="D16" s="493" t="s">
        <v>221</v>
      </c>
      <c r="E16" s="494"/>
      <c r="F16" s="495"/>
    </row>
    <row r="17" spans="2:8" ht="15" customHeight="1" x14ac:dyDescent="0.2">
      <c r="B17" s="444" t="s">
        <v>3633</v>
      </c>
      <c r="C17" s="437">
        <v>5</v>
      </c>
      <c r="D17" s="131" t="s">
        <v>223</v>
      </c>
      <c r="E17" s="91"/>
      <c r="F17" s="92"/>
    </row>
    <row r="18" spans="2:8" ht="15" customHeight="1" thickBot="1" x14ac:dyDescent="0.25">
      <c r="B18" s="491" t="s">
        <v>3634</v>
      </c>
      <c r="C18" s="812" t="s">
        <v>3372</v>
      </c>
      <c r="D18" s="813"/>
      <c r="E18" s="241">
        <f>SUM(E16:E17)</f>
        <v>0</v>
      </c>
      <c r="F18" s="242">
        <f>SUM(F16:F17)</f>
        <v>0</v>
      </c>
    </row>
    <row r="19" spans="2:8" s="30" customFormat="1" ht="9" customHeight="1" x14ac:dyDescent="0.2">
      <c r="C19" s="9"/>
      <c r="D19" s="17"/>
      <c r="E19" s="136"/>
      <c r="F19" s="136"/>
    </row>
    <row r="20" spans="2:8" s="79" customFormat="1" ht="15" customHeight="1" thickBot="1" x14ac:dyDescent="0.25">
      <c r="C20" s="839" t="s">
        <v>3326</v>
      </c>
      <c r="D20" s="839"/>
      <c r="E20" s="839"/>
      <c r="F20" s="839"/>
    </row>
    <row r="21" spans="2:8" s="143" customFormat="1" ht="15" customHeight="1" x14ac:dyDescent="0.2">
      <c r="B21" s="439" t="s">
        <v>3635</v>
      </c>
      <c r="C21" s="519">
        <v>6</v>
      </c>
      <c r="D21" s="503" t="s">
        <v>3373</v>
      </c>
      <c r="E21" s="504">
        <f>E10-E16</f>
        <v>0</v>
      </c>
      <c r="F21" s="508">
        <f>F10-F16</f>
        <v>0</v>
      </c>
    </row>
    <row r="22" spans="2:8" s="143" customFormat="1" ht="30" x14ac:dyDescent="0.2">
      <c r="B22" s="60" t="s">
        <v>3636</v>
      </c>
      <c r="C22" s="397">
        <v>7</v>
      </c>
      <c r="D22" s="311" t="s">
        <v>4673</v>
      </c>
      <c r="E22" s="635">
        <f>E11-E17</f>
        <v>0</v>
      </c>
      <c r="F22" s="638">
        <f>F11-F17</f>
        <v>0</v>
      </c>
    </row>
    <row r="23" spans="2:8" s="143" customFormat="1" ht="15" customHeight="1" x14ac:dyDescent="0.2">
      <c r="B23" s="60" t="s">
        <v>3637</v>
      </c>
      <c r="C23" s="397">
        <v>8</v>
      </c>
      <c r="D23" s="150" t="s">
        <v>3378</v>
      </c>
      <c r="E23" s="635">
        <f>E12</f>
        <v>0</v>
      </c>
      <c r="F23" s="638">
        <f>F12</f>
        <v>0</v>
      </c>
    </row>
    <row r="24" spans="2:8" ht="15" customHeight="1" thickBot="1" x14ac:dyDescent="0.25">
      <c r="B24" s="467" t="s">
        <v>3638</v>
      </c>
      <c r="C24" s="841" t="s">
        <v>3374</v>
      </c>
      <c r="D24" s="813"/>
      <c r="E24" s="241">
        <f>E21+E22+E23</f>
        <v>0</v>
      </c>
      <c r="F24" s="242">
        <f>F21+F22+F23</f>
        <v>0</v>
      </c>
    </row>
    <row r="25" spans="2:8" s="79" customFormat="1" ht="9" customHeight="1" x14ac:dyDescent="0.2">
      <c r="C25" s="26"/>
      <c r="D25" s="17"/>
    </row>
    <row r="26" spans="2:8" ht="15" customHeight="1" x14ac:dyDescent="0.2">
      <c r="C26" s="842" t="s">
        <v>93</v>
      </c>
      <c r="D26" s="842"/>
      <c r="E26" s="842"/>
      <c r="F26" s="842"/>
      <c r="H26" s="17"/>
    </row>
    <row r="27" spans="2:8" s="167" customFormat="1" ht="15" customHeight="1" thickBot="1" x14ac:dyDescent="0.25">
      <c r="C27" s="839" t="s">
        <v>225</v>
      </c>
      <c r="D27" s="839"/>
      <c r="E27" s="839"/>
      <c r="F27" s="839"/>
    </row>
    <row r="28" spans="2:8" ht="15" customHeight="1" x14ac:dyDescent="0.2">
      <c r="B28" s="439" t="s">
        <v>3639</v>
      </c>
      <c r="C28" s="496">
        <v>9</v>
      </c>
      <c r="D28" s="493" t="s">
        <v>4670</v>
      </c>
      <c r="E28" s="494"/>
      <c r="F28" s="495"/>
    </row>
    <row r="29" spans="2:8" ht="15" customHeight="1" x14ac:dyDescent="0.2">
      <c r="B29" s="444" t="s">
        <v>3640</v>
      </c>
      <c r="C29" s="437">
        <v>10</v>
      </c>
      <c r="D29" s="131" t="s">
        <v>223</v>
      </c>
      <c r="E29" s="91"/>
      <c r="F29" s="92"/>
    </row>
    <row r="30" spans="2:8" ht="15" customHeight="1" x14ac:dyDescent="0.2">
      <c r="B30" s="444" t="s">
        <v>3641</v>
      </c>
      <c r="C30" s="437">
        <v>11</v>
      </c>
      <c r="D30" s="131" t="s">
        <v>224</v>
      </c>
      <c r="E30" s="91"/>
      <c r="F30" s="92"/>
    </row>
    <row r="31" spans="2:8" ht="15" customHeight="1" x14ac:dyDescent="0.2">
      <c r="B31" s="444" t="s">
        <v>3642</v>
      </c>
      <c r="C31" s="437">
        <v>12</v>
      </c>
      <c r="D31" s="131" t="s">
        <v>226</v>
      </c>
      <c r="E31" s="91"/>
      <c r="F31" s="92"/>
    </row>
    <row r="32" spans="2:8" ht="15" customHeight="1" thickBot="1" x14ac:dyDescent="0.25">
      <c r="B32" s="467" t="s">
        <v>3643</v>
      </c>
      <c r="C32" s="841" t="s">
        <v>3375</v>
      </c>
      <c r="D32" s="813"/>
      <c r="E32" s="241">
        <f>SUM(E28:E31)</f>
        <v>0</v>
      </c>
      <c r="F32" s="242">
        <f>SUM(F28:F31)</f>
        <v>0</v>
      </c>
    </row>
    <row r="33" spans="2:6" ht="9" customHeight="1" x14ac:dyDescent="0.2">
      <c r="C33" s="840"/>
      <c r="D33" s="840"/>
      <c r="E33" s="840"/>
      <c r="F33" s="840"/>
    </row>
    <row r="34" spans="2:6" s="167" customFormat="1" ht="15" customHeight="1" thickBot="1" x14ac:dyDescent="0.25">
      <c r="C34" s="839" t="s">
        <v>2823</v>
      </c>
      <c r="D34" s="839"/>
      <c r="E34" s="839"/>
      <c r="F34" s="839"/>
    </row>
    <row r="35" spans="2:6" ht="15" customHeight="1" x14ac:dyDescent="0.2">
      <c r="B35" s="439" t="s">
        <v>3644</v>
      </c>
      <c r="C35" s="496">
        <v>13</v>
      </c>
      <c r="D35" s="493" t="s">
        <v>4670</v>
      </c>
      <c r="E35" s="494"/>
      <c r="F35" s="495"/>
    </row>
    <row r="36" spans="2:6" ht="15" customHeight="1" x14ac:dyDescent="0.2">
      <c r="B36" s="444" t="s">
        <v>3645</v>
      </c>
      <c r="C36" s="437">
        <v>14</v>
      </c>
      <c r="D36" s="131" t="s">
        <v>223</v>
      </c>
      <c r="E36" s="91"/>
      <c r="F36" s="92"/>
    </row>
    <row r="37" spans="2:6" ht="15" customHeight="1" x14ac:dyDescent="0.2">
      <c r="B37" s="444" t="s">
        <v>3646</v>
      </c>
      <c r="C37" s="437">
        <v>15</v>
      </c>
      <c r="D37" s="131" t="s">
        <v>226</v>
      </c>
      <c r="E37" s="91"/>
      <c r="F37" s="92"/>
    </row>
    <row r="38" spans="2:6" ht="15" customHeight="1" thickBot="1" x14ac:dyDescent="0.25">
      <c r="B38" s="491" t="s">
        <v>3647</v>
      </c>
      <c r="C38" s="812" t="s">
        <v>3376</v>
      </c>
      <c r="D38" s="813"/>
      <c r="E38" s="241">
        <f>SUM(E35:E37)</f>
        <v>0</v>
      </c>
      <c r="F38" s="242">
        <f>SUM(F35:F37)</f>
        <v>0</v>
      </c>
    </row>
    <row r="39" spans="2:6" ht="9" customHeight="1" x14ac:dyDescent="0.2">
      <c r="C39" s="840"/>
      <c r="D39" s="840"/>
      <c r="E39" s="840"/>
      <c r="F39" s="840"/>
    </row>
    <row r="40" spans="2:6" s="167" customFormat="1" ht="15" customHeight="1" thickBot="1" x14ac:dyDescent="0.25">
      <c r="C40" s="839" t="s">
        <v>2824</v>
      </c>
      <c r="D40" s="839"/>
      <c r="E40" s="839"/>
      <c r="F40" s="839"/>
    </row>
    <row r="41" spans="2:6" s="143" customFormat="1" ht="15" customHeight="1" x14ac:dyDescent="0.2">
      <c r="B41" s="418" t="s">
        <v>3648</v>
      </c>
      <c r="C41" s="406">
        <v>16</v>
      </c>
      <c r="D41" s="503" t="s">
        <v>4671</v>
      </c>
      <c r="E41" s="504">
        <f>E28-E35</f>
        <v>0</v>
      </c>
      <c r="F41" s="508">
        <f>F28-F35</f>
        <v>0</v>
      </c>
    </row>
    <row r="42" spans="2:6" s="143" customFormat="1" ht="30" x14ac:dyDescent="0.2">
      <c r="B42" s="444" t="s">
        <v>3649</v>
      </c>
      <c r="C42" s="520">
        <v>17</v>
      </c>
      <c r="D42" s="311" t="s">
        <v>4672</v>
      </c>
      <c r="E42" s="635">
        <f>E29-E36</f>
        <v>0</v>
      </c>
      <c r="F42" s="638">
        <f>F29-F36</f>
        <v>0</v>
      </c>
    </row>
    <row r="43" spans="2:6" s="143" customFormat="1" ht="15" customHeight="1" x14ac:dyDescent="0.2">
      <c r="B43" s="444" t="s">
        <v>3650</v>
      </c>
      <c r="C43" s="520">
        <v>18</v>
      </c>
      <c r="D43" s="150" t="s">
        <v>3377</v>
      </c>
      <c r="E43" s="635">
        <f>E30</f>
        <v>0</v>
      </c>
      <c r="F43" s="638">
        <f>F30</f>
        <v>0</v>
      </c>
    </row>
    <row r="44" spans="2:6" s="143" customFormat="1" ht="15" customHeight="1" x14ac:dyDescent="0.2">
      <c r="B44" s="60" t="s">
        <v>3651</v>
      </c>
      <c r="C44" s="397">
        <v>19</v>
      </c>
      <c r="D44" s="150" t="s">
        <v>1220</v>
      </c>
      <c r="E44" s="635">
        <f>E31-E37</f>
        <v>0</v>
      </c>
      <c r="F44" s="638">
        <f>F31-F37</f>
        <v>0</v>
      </c>
    </row>
    <row r="45" spans="2:6" ht="15" customHeight="1" thickBot="1" x14ac:dyDescent="0.25">
      <c r="B45" s="426" t="s">
        <v>3652</v>
      </c>
      <c r="C45" s="812" t="s">
        <v>3379</v>
      </c>
      <c r="D45" s="813"/>
      <c r="E45" s="241">
        <f>SUM(E41:E44)</f>
        <v>0</v>
      </c>
      <c r="F45" s="242">
        <f>SUM(F41:F44)</f>
        <v>0</v>
      </c>
    </row>
    <row r="46" spans="2:6" ht="15" customHeight="1" x14ac:dyDescent="0.2">
      <c r="B46" s="176"/>
      <c r="C46" s="518"/>
    </row>
    <row r="47" spans="2:6" ht="15" customHeight="1" x14ac:dyDescent="0.2">
      <c r="B47" s="79"/>
      <c r="C47" s="627"/>
    </row>
    <row r="48" spans="2:6" x14ac:dyDescent="0.3">
      <c r="C48" s="782"/>
      <c r="D48" s="782"/>
      <c r="E48" s="782"/>
      <c r="F48" s="782"/>
    </row>
    <row r="49" spans="3:6" x14ac:dyDescent="0.2">
      <c r="C49" s="785"/>
      <c r="D49" s="785"/>
      <c r="E49" s="785"/>
      <c r="F49" s="785"/>
    </row>
    <row r="50" spans="3:6" x14ac:dyDescent="0.3">
      <c r="C50" s="782"/>
      <c r="D50" s="782"/>
      <c r="E50" s="782"/>
      <c r="F50" s="782"/>
    </row>
    <row r="51" spans="3:6" x14ac:dyDescent="0.2">
      <c r="C51" s="785"/>
      <c r="D51" s="785"/>
      <c r="E51" s="785"/>
      <c r="F51" s="785"/>
    </row>
    <row r="52" spans="3:6" x14ac:dyDescent="0.3">
      <c r="C52" s="782"/>
      <c r="D52" s="782"/>
      <c r="E52" s="782"/>
      <c r="F52" s="782"/>
    </row>
    <row r="53" spans="3:6" x14ac:dyDescent="0.2">
      <c r="C53" s="785"/>
      <c r="D53" s="785"/>
      <c r="E53" s="785"/>
      <c r="F53" s="785"/>
    </row>
  </sheetData>
  <customSheetViews>
    <customSheetView guid="{F18E25A1-ACAC-4BA2-9084-15C64EADD71F}" fitToPage="1" topLeftCell="A13">
      <selection activeCell="D46" sqref="D46"/>
      <pageMargins left="0.35" right="0.39" top="0.22" bottom="0.28999999999999998" header="0.5" footer="0.28999999999999998"/>
      <pageSetup paperSize="9" scale="89" fitToHeight="2" orientation="portrait" horizontalDpi="300" verticalDpi="300" r:id="rId1"/>
      <headerFooter alignWithMargins="0"/>
    </customSheetView>
    <customSheetView guid="{42441662-3193-455A-AAAC-E0697E2ED236}" showPageBreaks="1" fitToPage="1" topLeftCell="A22">
      <selection activeCell="B15" sqref="B15"/>
      <pageMargins left="0.35" right="0.39" top="0.22" bottom="0.28999999999999998" header="0.5" footer="0.28999999999999998"/>
      <pageSetup paperSize="9" scale="89" fitToHeight="2" orientation="portrait" horizontalDpi="300" verticalDpi="300" r:id="rId2"/>
      <headerFooter alignWithMargins="0"/>
    </customSheetView>
    <customSheetView guid="{AB1DC9E9-A3E4-4BE0-8A49-B02D340E9D12}" fitToPage="1" topLeftCell="A28">
      <selection activeCell="B5" sqref="B5"/>
      <pageMargins left="0.35" right="0.39" top="0.22" bottom="0.28999999999999998" header="0.5" footer="0.28999999999999998"/>
      <pageSetup paperSize="9" scale="89" fitToHeight="2" orientation="portrait" horizontalDpi="300" verticalDpi="300" r:id="rId3"/>
      <headerFooter alignWithMargins="0"/>
    </customSheetView>
    <customSheetView guid="{BC7A4191-54CC-4009-AB21-42ED557A5091}" showPageBreaks="1" fitToPage="1" showRuler="0">
      <selection activeCell="B1" sqref="B1:D1"/>
      <pageMargins left="0.35" right="0.39" top="0.22" bottom="0.28999999999999998" header="0.5" footer="0.28999999999999998"/>
      <pageSetup paperSize="9" scale="89" fitToHeight="2" orientation="portrait" horizontalDpi="300" verticalDpi="300" r:id="rId4"/>
      <headerFooter alignWithMargins="0"/>
    </customSheetView>
  </customSheetViews>
  <mergeCells count="27">
    <mergeCell ref="C51:F51"/>
    <mergeCell ref="C52:F52"/>
    <mergeCell ref="C53:F53"/>
    <mergeCell ref="C8:F8"/>
    <mergeCell ref="B1:C1"/>
    <mergeCell ref="C4:F4"/>
    <mergeCell ref="E5:F5"/>
    <mergeCell ref="E1:F1"/>
    <mergeCell ref="B2:F2"/>
    <mergeCell ref="C26:F26"/>
    <mergeCell ref="C18:D18"/>
    <mergeCell ref="C24:D24"/>
    <mergeCell ref="C32:D32"/>
    <mergeCell ref="C27:F27"/>
    <mergeCell ref="C33:F33"/>
    <mergeCell ref="C34:F34"/>
    <mergeCell ref="C50:F50"/>
    <mergeCell ref="C9:F9"/>
    <mergeCell ref="C40:F40"/>
    <mergeCell ref="C39:F39"/>
    <mergeCell ref="C15:F15"/>
    <mergeCell ref="C13:D13"/>
    <mergeCell ref="C38:D38"/>
    <mergeCell ref="C45:D45"/>
    <mergeCell ref="C20:F20"/>
    <mergeCell ref="C48:F48"/>
    <mergeCell ref="C49:F49"/>
  </mergeCells>
  <phoneticPr fontId="3" type="noConversion"/>
  <printOptions horizontalCentered="1"/>
  <pageMargins left="0.2" right="0.2" top="0.26" bottom="0.2" header="0.17" footer="0.17"/>
  <pageSetup paperSize="9" scale="86" fitToHeight="2" orientation="portrait" horizontalDpi="300" verticalDpi="300" r:id="rId5"/>
  <headerFooter alignWithMargins="0"/>
  <ignoredErrors>
    <ignoredError sqref="B10:B24"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B1:G37"/>
  <sheetViews>
    <sheetView showGridLines="0" zoomScale="90" zoomScaleNormal="90" workbookViewId="0">
      <pane ySplit="6" topLeftCell="A7" activePane="bottomLeft" state="frozen"/>
      <selection activeCell="C120" sqref="C120"/>
      <selection pane="bottomLeft" activeCell="H23" sqref="H23"/>
    </sheetView>
  </sheetViews>
  <sheetFormatPr defaultColWidth="9.140625" defaultRowHeight="15" x14ac:dyDescent="0.3"/>
  <cols>
    <col min="1" max="1" width="2" style="5" customWidth="1"/>
    <col min="2" max="2" width="11.28515625" style="5" customWidth="1"/>
    <col min="3" max="3" width="5.85546875" style="5" customWidth="1"/>
    <col min="4" max="4" width="72.140625" style="5" customWidth="1"/>
    <col min="5" max="6" width="16.140625" style="5" customWidth="1"/>
    <col min="7" max="16384" width="9.140625" style="5"/>
  </cols>
  <sheetData>
    <row r="1" spans="2:6" x14ac:dyDescent="0.3">
      <c r="B1" s="799" t="s">
        <v>315</v>
      </c>
      <c r="C1" s="799"/>
      <c r="D1" s="42"/>
      <c r="E1" s="791" t="s">
        <v>1221</v>
      </c>
      <c r="F1" s="791"/>
    </row>
    <row r="2" spans="2:6" x14ac:dyDescent="0.3">
      <c r="B2" s="799" t="s">
        <v>1209</v>
      </c>
      <c r="C2" s="799"/>
      <c r="D2" s="799"/>
      <c r="E2" s="799"/>
      <c r="F2" s="799"/>
    </row>
    <row r="3" spans="2:6" x14ac:dyDescent="0.3">
      <c r="C3" s="6"/>
    </row>
    <row r="4" spans="2:6" s="51" customFormat="1" ht="18" x14ac:dyDescent="0.2">
      <c r="B4" s="90"/>
      <c r="C4" s="843" t="s">
        <v>232</v>
      </c>
      <c r="D4" s="843"/>
      <c r="E4" s="843"/>
      <c r="F4" s="843"/>
    </row>
    <row r="5" spans="2:6" ht="15.75" thickBot="1" x14ac:dyDescent="0.35">
      <c r="C5" s="12"/>
      <c r="D5" s="17"/>
      <c r="E5" s="802" t="s">
        <v>323</v>
      </c>
      <c r="F5" s="802"/>
    </row>
    <row r="6" spans="2:6" s="54" customFormat="1" ht="45.75" thickBot="1" x14ac:dyDescent="0.25">
      <c r="B6" s="509" t="s">
        <v>4627</v>
      </c>
      <c r="C6" s="492" t="s">
        <v>1211</v>
      </c>
      <c r="D6" s="415"/>
      <c r="E6" s="416" t="s">
        <v>322</v>
      </c>
      <c r="F6" s="417" t="s">
        <v>333</v>
      </c>
    </row>
    <row r="7" spans="2:6" s="4" customFormat="1" ht="9" customHeight="1" x14ac:dyDescent="0.3">
      <c r="C7" s="12"/>
      <c r="D7" s="17"/>
      <c r="E7" s="53"/>
      <c r="F7" s="53"/>
    </row>
    <row r="8" spans="2:6" s="4" customFormat="1" ht="15" customHeight="1" x14ac:dyDescent="0.3">
      <c r="C8" s="842" t="s">
        <v>2</v>
      </c>
      <c r="D8" s="842"/>
      <c r="E8" s="842"/>
      <c r="F8" s="842"/>
    </row>
    <row r="9" spans="2:6" s="79" customFormat="1" ht="15" customHeight="1" thickBot="1" x14ac:dyDescent="0.25">
      <c r="C9" s="839" t="s">
        <v>3327</v>
      </c>
      <c r="D9" s="839"/>
      <c r="E9" s="839"/>
      <c r="F9" s="839"/>
    </row>
    <row r="10" spans="2:6" s="79" customFormat="1" ht="15" customHeight="1" x14ac:dyDescent="0.2">
      <c r="B10" s="418" t="s">
        <v>3628</v>
      </c>
      <c r="C10" s="497">
        <v>1</v>
      </c>
      <c r="D10" s="493" t="s">
        <v>230</v>
      </c>
      <c r="E10" s="660"/>
      <c r="F10" s="661"/>
    </row>
    <row r="11" spans="2:6" s="79" customFormat="1" ht="15" customHeight="1" x14ac:dyDescent="0.2">
      <c r="B11" s="60" t="s">
        <v>3629</v>
      </c>
      <c r="C11" s="425">
        <v>2</v>
      </c>
      <c r="D11" s="131" t="s">
        <v>227</v>
      </c>
      <c r="E11" s="170"/>
      <c r="F11" s="171"/>
    </row>
    <row r="12" spans="2:6" s="79" customFormat="1" ht="15" customHeight="1" x14ac:dyDescent="0.2">
      <c r="B12" s="60" t="s">
        <v>3630</v>
      </c>
      <c r="C12" s="425">
        <v>3</v>
      </c>
      <c r="D12" s="131" t="s">
        <v>228</v>
      </c>
      <c r="E12" s="170"/>
      <c r="F12" s="171"/>
    </row>
    <row r="13" spans="2:6" s="79" customFormat="1" ht="15" customHeight="1" thickBot="1" x14ac:dyDescent="0.25">
      <c r="B13" s="491" t="s">
        <v>3631</v>
      </c>
      <c r="C13" s="812" t="s">
        <v>3380</v>
      </c>
      <c r="D13" s="813"/>
      <c r="E13" s="662">
        <f>E10+E11+E12</f>
        <v>0</v>
      </c>
      <c r="F13" s="663">
        <f>F10+F11+F12</f>
        <v>0</v>
      </c>
    </row>
    <row r="14" spans="2:6" s="30" customFormat="1" ht="9" customHeight="1" x14ac:dyDescent="0.2">
      <c r="C14" s="9"/>
      <c r="D14" s="17"/>
      <c r="E14" s="136"/>
      <c r="F14" s="136"/>
    </row>
    <row r="15" spans="2:6" s="79" customFormat="1" ht="15" customHeight="1" thickBot="1" x14ac:dyDescent="0.25">
      <c r="C15" s="839" t="s">
        <v>3328</v>
      </c>
      <c r="D15" s="839"/>
      <c r="E15" s="839"/>
      <c r="F15" s="839"/>
    </row>
    <row r="16" spans="2:6" s="79" customFormat="1" ht="15" customHeight="1" x14ac:dyDescent="0.2">
      <c r="B16" s="418" t="s">
        <v>3632</v>
      </c>
      <c r="C16" s="497">
        <v>4</v>
      </c>
      <c r="D16" s="493" t="s">
        <v>229</v>
      </c>
      <c r="E16" s="660"/>
      <c r="F16" s="661"/>
    </row>
    <row r="17" spans="2:7" s="79" customFormat="1" ht="15" customHeight="1" thickBot="1" x14ac:dyDescent="0.25">
      <c r="B17" s="491" t="s">
        <v>3633</v>
      </c>
      <c r="C17" s="812" t="s">
        <v>3381</v>
      </c>
      <c r="D17" s="813"/>
      <c r="E17" s="662">
        <f>SUM(E16:E16)</f>
        <v>0</v>
      </c>
      <c r="F17" s="663">
        <f>SUM(F16:F16)</f>
        <v>0</v>
      </c>
    </row>
    <row r="18" spans="2:7" s="30" customFormat="1" ht="9" customHeight="1" x14ac:dyDescent="0.2">
      <c r="C18" s="9"/>
      <c r="D18" s="17"/>
      <c r="E18" s="136"/>
      <c r="F18" s="136"/>
    </row>
    <row r="19" spans="2:7" s="79" customFormat="1" ht="15" customHeight="1" x14ac:dyDescent="0.2">
      <c r="C19" s="842" t="s">
        <v>93</v>
      </c>
      <c r="D19" s="842"/>
      <c r="E19" s="842"/>
      <c r="F19" s="842"/>
    </row>
    <row r="20" spans="2:7" s="148" customFormat="1" ht="15" customHeight="1" thickBot="1" x14ac:dyDescent="0.25">
      <c r="C20" s="839" t="s">
        <v>154</v>
      </c>
      <c r="D20" s="839"/>
      <c r="E20" s="839"/>
      <c r="F20" s="839"/>
    </row>
    <row r="21" spans="2:7" s="79" customFormat="1" ht="15" customHeight="1" x14ac:dyDescent="0.2">
      <c r="B21" s="418" t="s">
        <v>3634</v>
      </c>
      <c r="C21" s="497">
        <v>5</v>
      </c>
      <c r="D21" s="493" t="s">
        <v>230</v>
      </c>
      <c r="E21" s="660"/>
      <c r="F21" s="661"/>
    </row>
    <row r="22" spans="2:7" s="79" customFormat="1" ht="15" customHeight="1" x14ac:dyDescent="0.2">
      <c r="B22" s="60" t="s">
        <v>3635</v>
      </c>
      <c r="C22" s="425">
        <v>6</v>
      </c>
      <c r="D22" s="131" t="s">
        <v>227</v>
      </c>
      <c r="E22" s="170"/>
      <c r="F22" s="171"/>
    </row>
    <row r="23" spans="2:7" s="79" customFormat="1" ht="15" customHeight="1" x14ac:dyDescent="0.2">
      <c r="B23" s="60" t="s">
        <v>3636</v>
      </c>
      <c r="C23" s="425">
        <v>7</v>
      </c>
      <c r="D23" s="131" t="s">
        <v>228</v>
      </c>
      <c r="E23" s="170"/>
      <c r="F23" s="171"/>
    </row>
    <row r="24" spans="2:7" s="79" customFormat="1" ht="15" customHeight="1" thickBot="1" x14ac:dyDescent="0.25">
      <c r="B24" s="491" t="s">
        <v>3637</v>
      </c>
      <c r="C24" s="812" t="s">
        <v>3382</v>
      </c>
      <c r="D24" s="813"/>
      <c r="E24" s="662">
        <f>SUM(E21:E23)</f>
        <v>0</v>
      </c>
      <c r="F24" s="663">
        <f>SUM(F21:F23)</f>
        <v>0</v>
      </c>
    </row>
    <row r="25" spans="2:7" s="79" customFormat="1" ht="9" customHeight="1" x14ac:dyDescent="0.2">
      <c r="C25" s="840"/>
      <c r="D25" s="840"/>
      <c r="E25" s="840"/>
      <c r="F25" s="840"/>
    </row>
    <row r="26" spans="2:7" s="148" customFormat="1" ht="15" customHeight="1" thickBot="1" x14ac:dyDescent="0.25">
      <c r="C26" s="839" t="s">
        <v>231</v>
      </c>
      <c r="D26" s="839"/>
      <c r="E26" s="839"/>
      <c r="F26" s="839"/>
    </row>
    <row r="27" spans="2:7" s="79" customFormat="1" ht="15" customHeight="1" x14ac:dyDescent="0.2">
      <c r="B27" s="418" t="s">
        <v>3638</v>
      </c>
      <c r="C27" s="497">
        <v>8</v>
      </c>
      <c r="D27" s="493" t="s">
        <v>229</v>
      </c>
      <c r="E27" s="660"/>
      <c r="F27" s="661"/>
      <c r="G27" s="30"/>
    </row>
    <row r="28" spans="2:7" s="79" customFormat="1" ht="15" customHeight="1" thickBot="1" x14ac:dyDescent="0.25">
      <c r="B28" s="491" t="s">
        <v>3639</v>
      </c>
      <c r="C28" s="812" t="s">
        <v>3383</v>
      </c>
      <c r="D28" s="813"/>
      <c r="E28" s="662">
        <f>SUM(E27:E27)</f>
        <v>0</v>
      </c>
      <c r="F28" s="663">
        <f>SUM(F27:F27)</f>
        <v>0</v>
      </c>
    </row>
    <row r="29" spans="2:7" s="79" customFormat="1" ht="15" customHeight="1" x14ac:dyDescent="0.2"/>
    <row r="30" spans="2:7" s="79" customFormat="1" ht="15" customHeight="1" x14ac:dyDescent="0.2"/>
    <row r="31" spans="2:7" x14ac:dyDescent="0.3">
      <c r="C31" s="782"/>
      <c r="D31" s="782"/>
      <c r="E31" s="782"/>
      <c r="F31" s="782"/>
    </row>
    <row r="32" spans="2:7" x14ac:dyDescent="0.3">
      <c r="C32" s="785"/>
      <c r="D32" s="785"/>
      <c r="E32" s="785"/>
      <c r="F32" s="785"/>
    </row>
    <row r="33" spans="3:6" x14ac:dyDescent="0.3">
      <c r="C33" s="782"/>
      <c r="D33" s="782"/>
      <c r="E33" s="782"/>
      <c r="F33" s="782"/>
    </row>
    <row r="34" spans="3:6" x14ac:dyDescent="0.3">
      <c r="C34" s="785"/>
      <c r="D34" s="785"/>
      <c r="E34" s="785"/>
      <c r="F34" s="785"/>
    </row>
    <row r="35" spans="3:6" x14ac:dyDescent="0.3">
      <c r="C35" s="782"/>
      <c r="D35" s="782"/>
      <c r="E35" s="782"/>
      <c r="F35" s="782"/>
    </row>
    <row r="36" spans="3:6" x14ac:dyDescent="0.3">
      <c r="C36" s="785"/>
      <c r="D36" s="785"/>
      <c r="E36" s="785"/>
      <c r="F36" s="785"/>
    </row>
    <row r="37" spans="3:6" ht="15" customHeight="1" x14ac:dyDescent="0.3"/>
  </sheetData>
  <mergeCells count="22">
    <mergeCell ref="C36:F36"/>
    <mergeCell ref="B1:C1"/>
    <mergeCell ref="C13:D13"/>
    <mergeCell ref="C17:D17"/>
    <mergeCell ref="C24:D24"/>
    <mergeCell ref="C28:D28"/>
    <mergeCell ref="C15:F15"/>
    <mergeCell ref="C19:F19"/>
    <mergeCell ref="C25:F25"/>
    <mergeCell ref="C26:F26"/>
    <mergeCell ref="C20:F20"/>
    <mergeCell ref="E1:F1"/>
    <mergeCell ref="C4:F4"/>
    <mergeCell ref="E5:F5"/>
    <mergeCell ref="C8:F8"/>
    <mergeCell ref="B2:F2"/>
    <mergeCell ref="C35:F35"/>
    <mergeCell ref="C9:F9"/>
    <mergeCell ref="C31:F31"/>
    <mergeCell ref="C32:F32"/>
    <mergeCell ref="C33:F33"/>
    <mergeCell ref="C34:F34"/>
  </mergeCells>
  <phoneticPr fontId="14" type="noConversion"/>
  <printOptions horizontalCentered="1"/>
  <pageMargins left="0.2" right="0.2" top="0.26" bottom="0.2" header="0.17" footer="0.17"/>
  <pageSetup scale="85" orientation="portrait" r:id="rId1"/>
  <ignoredErrors>
    <ignoredError sqref="B10:B11 B14:B28 B12:B13"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B1:M26"/>
  <sheetViews>
    <sheetView showGridLines="0" zoomScale="90" zoomScaleNormal="90" workbookViewId="0">
      <selection activeCell="L20" sqref="L20"/>
    </sheetView>
  </sheetViews>
  <sheetFormatPr defaultColWidth="9.140625" defaultRowHeight="15" x14ac:dyDescent="0.3"/>
  <cols>
    <col min="1" max="1" width="2" style="5" customWidth="1"/>
    <col min="2" max="2" width="11.28515625" style="5" customWidth="1"/>
    <col min="3" max="3" width="3.7109375" style="16" customWidth="1"/>
    <col min="4" max="4" width="41.7109375" style="5" customWidth="1"/>
    <col min="5" max="6" width="15" style="5" customWidth="1"/>
    <col min="7" max="7" width="15.7109375" style="5" customWidth="1"/>
    <col min="8" max="10" width="17.42578125" style="5" customWidth="1"/>
    <col min="11" max="12" width="16" style="5" customWidth="1"/>
    <col min="13" max="16384" width="9.140625" style="5"/>
  </cols>
  <sheetData>
    <row r="1" spans="2:13" ht="15" customHeight="1" x14ac:dyDescent="0.3">
      <c r="B1" s="799" t="s">
        <v>315</v>
      </c>
      <c r="C1" s="799"/>
      <c r="D1" s="42"/>
      <c r="E1" s="42"/>
      <c r="K1" s="791" t="s">
        <v>1222</v>
      </c>
      <c r="L1" s="791"/>
    </row>
    <row r="2" spans="2:13" ht="15" customHeight="1" x14ac:dyDescent="0.3">
      <c r="B2" s="799" t="s">
        <v>1209</v>
      </c>
      <c r="C2" s="799"/>
      <c r="D2" s="799"/>
      <c r="E2" s="799"/>
      <c r="F2" s="799"/>
      <c r="G2" s="799"/>
      <c r="H2" s="799"/>
      <c r="I2" s="799"/>
      <c r="J2" s="799"/>
      <c r="K2" s="799"/>
      <c r="L2" s="799"/>
    </row>
    <row r="3" spans="2:13" ht="15" customHeight="1" x14ac:dyDescent="0.3">
      <c r="C3" s="21"/>
    </row>
    <row r="4" spans="2:13" s="76" customFormat="1" ht="15" customHeight="1" x14ac:dyDescent="0.35">
      <c r="B4" s="180"/>
      <c r="C4" s="852" t="s">
        <v>2825</v>
      </c>
      <c r="D4" s="852"/>
      <c r="E4" s="852"/>
      <c r="F4" s="852"/>
      <c r="G4" s="852"/>
      <c r="H4" s="852"/>
      <c r="I4" s="852"/>
      <c r="J4" s="852"/>
      <c r="K4" s="852"/>
      <c r="L4" s="852"/>
    </row>
    <row r="5" spans="2:13" ht="15" customHeight="1" thickBot="1" x14ac:dyDescent="0.35">
      <c r="K5" s="802" t="s">
        <v>323</v>
      </c>
      <c r="L5" s="802"/>
    </row>
    <row r="6" spans="2:13" s="182" customFormat="1" ht="45.75" customHeight="1" thickBot="1" x14ac:dyDescent="0.25">
      <c r="B6" s="481" t="s">
        <v>4627</v>
      </c>
      <c r="C6" s="492" t="s">
        <v>1211</v>
      </c>
      <c r="D6" s="415"/>
      <c r="E6" s="522" t="s">
        <v>164</v>
      </c>
      <c r="F6" s="522" t="s">
        <v>158</v>
      </c>
      <c r="G6" s="522" t="s">
        <v>155</v>
      </c>
      <c r="H6" s="522" t="s">
        <v>161</v>
      </c>
      <c r="I6" s="522" t="s">
        <v>168</v>
      </c>
      <c r="J6" s="522" t="s">
        <v>159</v>
      </c>
      <c r="K6" s="522" t="s">
        <v>302</v>
      </c>
      <c r="L6" s="523" t="s">
        <v>235</v>
      </c>
      <c r="M6" s="183"/>
    </row>
    <row r="7" spans="2:13" s="10" customFormat="1" ht="9" customHeight="1" thickBot="1" x14ac:dyDescent="0.35">
      <c r="C7" s="12"/>
      <c r="E7" s="181"/>
      <c r="F7" s="181"/>
      <c r="G7" s="181"/>
      <c r="H7" s="181"/>
      <c r="I7" s="181"/>
      <c r="J7" s="181"/>
      <c r="K7" s="181"/>
      <c r="L7" s="181"/>
    </row>
    <row r="8" spans="2:13" ht="15" customHeight="1" x14ac:dyDescent="0.3">
      <c r="B8" s="418" t="s">
        <v>3628</v>
      </c>
      <c r="C8" s="846" t="s">
        <v>157</v>
      </c>
      <c r="D8" s="847"/>
      <c r="E8" s="847"/>
      <c r="F8" s="847"/>
      <c r="G8" s="847"/>
      <c r="H8" s="847"/>
      <c r="I8" s="847"/>
      <c r="J8" s="847"/>
      <c r="K8" s="847"/>
      <c r="L8" s="848"/>
    </row>
    <row r="9" spans="2:13" ht="15" customHeight="1" x14ac:dyDescent="0.3">
      <c r="B9" s="60" t="s">
        <v>3629</v>
      </c>
      <c r="C9" s="524">
        <v>1</v>
      </c>
      <c r="D9" s="184" t="s">
        <v>165</v>
      </c>
      <c r="E9" s="71"/>
      <c r="F9" s="71"/>
      <c r="G9" s="71"/>
      <c r="H9" s="71"/>
      <c r="I9" s="71"/>
      <c r="J9" s="71"/>
      <c r="K9" s="71"/>
      <c r="L9" s="289">
        <f>E9+F9+G9+H9+I9+J9+K9</f>
        <v>0</v>
      </c>
    </row>
    <row r="10" spans="2:13" ht="15" customHeight="1" x14ac:dyDescent="0.3">
      <c r="B10" s="60" t="s">
        <v>3630</v>
      </c>
      <c r="C10" s="849" t="s">
        <v>162</v>
      </c>
      <c r="D10" s="850"/>
      <c r="E10" s="850"/>
      <c r="F10" s="850"/>
      <c r="G10" s="850"/>
      <c r="H10" s="850"/>
      <c r="I10" s="850"/>
      <c r="J10" s="850"/>
      <c r="K10" s="850"/>
      <c r="L10" s="851"/>
    </row>
    <row r="11" spans="2:13" ht="15" customHeight="1" x14ac:dyDescent="0.3">
      <c r="B11" s="60" t="s">
        <v>3631</v>
      </c>
      <c r="C11" s="524">
        <v>2</v>
      </c>
      <c r="D11" s="184" t="s">
        <v>165</v>
      </c>
      <c r="E11" s="71"/>
      <c r="F11" s="71"/>
      <c r="G11" s="71"/>
      <c r="H11" s="71"/>
      <c r="I11" s="71"/>
      <c r="J11" s="71"/>
      <c r="K11" s="71"/>
      <c r="L11" s="289">
        <f>E11+F11+G11+H11+I11+J11+K11</f>
        <v>0</v>
      </c>
    </row>
    <row r="12" spans="2:13" s="144" customFormat="1" x14ac:dyDescent="0.2">
      <c r="B12" s="60" t="s">
        <v>3632</v>
      </c>
      <c r="C12" s="525">
        <v>3</v>
      </c>
      <c r="D12" s="255" t="s">
        <v>2826</v>
      </c>
      <c r="E12" s="253">
        <f>E9-E11</f>
        <v>0</v>
      </c>
      <c r="F12" s="253">
        <f t="shared" ref="F12:L12" si="0">F9-F11</f>
        <v>0</v>
      </c>
      <c r="G12" s="253">
        <f t="shared" si="0"/>
        <v>0</v>
      </c>
      <c r="H12" s="253">
        <f t="shared" si="0"/>
        <v>0</v>
      </c>
      <c r="I12" s="253">
        <f t="shared" si="0"/>
        <v>0</v>
      </c>
      <c r="J12" s="253">
        <f t="shared" si="0"/>
        <v>0</v>
      </c>
      <c r="K12" s="253">
        <f t="shared" si="0"/>
        <v>0</v>
      </c>
      <c r="L12" s="254">
        <f t="shared" si="0"/>
        <v>0</v>
      </c>
    </row>
    <row r="13" spans="2:13" ht="15" customHeight="1" x14ac:dyDescent="0.3">
      <c r="B13" s="60" t="s">
        <v>3633</v>
      </c>
      <c r="C13" s="524">
        <v>4</v>
      </c>
      <c r="D13" s="184" t="s">
        <v>163</v>
      </c>
      <c r="E13" s="71"/>
      <c r="F13" s="71"/>
      <c r="G13" s="71"/>
      <c r="H13" s="71"/>
      <c r="I13" s="71"/>
      <c r="J13" s="71"/>
      <c r="K13" s="71"/>
      <c r="L13" s="289">
        <f>E13+F13+G13+H13+I13+J13+K13</f>
        <v>0</v>
      </c>
    </row>
    <row r="14" spans="2:13" ht="15" customHeight="1" x14ac:dyDescent="0.3">
      <c r="B14" s="60" t="s">
        <v>3634</v>
      </c>
      <c r="C14" s="524">
        <v>5</v>
      </c>
      <c r="D14" s="184" t="s">
        <v>160</v>
      </c>
      <c r="E14" s="71"/>
      <c r="F14" s="71"/>
      <c r="G14" s="71"/>
      <c r="H14" s="71"/>
      <c r="I14" s="71"/>
      <c r="J14" s="71"/>
      <c r="K14" s="71"/>
      <c r="L14" s="289">
        <f>E14+F14+G14+H14+I14+J14+K14</f>
        <v>0</v>
      </c>
    </row>
    <row r="15" spans="2:13" ht="15" customHeight="1" x14ac:dyDescent="0.3">
      <c r="B15" s="60" t="s">
        <v>3635</v>
      </c>
      <c r="C15" s="524">
        <v>6</v>
      </c>
      <c r="D15" s="184" t="s">
        <v>166</v>
      </c>
      <c r="E15" s="71"/>
      <c r="F15" s="71"/>
      <c r="G15" s="71"/>
      <c r="H15" s="71"/>
      <c r="I15" s="71"/>
      <c r="J15" s="71"/>
      <c r="K15" s="71"/>
      <c r="L15" s="289">
        <f>E15+F15+G15+H15+I15+J15+K15</f>
        <v>0</v>
      </c>
    </row>
    <row r="16" spans="2:13" ht="15" customHeight="1" x14ac:dyDescent="0.3">
      <c r="B16" s="60" t="s">
        <v>3636</v>
      </c>
      <c r="C16" s="524">
        <v>7</v>
      </c>
      <c r="D16" s="184" t="s">
        <v>156</v>
      </c>
      <c r="E16" s="71"/>
      <c r="F16" s="71"/>
      <c r="G16" s="71"/>
      <c r="H16" s="71"/>
      <c r="I16" s="71"/>
      <c r="J16" s="71"/>
      <c r="K16" s="71"/>
      <c r="L16" s="289">
        <f>E16+F16+G16+H16+I16+J16+K16</f>
        <v>0</v>
      </c>
    </row>
    <row r="17" spans="2:12" ht="15" customHeight="1" x14ac:dyDescent="0.3">
      <c r="B17" s="60" t="s">
        <v>3637</v>
      </c>
      <c r="C17" s="524">
        <v>8</v>
      </c>
      <c r="D17" s="184" t="s">
        <v>169</v>
      </c>
      <c r="E17" s="71"/>
      <c r="F17" s="71"/>
      <c r="G17" s="71"/>
      <c r="H17" s="71"/>
      <c r="I17" s="71"/>
      <c r="J17" s="71"/>
      <c r="K17" s="71"/>
      <c r="L17" s="289">
        <f>E17+F17+G17+H17+I17+J17+K17</f>
        <v>0</v>
      </c>
    </row>
    <row r="18" spans="2:12" s="144" customFormat="1" ht="15.75" thickBot="1" x14ac:dyDescent="0.25">
      <c r="B18" s="491" t="s">
        <v>3638</v>
      </c>
      <c r="C18" s="526">
        <v>9</v>
      </c>
      <c r="D18" s="256" t="s">
        <v>2827</v>
      </c>
      <c r="E18" s="257">
        <f t="shared" ref="E18:L18" si="1">E12+E13+E14-E15+E16-E17</f>
        <v>0</v>
      </c>
      <c r="F18" s="257">
        <f t="shared" si="1"/>
        <v>0</v>
      </c>
      <c r="G18" s="257">
        <f t="shared" si="1"/>
        <v>0</v>
      </c>
      <c r="H18" s="257">
        <f t="shared" si="1"/>
        <v>0</v>
      </c>
      <c r="I18" s="257">
        <f t="shared" si="1"/>
        <v>0</v>
      </c>
      <c r="J18" s="257">
        <f t="shared" si="1"/>
        <v>0</v>
      </c>
      <c r="K18" s="257">
        <f t="shared" si="1"/>
        <v>0</v>
      </c>
      <c r="L18" s="258">
        <f t="shared" si="1"/>
        <v>0</v>
      </c>
    </row>
    <row r="19" spans="2:12" x14ac:dyDescent="0.3">
      <c r="C19" s="12"/>
      <c r="D19" s="178"/>
      <c r="E19" s="179"/>
      <c r="F19" s="179"/>
      <c r="G19" s="179"/>
      <c r="H19" s="179"/>
      <c r="I19" s="179"/>
      <c r="J19" s="179"/>
      <c r="K19" s="179"/>
      <c r="L19" s="40"/>
    </row>
    <row r="20" spans="2:12" x14ac:dyDescent="0.3">
      <c r="C20" s="12"/>
      <c r="D20" s="178"/>
      <c r="E20" s="179"/>
      <c r="F20" s="179"/>
      <c r="G20" s="179"/>
      <c r="H20" s="179"/>
      <c r="I20" s="179"/>
      <c r="J20" s="179"/>
      <c r="K20" s="179"/>
      <c r="L20" s="40"/>
    </row>
    <row r="21" spans="2:12" x14ac:dyDescent="0.3">
      <c r="C21" s="782"/>
      <c r="D21" s="782"/>
      <c r="E21" s="782"/>
      <c r="F21" s="782"/>
      <c r="G21" s="782"/>
      <c r="H21" s="782"/>
    </row>
    <row r="22" spans="2:12" x14ac:dyDescent="0.3">
      <c r="C22" s="845"/>
      <c r="D22" s="845"/>
      <c r="E22" s="845"/>
      <c r="F22" s="845"/>
      <c r="G22" s="845"/>
      <c r="H22" s="845"/>
    </row>
    <row r="23" spans="2:12" x14ac:dyDescent="0.3">
      <c r="C23" s="782"/>
      <c r="D23" s="782"/>
      <c r="E23" s="782"/>
      <c r="F23" s="782"/>
      <c r="G23" s="782"/>
      <c r="H23" s="782"/>
    </row>
    <row r="24" spans="2:12" x14ac:dyDescent="0.3">
      <c r="C24" s="845"/>
      <c r="D24" s="845"/>
      <c r="E24" s="845"/>
      <c r="F24" s="845"/>
      <c r="G24" s="845"/>
      <c r="H24" s="845"/>
    </row>
    <row r="25" spans="2:12" x14ac:dyDescent="0.3">
      <c r="C25" s="782"/>
      <c r="D25" s="782"/>
      <c r="E25" s="782"/>
      <c r="F25" s="782"/>
      <c r="G25" s="782"/>
      <c r="H25" s="782"/>
    </row>
    <row r="26" spans="2:12" x14ac:dyDescent="0.3">
      <c r="C26" s="845"/>
      <c r="D26" s="845"/>
      <c r="E26" s="845"/>
      <c r="F26" s="845"/>
      <c r="G26" s="845"/>
      <c r="H26" s="845"/>
    </row>
  </sheetData>
  <customSheetViews>
    <customSheetView guid="{F18E25A1-ACAC-4BA2-9084-15C64EADD71F}" fitToPage="1" topLeftCell="A13">
      <selection activeCell="C22" sqref="C22"/>
      <pageMargins left="0.3" right="0.19" top="0.63" bottom="0.25" header="0.5" footer="0.5"/>
      <pageSetup scale="73" fitToHeight="2" orientation="landscape" r:id="rId1"/>
      <headerFooter alignWithMargins="0"/>
    </customSheetView>
    <customSheetView guid="{42441662-3193-455A-AAAC-E0697E2ED236}" showPageBreaks="1" fitToPage="1">
      <selection activeCell="D33" sqref="D33"/>
      <pageMargins left="0.3" right="0.19" top="0.63" bottom="0.25" header="0.5" footer="0.5"/>
      <pageSetup scale="73" fitToHeight="2" orientation="landscape" r:id="rId2"/>
      <headerFooter alignWithMargins="0"/>
    </customSheetView>
    <customSheetView guid="{AB1DC9E9-A3E4-4BE0-8A49-B02D340E9D12}" fitToPage="1" topLeftCell="A13">
      <selection activeCell="B5" sqref="B5"/>
      <pageMargins left="0.3" right="0.19" top="0.63" bottom="0.25" header="0.5" footer="0.5"/>
      <pageSetup scale="73" fitToHeight="2" orientation="landscape" r:id="rId3"/>
      <headerFooter alignWithMargins="0"/>
    </customSheetView>
    <customSheetView guid="{BC7A4191-54CC-4009-AB21-42ED557A5091}" showPageBreaks="1" fitToPage="1" showRuler="0" topLeftCell="A13">
      <selection activeCell="C1" sqref="C1"/>
      <pageMargins left="0.3" right="0.19" top="0.63" bottom="0.25" header="0.5" footer="0.5"/>
      <pageSetup scale="73" fitToHeight="2" orientation="landscape" r:id="rId4"/>
      <headerFooter alignWithMargins="0"/>
    </customSheetView>
  </customSheetViews>
  <mergeCells count="13">
    <mergeCell ref="C26:H26"/>
    <mergeCell ref="C8:L8"/>
    <mergeCell ref="C10:L10"/>
    <mergeCell ref="B1:C1"/>
    <mergeCell ref="C4:L4"/>
    <mergeCell ref="K1:L1"/>
    <mergeCell ref="K5:L5"/>
    <mergeCell ref="B2:L2"/>
    <mergeCell ref="C21:H21"/>
    <mergeCell ref="C22:H22"/>
    <mergeCell ref="C23:H23"/>
    <mergeCell ref="C24:H24"/>
    <mergeCell ref="C25:H25"/>
  </mergeCells>
  <phoneticPr fontId="3" type="noConversion"/>
  <pageMargins left="0.17" right="0.17" top="0.28999999999999998" bottom="0.2" header="0.17" footer="0.19"/>
  <pageSetup scale="74" fitToHeight="2" orientation="landscape" r:id="rId5"/>
  <headerFooter alignWithMargins="0"/>
  <ignoredErrors>
    <ignoredError sqref="L12" formula="1"/>
    <ignoredError sqref="B8:B18"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outlinePr summaryBelow="0" summaryRight="0"/>
    <pageSetUpPr fitToPage="1"/>
  </sheetPr>
  <dimension ref="B1:H100"/>
  <sheetViews>
    <sheetView showGridLines="0" zoomScale="90" zoomScaleNormal="90" workbookViewId="0">
      <pane ySplit="6" topLeftCell="A7" activePane="bottomLeft" state="frozen"/>
      <selection activeCell="C120" sqref="C120"/>
      <selection pane="bottomLeft" activeCell="L25" sqref="L25"/>
    </sheetView>
  </sheetViews>
  <sheetFormatPr defaultColWidth="9.140625" defaultRowHeight="15" outlineLevelRow="1" x14ac:dyDescent="0.3"/>
  <cols>
    <col min="1" max="1" width="2" style="5" customWidth="1"/>
    <col min="2" max="2" width="11.7109375" style="5" customWidth="1"/>
    <col min="3" max="3" width="5.85546875" style="5" customWidth="1"/>
    <col min="4" max="4" width="63" style="5" customWidth="1"/>
    <col min="5" max="6" width="16.140625" style="5" customWidth="1"/>
    <col min="7" max="16384" width="9.140625" style="5"/>
  </cols>
  <sheetData>
    <row r="1" spans="2:6" ht="15" customHeight="1" x14ac:dyDescent="0.3">
      <c r="B1" s="799" t="s">
        <v>315</v>
      </c>
      <c r="C1" s="799"/>
      <c r="D1" s="42"/>
      <c r="E1" s="791" t="s">
        <v>1223</v>
      </c>
      <c r="F1" s="791"/>
    </row>
    <row r="2" spans="2:6" ht="15" customHeight="1" x14ac:dyDescent="0.3">
      <c r="B2" s="799" t="s">
        <v>1209</v>
      </c>
      <c r="C2" s="799"/>
      <c r="D2" s="799"/>
      <c r="E2" s="799"/>
      <c r="F2" s="799"/>
    </row>
    <row r="3" spans="2:6" ht="15" customHeight="1" x14ac:dyDescent="0.3">
      <c r="C3" s="6"/>
    </row>
    <row r="4" spans="2:6" s="76" customFormat="1" ht="15" customHeight="1" x14ac:dyDescent="0.35">
      <c r="B4" s="156"/>
      <c r="D4" s="815" t="s">
        <v>3336</v>
      </c>
      <c r="E4" s="815"/>
      <c r="F4" s="815"/>
    </row>
    <row r="5" spans="2:6" s="10" customFormat="1" ht="15" customHeight="1" thickBot="1" x14ac:dyDescent="0.35">
      <c r="C5" s="12"/>
      <c r="E5" s="802" t="s">
        <v>323</v>
      </c>
      <c r="F5" s="802"/>
    </row>
    <row r="6" spans="2:6" s="54" customFormat="1" ht="45" customHeight="1" thickBot="1" x14ac:dyDescent="0.25">
      <c r="B6" s="481" t="s">
        <v>4627</v>
      </c>
      <c r="C6" s="532" t="s">
        <v>1211</v>
      </c>
      <c r="D6" s="402"/>
      <c r="E6" s="403" t="s">
        <v>322</v>
      </c>
      <c r="F6" s="404" t="s">
        <v>333</v>
      </c>
    </row>
    <row r="7" spans="2:6" s="4" customFormat="1" ht="9.75" customHeight="1" x14ac:dyDescent="0.3">
      <c r="C7" s="139"/>
      <c r="D7" s="79"/>
      <c r="E7" s="53"/>
      <c r="F7" s="53"/>
    </row>
    <row r="8" spans="2:6" s="4" customFormat="1" ht="15" customHeight="1" x14ac:dyDescent="0.3">
      <c r="C8" s="814" t="s">
        <v>176</v>
      </c>
      <c r="D8" s="814"/>
      <c r="E8" s="814"/>
      <c r="F8" s="814"/>
    </row>
    <row r="9" spans="2:6" s="4" customFormat="1" ht="9" customHeight="1" thickBot="1" x14ac:dyDescent="0.35">
      <c r="C9" s="139"/>
      <c r="D9" s="79"/>
      <c r="E9" s="53"/>
      <c r="F9" s="53"/>
    </row>
    <row r="10" spans="2:6" s="4" customFormat="1" ht="15" customHeight="1" x14ac:dyDescent="0.3">
      <c r="B10" s="418" t="s">
        <v>3628</v>
      </c>
      <c r="C10" s="533">
        <v>1</v>
      </c>
      <c r="D10" s="527" t="s">
        <v>178</v>
      </c>
      <c r="E10" s="528">
        <f>SUM(E11:E30)</f>
        <v>0</v>
      </c>
      <c r="F10" s="529">
        <f>SUM(F11:F30)</f>
        <v>0</v>
      </c>
    </row>
    <row r="11" spans="2:6" s="82" customFormat="1" ht="15" customHeight="1" outlineLevel="1" x14ac:dyDescent="0.3">
      <c r="B11" s="60" t="s">
        <v>3629</v>
      </c>
      <c r="C11" s="534">
        <v>1.1000000000000001</v>
      </c>
      <c r="D11" s="63" t="s">
        <v>179</v>
      </c>
      <c r="E11" s="72"/>
      <c r="F11" s="75"/>
    </row>
    <row r="12" spans="2:6" s="82" customFormat="1" ht="15" customHeight="1" outlineLevel="1" x14ac:dyDescent="0.3">
      <c r="B12" s="60" t="s">
        <v>3630</v>
      </c>
      <c r="C12" s="534">
        <v>1.2</v>
      </c>
      <c r="D12" s="63" t="s">
        <v>179</v>
      </c>
      <c r="E12" s="72"/>
      <c r="F12" s="75"/>
    </row>
    <row r="13" spans="2:6" s="82" customFormat="1" ht="15" customHeight="1" outlineLevel="1" x14ac:dyDescent="0.3">
      <c r="B13" s="60" t="s">
        <v>3631</v>
      </c>
      <c r="C13" s="534">
        <v>1.3</v>
      </c>
      <c r="D13" s="63" t="s">
        <v>179</v>
      </c>
      <c r="E13" s="72"/>
      <c r="F13" s="75"/>
    </row>
    <row r="14" spans="2:6" s="82" customFormat="1" ht="15" customHeight="1" outlineLevel="1" x14ac:dyDescent="0.3">
      <c r="B14" s="60" t="s">
        <v>3632</v>
      </c>
      <c r="C14" s="534">
        <v>1.4</v>
      </c>
      <c r="D14" s="63" t="s">
        <v>179</v>
      </c>
      <c r="E14" s="72"/>
      <c r="F14" s="75"/>
    </row>
    <row r="15" spans="2:6" s="82" customFormat="1" ht="15" customHeight="1" outlineLevel="1" x14ac:dyDescent="0.3">
      <c r="B15" s="60" t="s">
        <v>3633</v>
      </c>
      <c r="C15" s="534">
        <v>1.5</v>
      </c>
      <c r="D15" s="63" t="s">
        <v>179</v>
      </c>
      <c r="E15" s="72"/>
      <c r="F15" s="75"/>
    </row>
    <row r="16" spans="2:6" s="82" customFormat="1" ht="15" customHeight="1" outlineLevel="1" x14ac:dyDescent="0.3">
      <c r="B16" s="60" t="s">
        <v>3634</v>
      </c>
      <c r="C16" s="534">
        <v>1.6</v>
      </c>
      <c r="D16" s="63" t="s">
        <v>179</v>
      </c>
      <c r="E16" s="72"/>
      <c r="F16" s="75"/>
    </row>
    <row r="17" spans="2:6" s="82" customFormat="1" ht="15" customHeight="1" outlineLevel="1" x14ac:dyDescent="0.3">
      <c r="B17" s="60" t="s">
        <v>3635</v>
      </c>
      <c r="C17" s="534">
        <v>1.7</v>
      </c>
      <c r="D17" s="63" t="s">
        <v>179</v>
      </c>
      <c r="E17" s="72"/>
      <c r="F17" s="75"/>
    </row>
    <row r="18" spans="2:6" s="82" customFormat="1" ht="15" customHeight="1" outlineLevel="1" x14ac:dyDescent="0.3">
      <c r="B18" s="60" t="s">
        <v>3636</v>
      </c>
      <c r="C18" s="534">
        <v>1.8</v>
      </c>
      <c r="D18" s="63" t="s">
        <v>179</v>
      </c>
      <c r="E18" s="72"/>
      <c r="F18" s="75"/>
    </row>
    <row r="19" spans="2:6" s="82" customFormat="1" ht="15" customHeight="1" outlineLevel="1" x14ac:dyDescent="0.3">
      <c r="B19" s="60" t="s">
        <v>3637</v>
      </c>
      <c r="C19" s="534">
        <v>1.9</v>
      </c>
      <c r="D19" s="63" t="s">
        <v>179</v>
      </c>
      <c r="E19" s="72"/>
      <c r="F19" s="75"/>
    </row>
    <row r="20" spans="2:6" s="177" customFormat="1" ht="15" customHeight="1" outlineLevel="1" x14ac:dyDescent="0.3">
      <c r="B20" s="60" t="s">
        <v>3638</v>
      </c>
      <c r="C20" s="535">
        <v>1.1000000000000001</v>
      </c>
      <c r="D20" s="63" t="s">
        <v>179</v>
      </c>
      <c r="E20" s="72"/>
      <c r="F20" s="75"/>
    </row>
    <row r="21" spans="2:6" s="177" customFormat="1" ht="15" customHeight="1" outlineLevel="1" x14ac:dyDescent="0.3">
      <c r="B21" s="60" t="s">
        <v>3639</v>
      </c>
      <c r="C21" s="535">
        <v>1.1100000000000001</v>
      </c>
      <c r="D21" s="63" t="s">
        <v>179</v>
      </c>
      <c r="E21" s="72"/>
      <c r="F21" s="75"/>
    </row>
    <row r="22" spans="2:6" s="177" customFormat="1" ht="15" customHeight="1" outlineLevel="1" x14ac:dyDescent="0.3">
      <c r="B22" s="60" t="s">
        <v>3640</v>
      </c>
      <c r="C22" s="535">
        <v>1.1200000000000001</v>
      </c>
      <c r="D22" s="63" t="s">
        <v>179</v>
      </c>
      <c r="E22" s="72"/>
      <c r="F22" s="75"/>
    </row>
    <row r="23" spans="2:6" s="177" customFormat="1" ht="15" customHeight="1" outlineLevel="1" x14ac:dyDescent="0.3">
      <c r="B23" s="60" t="s">
        <v>3641</v>
      </c>
      <c r="C23" s="535">
        <v>1.1299999999999999</v>
      </c>
      <c r="D23" s="63" t="s">
        <v>179</v>
      </c>
      <c r="E23" s="72"/>
      <c r="F23" s="75"/>
    </row>
    <row r="24" spans="2:6" s="177" customFormat="1" ht="15" customHeight="1" outlineLevel="1" x14ac:dyDescent="0.3">
      <c r="B24" s="60" t="s">
        <v>3642</v>
      </c>
      <c r="C24" s="535">
        <v>1.1399999999999999</v>
      </c>
      <c r="D24" s="63" t="s">
        <v>179</v>
      </c>
      <c r="E24" s="72"/>
      <c r="F24" s="75"/>
    </row>
    <row r="25" spans="2:6" s="177" customFormat="1" ht="15" customHeight="1" outlineLevel="1" x14ac:dyDescent="0.3">
      <c r="B25" s="60" t="s">
        <v>3643</v>
      </c>
      <c r="C25" s="535">
        <v>1.1499999999999999</v>
      </c>
      <c r="D25" s="63" t="s">
        <v>179</v>
      </c>
      <c r="E25" s="72"/>
      <c r="F25" s="75"/>
    </row>
    <row r="26" spans="2:6" s="177" customFormat="1" ht="15" customHeight="1" outlineLevel="1" x14ac:dyDescent="0.3">
      <c r="B26" s="60" t="s">
        <v>3644</v>
      </c>
      <c r="C26" s="535">
        <v>1.1599999999999999</v>
      </c>
      <c r="D26" s="63" t="s">
        <v>179</v>
      </c>
      <c r="E26" s="72"/>
      <c r="F26" s="75"/>
    </row>
    <row r="27" spans="2:6" s="177" customFormat="1" ht="15" customHeight="1" outlineLevel="1" x14ac:dyDescent="0.3">
      <c r="B27" s="60" t="s">
        <v>3645</v>
      </c>
      <c r="C27" s="535">
        <v>1.17</v>
      </c>
      <c r="D27" s="63" t="s">
        <v>179</v>
      </c>
      <c r="E27" s="72"/>
      <c r="F27" s="75"/>
    </row>
    <row r="28" spans="2:6" s="177" customFormat="1" ht="15" customHeight="1" outlineLevel="1" x14ac:dyDescent="0.3">
      <c r="B28" s="60" t="s">
        <v>3646</v>
      </c>
      <c r="C28" s="535">
        <v>1.18</v>
      </c>
      <c r="D28" s="63" t="s">
        <v>179</v>
      </c>
      <c r="E28" s="72"/>
      <c r="F28" s="75"/>
    </row>
    <row r="29" spans="2:6" s="177" customFormat="1" ht="15" customHeight="1" outlineLevel="1" x14ac:dyDescent="0.3">
      <c r="B29" s="60" t="s">
        <v>3647</v>
      </c>
      <c r="C29" s="535">
        <v>1.19</v>
      </c>
      <c r="D29" s="63" t="s">
        <v>179</v>
      </c>
      <c r="E29" s="72"/>
      <c r="F29" s="75"/>
    </row>
    <row r="30" spans="2:6" s="177" customFormat="1" ht="15" customHeight="1" outlineLevel="1" x14ac:dyDescent="0.3">
      <c r="B30" s="60" t="s">
        <v>3648</v>
      </c>
      <c r="C30" s="535">
        <v>1.2</v>
      </c>
      <c r="D30" s="63" t="s">
        <v>179</v>
      </c>
      <c r="E30" s="72"/>
      <c r="F30" s="75"/>
    </row>
    <row r="31" spans="2:6" s="4" customFormat="1" ht="15" customHeight="1" x14ac:dyDescent="0.3">
      <c r="B31" s="60" t="s">
        <v>3649</v>
      </c>
      <c r="C31" s="536">
        <v>2</v>
      </c>
      <c r="D31" s="190" t="s">
        <v>175</v>
      </c>
      <c r="E31" s="191">
        <f>SUM(E32:E51)</f>
        <v>0</v>
      </c>
      <c r="F31" s="192">
        <f>SUM(F32:F51)</f>
        <v>0</v>
      </c>
    </row>
    <row r="32" spans="2:6" s="177" customFormat="1" ht="15" customHeight="1" outlineLevel="1" x14ac:dyDescent="0.3">
      <c r="B32" s="60" t="s">
        <v>3650</v>
      </c>
      <c r="C32" s="537">
        <v>2.1</v>
      </c>
      <c r="D32" s="63" t="s">
        <v>179</v>
      </c>
      <c r="E32" s="72"/>
      <c r="F32" s="75"/>
    </row>
    <row r="33" spans="2:6" s="177" customFormat="1" ht="15" customHeight="1" outlineLevel="1" x14ac:dyDescent="0.3">
      <c r="B33" s="60" t="s">
        <v>3651</v>
      </c>
      <c r="C33" s="537">
        <v>2.2000000000000002</v>
      </c>
      <c r="D33" s="63" t="s">
        <v>179</v>
      </c>
      <c r="E33" s="72"/>
      <c r="F33" s="75"/>
    </row>
    <row r="34" spans="2:6" s="177" customFormat="1" ht="15" customHeight="1" outlineLevel="1" x14ac:dyDescent="0.3">
      <c r="B34" s="60" t="s">
        <v>3652</v>
      </c>
      <c r="C34" s="537">
        <v>2.2999999999999998</v>
      </c>
      <c r="D34" s="63" t="s">
        <v>179</v>
      </c>
      <c r="E34" s="72"/>
      <c r="F34" s="75"/>
    </row>
    <row r="35" spans="2:6" s="177" customFormat="1" ht="15" customHeight="1" outlineLevel="1" x14ac:dyDescent="0.3">
      <c r="B35" s="60" t="s">
        <v>3653</v>
      </c>
      <c r="C35" s="537">
        <v>2.4</v>
      </c>
      <c r="D35" s="63" t="s">
        <v>179</v>
      </c>
      <c r="E35" s="72"/>
      <c r="F35" s="75"/>
    </row>
    <row r="36" spans="2:6" s="177" customFormat="1" ht="15" customHeight="1" outlineLevel="1" x14ac:dyDescent="0.3">
      <c r="B36" s="60" t="s">
        <v>3654</v>
      </c>
      <c r="C36" s="537">
        <v>2.5</v>
      </c>
      <c r="D36" s="63" t="s">
        <v>179</v>
      </c>
      <c r="E36" s="72"/>
      <c r="F36" s="75"/>
    </row>
    <row r="37" spans="2:6" s="177" customFormat="1" ht="15" customHeight="1" outlineLevel="1" x14ac:dyDescent="0.3">
      <c r="B37" s="60" t="s">
        <v>3655</v>
      </c>
      <c r="C37" s="537">
        <v>2.6</v>
      </c>
      <c r="D37" s="63" t="s">
        <v>179</v>
      </c>
      <c r="E37" s="72"/>
      <c r="F37" s="75"/>
    </row>
    <row r="38" spans="2:6" s="177" customFormat="1" ht="15" customHeight="1" outlineLevel="1" x14ac:dyDescent="0.3">
      <c r="B38" s="60" t="s">
        <v>3656</v>
      </c>
      <c r="C38" s="537">
        <v>2.7</v>
      </c>
      <c r="D38" s="63" t="s">
        <v>179</v>
      </c>
      <c r="E38" s="72"/>
      <c r="F38" s="75"/>
    </row>
    <row r="39" spans="2:6" s="177" customFormat="1" ht="15" customHeight="1" outlineLevel="1" x14ac:dyDescent="0.3">
      <c r="B39" s="60" t="s">
        <v>3657</v>
      </c>
      <c r="C39" s="537">
        <v>2.8</v>
      </c>
      <c r="D39" s="63" t="s">
        <v>179</v>
      </c>
      <c r="E39" s="72"/>
      <c r="F39" s="75"/>
    </row>
    <row r="40" spans="2:6" s="177" customFormat="1" ht="15" customHeight="1" outlineLevel="1" x14ac:dyDescent="0.3">
      <c r="B40" s="60" t="s">
        <v>3658</v>
      </c>
      <c r="C40" s="537">
        <v>2.9</v>
      </c>
      <c r="D40" s="63" t="s">
        <v>179</v>
      </c>
      <c r="E40" s="72"/>
      <c r="F40" s="75"/>
    </row>
    <row r="41" spans="2:6" s="177" customFormat="1" ht="15" customHeight="1" outlineLevel="1" x14ac:dyDescent="0.3">
      <c r="B41" s="60" t="s">
        <v>3659</v>
      </c>
      <c r="C41" s="535">
        <v>2.1</v>
      </c>
      <c r="D41" s="63" t="s">
        <v>179</v>
      </c>
      <c r="E41" s="72"/>
      <c r="F41" s="75"/>
    </row>
    <row r="42" spans="2:6" s="177" customFormat="1" ht="15" customHeight="1" outlineLevel="1" x14ac:dyDescent="0.3">
      <c r="B42" s="60" t="s">
        <v>3660</v>
      </c>
      <c r="C42" s="537">
        <v>2.11</v>
      </c>
      <c r="D42" s="63" t="s">
        <v>179</v>
      </c>
      <c r="E42" s="72"/>
      <c r="F42" s="75"/>
    </row>
    <row r="43" spans="2:6" s="177" customFormat="1" ht="15" customHeight="1" outlineLevel="1" x14ac:dyDescent="0.3">
      <c r="B43" s="60" t="s">
        <v>3661</v>
      </c>
      <c r="C43" s="537">
        <v>2.12</v>
      </c>
      <c r="D43" s="63" t="s">
        <v>179</v>
      </c>
      <c r="E43" s="72"/>
      <c r="F43" s="75"/>
    </row>
    <row r="44" spans="2:6" s="177" customFormat="1" ht="15" customHeight="1" outlineLevel="1" x14ac:dyDescent="0.3">
      <c r="B44" s="60" t="s">
        <v>3662</v>
      </c>
      <c r="C44" s="537">
        <v>2.13</v>
      </c>
      <c r="D44" s="63" t="s">
        <v>179</v>
      </c>
      <c r="E44" s="72"/>
      <c r="F44" s="75"/>
    </row>
    <row r="45" spans="2:6" s="177" customFormat="1" ht="15" customHeight="1" outlineLevel="1" x14ac:dyDescent="0.3">
      <c r="B45" s="60" t="s">
        <v>3663</v>
      </c>
      <c r="C45" s="537">
        <v>2.14</v>
      </c>
      <c r="D45" s="63" t="s">
        <v>179</v>
      </c>
      <c r="E45" s="72"/>
      <c r="F45" s="75"/>
    </row>
    <row r="46" spans="2:6" s="177" customFormat="1" ht="15" customHeight="1" outlineLevel="1" x14ac:dyDescent="0.3">
      <c r="B46" s="60" t="s">
        <v>3664</v>
      </c>
      <c r="C46" s="537">
        <v>2.15</v>
      </c>
      <c r="D46" s="63" t="s">
        <v>179</v>
      </c>
      <c r="E46" s="72"/>
      <c r="F46" s="75"/>
    </row>
    <row r="47" spans="2:6" s="177" customFormat="1" ht="15" customHeight="1" outlineLevel="1" x14ac:dyDescent="0.3">
      <c r="B47" s="60" t="s">
        <v>3665</v>
      </c>
      <c r="C47" s="537">
        <v>2.16</v>
      </c>
      <c r="D47" s="63" t="s">
        <v>179</v>
      </c>
      <c r="E47" s="72"/>
      <c r="F47" s="75"/>
    </row>
    <row r="48" spans="2:6" s="177" customFormat="1" ht="15" customHeight="1" outlineLevel="1" x14ac:dyDescent="0.3">
      <c r="B48" s="60" t="s">
        <v>3666</v>
      </c>
      <c r="C48" s="537">
        <v>2.17</v>
      </c>
      <c r="D48" s="63" t="s">
        <v>179</v>
      </c>
      <c r="E48" s="72"/>
      <c r="F48" s="75"/>
    </row>
    <row r="49" spans="2:6" s="177" customFormat="1" ht="15" customHeight="1" outlineLevel="1" x14ac:dyDescent="0.3">
      <c r="B49" s="60" t="s">
        <v>3667</v>
      </c>
      <c r="C49" s="537">
        <v>2.1800000000000002</v>
      </c>
      <c r="D49" s="63" t="s">
        <v>179</v>
      </c>
      <c r="E49" s="72"/>
      <c r="F49" s="75"/>
    </row>
    <row r="50" spans="2:6" s="177" customFormat="1" ht="15" customHeight="1" outlineLevel="1" x14ac:dyDescent="0.3">
      <c r="B50" s="60" t="s">
        <v>3668</v>
      </c>
      <c r="C50" s="537">
        <v>2.19</v>
      </c>
      <c r="D50" s="63" t="s">
        <v>179</v>
      </c>
      <c r="E50" s="72"/>
      <c r="F50" s="75"/>
    </row>
    <row r="51" spans="2:6" s="177" customFormat="1" ht="15" customHeight="1" outlineLevel="1" x14ac:dyDescent="0.3">
      <c r="B51" s="60" t="s">
        <v>3669</v>
      </c>
      <c r="C51" s="535">
        <v>2.2000000000000002</v>
      </c>
      <c r="D51" s="63" t="s">
        <v>179</v>
      </c>
      <c r="E51" s="72"/>
      <c r="F51" s="75"/>
    </row>
    <row r="52" spans="2:6" s="4" customFormat="1" ht="15" customHeight="1" x14ac:dyDescent="0.3">
      <c r="B52" s="60" t="s">
        <v>3670</v>
      </c>
      <c r="C52" s="536">
        <v>3</v>
      </c>
      <c r="D52" s="190" t="s">
        <v>307</v>
      </c>
      <c r="E52" s="191">
        <f>SUM(E53:E72)</f>
        <v>0</v>
      </c>
      <c r="F52" s="192">
        <f>SUM(F53:F72)</f>
        <v>0</v>
      </c>
    </row>
    <row r="53" spans="2:6" s="177" customFormat="1" ht="15" customHeight="1" outlineLevel="1" x14ac:dyDescent="0.3">
      <c r="B53" s="60" t="s">
        <v>3671</v>
      </c>
      <c r="C53" s="537">
        <v>3.1</v>
      </c>
      <c r="D53" s="63" t="s">
        <v>179</v>
      </c>
      <c r="E53" s="72"/>
      <c r="F53" s="75"/>
    </row>
    <row r="54" spans="2:6" s="177" customFormat="1" ht="15" customHeight="1" outlineLevel="1" x14ac:dyDescent="0.3">
      <c r="B54" s="60" t="s">
        <v>3672</v>
      </c>
      <c r="C54" s="537">
        <v>3.2</v>
      </c>
      <c r="D54" s="63" t="s">
        <v>179</v>
      </c>
      <c r="E54" s="72"/>
      <c r="F54" s="75"/>
    </row>
    <row r="55" spans="2:6" s="177" customFormat="1" ht="15" customHeight="1" outlineLevel="1" x14ac:dyDescent="0.3">
      <c r="B55" s="60" t="s">
        <v>3673</v>
      </c>
      <c r="C55" s="537">
        <v>3.3</v>
      </c>
      <c r="D55" s="63" t="s">
        <v>179</v>
      </c>
      <c r="E55" s="72"/>
      <c r="F55" s="75"/>
    </row>
    <row r="56" spans="2:6" s="177" customFormat="1" ht="15" customHeight="1" outlineLevel="1" x14ac:dyDescent="0.3">
      <c r="B56" s="60" t="s">
        <v>3674</v>
      </c>
      <c r="C56" s="537">
        <v>3.4</v>
      </c>
      <c r="D56" s="63" t="s">
        <v>179</v>
      </c>
      <c r="E56" s="72"/>
      <c r="F56" s="75"/>
    </row>
    <row r="57" spans="2:6" s="177" customFormat="1" ht="15" customHeight="1" outlineLevel="1" x14ac:dyDescent="0.3">
      <c r="B57" s="60" t="s">
        <v>3675</v>
      </c>
      <c r="C57" s="537">
        <v>3.5</v>
      </c>
      <c r="D57" s="63" t="s">
        <v>179</v>
      </c>
      <c r="E57" s="72"/>
      <c r="F57" s="75"/>
    </row>
    <row r="58" spans="2:6" s="177" customFormat="1" ht="15" customHeight="1" outlineLevel="1" x14ac:dyDescent="0.3">
      <c r="B58" s="60" t="s">
        <v>3676</v>
      </c>
      <c r="C58" s="537">
        <v>3.6</v>
      </c>
      <c r="D58" s="63" t="s">
        <v>179</v>
      </c>
      <c r="E58" s="72"/>
      <c r="F58" s="75"/>
    </row>
    <row r="59" spans="2:6" s="177" customFormat="1" ht="15" customHeight="1" outlineLevel="1" x14ac:dyDescent="0.3">
      <c r="B59" s="60" t="s">
        <v>3677</v>
      </c>
      <c r="C59" s="537">
        <v>3.7</v>
      </c>
      <c r="D59" s="63" t="s">
        <v>179</v>
      </c>
      <c r="E59" s="72"/>
      <c r="F59" s="75"/>
    </row>
    <row r="60" spans="2:6" s="177" customFormat="1" ht="15" customHeight="1" outlineLevel="1" x14ac:dyDescent="0.3">
      <c r="B60" s="60" t="s">
        <v>3678</v>
      </c>
      <c r="C60" s="537">
        <v>3.8</v>
      </c>
      <c r="D60" s="63" t="s">
        <v>179</v>
      </c>
      <c r="E60" s="72"/>
      <c r="F60" s="75"/>
    </row>
    <row r="61" spans="2:6" s="177" customFormat="1" ht="15" customHeight="1" outlineLevel="1" x14ac:dyDescent="0.3">
      <c r="B61" s="60" t="s">
        <v>3679</v>
      </c>
      <c r="C61" s="537">
        <v>3.9</v>
      </c>
      <c r="D61" s="63" t="s">
        <v>179</v>
      </c>
      <c r="E61" s="72"/>
      <c r="F61" s="75"/>
    </row>
    <row r="62" spans="2:6" s="177" customFormat="1" ht="15" customHeight="1" outlineLevel="1" x14ac:dyDescent="0.3">
      <c r="B62" s="60" t="s">
        <v>3680</v>
      </c>
      <c r="C62" s="535">
        <v>3.1</v>
      </c>
      <c r="D62" s="63" t="s">
        <v>179</v>
      </c>
      <c r="E62" s="72"/>
      <c r="F62" s="75"/>
    </row>
    <row r="63" spans="2:6" s="177" customFormat="1" ht="15" customHeight="1" outlineLevel="1" x14ac:dyDescent="0.3">
      <c r="B63" s="60" t="s">
        <v>3681</v>
      </c>
      <c r="C63" s="537">
        <v>3.11</v>
      </c>
      <c r="D63" s="63" t="s">
        <v>179</v>
      </c>
      <c r="E63" s="72"/>
      <c r="F63" s="75"/>
    </row>
    <row r="64" spans="2:6" s="177" customFormat="1" ht="15" customHeight="1" outlineLevel="1" x14ac:dyDescent="0.3">
      <c r="B64" s="60" t="s">
        <v>3682</v>
      </c>
      <c r="C64" s="537">
        <v>3.12</v>
      </c>
      <c r="D64" s="63" t="s">
        <v>179</v>
      </c>
      <c r="E64" s="72"/>
      <c r="F64" s="75"/>
    </row>
    <row r="65" spans="2:8" s="177" customFormat="1" ht="15" customHeight="1" outlineLevel="1" x14ac:dyDescent="0.3">
      <c r="B65" s="60" t="s">
        <v>3683</v>
      </c>
      <c r="C65" s="537">
        <v>3.13</v>
      </c>
      <c r="D65" s="63" t="s">
        <v>179</v>
      </c>
      <c r="E65" s="72"/>
      <c r="F65" s="75"/>
    </row>
    <row r="66" spans="2:8" s="177" customFormat="1" ht="15" customHeight="1" outlineLevel="1" x14ac:dyDescent="0.3">
      <c r="B66" s="60" t="s">
        <v>3684</v>
      </c>
      <c r="C66" s="537">
        <v>3.14</v>
      </c>
      <c r="D66" s="63" t="s">
        <v>179</v>
      </c>
      <c r="E66" s="72"/>
      <c r="F66" s="75"/>
    </row>
    <row r="67" spans="2:8" s="177" customFormat="1" ht="15" customHeight="1" outlineLevel="1" x14ac:dyDescent="0.3">
      <c r="B67" s="60" t="s">
        <v>3685</v>
      </c>
      <c r="C67" s="537">
        <v>3.15</v>
      </c>
      <c r="D67" s="63" t="s">
        <v>179</v>
      </c>
      <c r="E67" s="72"/>
      <c r="F67" s="75"/>
    </row>
    <row r="68" spans="2:8" s="177" customFormat="1" ht="15" customHeight="1" outlineLevel="1" x14ac:dyDescent="0.3">
      <c r="B68" s="60" t="s">
        <v>3686</v>
      </c>
      <c r="C68" s="537">
        <v>3.16</v>
      </c>
      <c r="D68" s="63" t="s">
        <v>179</v>
      </c>
      <c r="E68" s="72"/>
      <c r="F68" s="75"/>
    </row>
    <row r="69" spans="2:8" s="177" customFormat="1" ht="15" customHeight="1" outlineLevel="1" x14ac:dyDescent="0.3">
      <c r="B69" s="60" t="s">
        <v>3687</v>
      </c>
      <c r="C69" s="537">
        <v>3.17</v>
      </c>
      <c r="D69" s="63" t="s">
        <v>179</v>
      </c>
      <c r="E69" s="72"/>
      <c r="F69" s="75"/>
    </row>
    <row r="70" spans="2:8" s="177" customFormat="1" ht="15" customHeight="1" outlineLevel="1" x14ac:dyDescent="0.3">
      <c r="B70" s="60" t="s">
        <v>3688</v>
      </c>
      <c r="C70" s="537">
        <v>3.18</v>
      </c>
      <c r="D70" s="63" t="s">
        <v>179</v>
      </c>
      <c r="E70" s="72"/>
      <c r="F70" s="75"/>
    </row>
    <row r="71" spans="2:8" s="177" customFormat="1" ht="15" customHeight="1" outlineLevel="1" x14ac:dyDescent="0.3">
      <c r="B71" s="60" t="s">
        <v>3689</v>
      </c>
      <c r="C71" s="537">
        <v>3.19</v>
      </c>
      <c r="D71" s="63" t="s">
        <v>179</v>
      </c>
      <c r="E71" s="72"/>
      <c r="F71" s="75"/>
    </row>
    <row r="72" spans="2:8" s="177" customFormat="1" ht="15" customHeight="1" outlineLevel="1" x14ac:dyDescent="0.3">
      <c r="B72" s="60" t="s">
        <v>3690</v>
      </c>
      <c r="C72" s="535">
        <v>3.2</v>
      </c>
      <c r="D72" s="63" t="s">
        <v>179</v>
      </c>
      <c r="E72" s="72"/>
      <c r="F72" s="75"/>
    </row>
    <row r="73" spans="2:8" ht="15" customHeight="1" thickBot="1" x14ac:dyDescent="0.35">
      <c r="B73" s="486" t="s">
        <v>3691</v>
      </c>
      <c r="C73" s="813" t="s">
        <v>3319</v>
      </c>
      <c r="D73" s="830"/>
      <c r="E73" s="243">
        <f>E10+E31+E52</f>
        <v>0</v>
      </c>
      <c r="F73" s="244">
        <f>F10+F31+F52</f>
        <v>0</v>
      </c>
    </row>
    <row r="74" spans="2:8" ht="9" customHeight="1" x14ac:dyDescent="0.3"/>
    <row r="75" spans="2:8" s="76" customFormat="1" ht="15" customHeight="1" x14ac:dyDescent="0.35">
      <c r="C75" s="814" t="s">
        <v>167</v>
      </c>
      <c r="D75" s="814"/>
      <c r="E75" s="814"/>
      <c r="F75" s="814"/>
    </row>
    <row r="76" spans="2:8" ht="9" customHeight="1" thickBot="1" x14ac:dyDescent="0.35"/>
    <row r="77" spans="2:8" x14ac:dyDescent="0.3">
      <c r="B77" s="418" t="s">
        <v>3692</v>
      </c>
      <c r="C77" s="538">
        <v>1</v>
      </c>
      <c r="D77" s="493" t="s">
        <v>180</v>
      </c>
      <c r="E77" s="530"/>
      <c r="F77" s="531"/>
    </row>
    <row r="78" spans="2:8" x14ac:dyDescent="0.3">
      <c r="B78" s="60" t="s">
        <v>3693</v>
      </c>
      <c r="C78" s="524">
        <v>2</v>
      </c>
      <c r="D78" s="131" t="s">
        <v>181</v>
      </c>
      <c r="E78" s="71"/>
      <c r="F78" s="74"/>
    </row>
    <row r="79" spans="2:8" x14ac:dyDescent="0.3">
      <c r="B79" s="60" t="s">
        <v>3694</v>
      </c>
      <c r="C79" s="536">
        <v>3</v>
      </c>
      <c r="D79" s="131" t="s">
        <v>182</v>
      </c>
      <c r="E79" s="71"/>
      <c r="F79" s="74"/>
    </row>
    <row r="80" spans="2:8" s="11" customFormat="1" x14ac:dyDescent="0.3">
      <c r="B80" s="60" t="s">
        <v>3695</v>
      </c>
      <c r="C80" s="536">
        <v>4</v>
      </c>
      <c r="D80" s="131" t="s">
        <v>183</v>
      </c>
      <c r="E80" s="191">
        <f>E81+E82</f>
        <v>0</v>
      </c>
      <c r="F80" s="192">
        <f>F81+F82</f>
        <v>0</v>
      </c>
      <c r="G80" s="4"/>
      <c r="H80" s="4"/>
    </row>
    <row r="81" spans="2:8" s="177" customFormat="1" outlineLevel="1" x14ac:dyDescent="0.3">
      <c r="B81" s="60" t="s">
        <v>3696</v>
      </c>
      <c r="C81" s="539" t="s">
        <v>427</v>
      </c>
      <c r="D81" s="194" t="s">
        <v>177</v>
      </c>
      <c r="E81" s="72"/>
      <c r="F81" s="75"/>
      <c r="H81" s="188"/>
    </row>
    <row r="82" spans="2:8" s="177" customFormat="1" outlineLevel="1" x14ac:dyDescent="0.3">
      <c r="B82" s="60" t="s">
        <v>3697</v>
      </c>
      <c r="C82" s="539" t="s">
        <v>428</v>
      </c>
      <c r="D82" s="194" t="s">
        <v>184</v>
      </c>
      <c r="E82" s="72"/>
      <c r="F82" s="75"/>
      <c r="H82" s="188"/>
    </row>
    <row r="83" spans="2:8" x14ac:dyDescent="0.3">
      <c r="B83" s="60" t="s">
        <v>3698</v>
      </c>
      <c r="C83" s="524">
        <v>5</v>
      </c>
      <c r="D83" s="131" t="s">
        <v>185</v>
      </c>
      <c r="E83" s="71"/>
      <c r="F83" s="74"/>
      <c r="G83" s="10"/>
    </row>
    <row r="84" spans="2:8" s="11" customFormat="1" x14ac:dyDescent="0.3">
      <c r="B84" s="60" t="s">
        <v>3699</v>
      </c>
      <c r="C84" s="536">
        <v>6</v>
      </c>
      <c r="D84" s="131" t="s">
        <v>186</v>
      </c>
      <c r="E84" s="191">
        <f>SUM(E85:E88)</f>
        <v>0</v>
      </c>
      <c r="F84" s="192">
        <f>SUM(F85:F88)</f>
        <v>0</v>
      </c>
      <c r="G84" s="4"/>
      <c r="H84" s="4"/>
    </row>
    <row r="85" spans="2:8" s="177" customFormat="1" outlineLevel="1" x14ac:dyDescent="0.3">
      <c r="B85" s="60" t="s">
        <v>3700</v>
      </c>
      <c r="C85" s="539" t="s">
        <v>414</v>
      </c>
      <c r="D85" s="194" t="s">
        <v>187</v>
      </c>
      <c r="E85" s="72"/>
      <c r="F85" s="75"/>
      <c r="G85" s="82"/>
    </row>
    <row r="86" spans="2:8" s="177" customFormat="1" outlineLevel="1" x14ac:dyDescent="0.3">
      <c r="B86" s="60" t="s">
        <v>3701</v>
      </c>
      <c r="C86" s="539" t="s">
        <v>415</v>
      </c>
      <c r="D86" s="194" t="s">
        <v>188</v>
      </c>
      <c r="E86" s="72"/>
      <c r="F86" s="75"/>
    </row>
    <row r="87" spans="2:8" s="177" customFormat="1" outlineLevel="1" x14ac:dyDescent="0.3">
      <c r="B87" s="60" t="s">
        <v>3702</v>
      </c>
      <c r="C87" s="539" t="s">
        <v>434</v>
      </c>
      <c r="D87" s="194" t="s">
        <v>189</v>
      </c>
      <c r="E87" s="72"/>
      <c r="F87" s="75"/>
    </row>
    <row r="88" spans="2:8" s="177" customFormat="1" outlineLevel="1" x14ac:dyDescent="0.3">
      <c r="B88" s="60" t="s">
        <v>3703</v>
      </c>
      <c r="C88" s="539" t="s">
        <v>2828</v>
      </c>
      <c r="D88" s="194" t="s">
        <v>190</v>
      </c>
      <c r="E88" s="72"/>
      <c r="F88" s="75"/>
    </row>
    <row r="89" spans="2:8" x14ac:dyDescent="0.3">
      <c r="B89" s="60" t="s">
        <v>3704</v>
      </c>
      <c r="C89" s="524">
        <v>7</v>
      </c>
      <c r="D89" s="131" t="s">
        <v>174</v>
      </c>
      <c r="E89" s="71"/>
      <c r="F89" s="74"/>
      <c r="G89" s="10"/>
      <c r="H89" s="11"/>
    </row>
    <row r="90" spans="2:8" x14ac:dyDescent="0.3">
      <c r="B90" s="60" t="s">
        <v>3705</v>
      </c>
      <c r="C90" s="524">
        <v>8</v>
      </c>
      <c r="D90" s="164" t="s">
        <v>216</v>
      </c>
      <c r="E90" s="71"/>
      <c r="F90" s="74"/>
      <c r="G90" s="10"/>
      <c r="H90" s="11"/>
    </row>
    <row r="91" spans="2:8" x14ac:dyDescent="0.3">
      <c r="B91" s="60" t="s">
        <v>3706</v>
      </c>
      <c r="C91" s="524">
        <v>9</v>
      </c>
      <c r="D91" s="59" t="s">
        <v>302</v>
      </c>
      <c r="E91" s="71"/>
      <c r="F91" s="74"/>
    </row>
    <row r="92" spans="2:8" s="6" customFormat="1" ht="15.75" thickBot="1" x14ac:dyDescent="0.35">
      <c r="B92" s="491" t="s">
        <v>3707</v>
      </c>
      <c r="C92" s="853" t="s">
        <v>3361</v>
      </c>
      <c r="D92" s="854"/>
      <c r="E92" s="243">
        <f>E77+E78+E79+E80+E83+E84+E89+E90+E91</f>
        <v>0</v>
      </c>
      <c r="F92" s="244">
        <f>F77+F78+F79+F80+F83+F84+F89+F90+F91</f>
        <v>0</v>
      </c>
    </row>
    <row r="93" spans="2:8" x14ac:dyDescent="0.3">
      <c r="C93" s="12"/>
      <c r="D93" s="14"/>
      <c r="E93" s="10"/>
      <c r="F93" s="10"/>
    </row>
    <row r="94" spans="2:8" x14ac:dyDescent="0.3">
      <c r="C94" s="12"/>
      <c r="D94" s="14"/>
      <c r="E94" s="10"/>
      <c r="F94" s="10"/>
    </row>
    <row r="95" spans="2:8" s="134" customFormat="1" x14ac:dyDescent="0.3">
      <c r="C95" s="782"/>
      <c r="D95" s="782"/>
      <c r="E95" s="782"/>
      <c r="F95" s="782"/>
    </row>
    <row r="96" spans="2:8" s="134" customFormat="1" x14ac:dyDescent="0.2">
      <c r="C96" s="785"/>
      <c r="D96" s="785"/>
      <c r="E96" s="785"/>
      <c r="F96" s="785"/>
    </row>
    <row r="97" spans="3:6" s="134" customFormat="1" x14ac:dyDescent="0.3">
      <c r="C97" s="782"/>
      <c r="D97" s="782"/>
      <c r="E97" s="782"/>
      <c r="F97" s="782"/>
    </row>
    <row r="98" spans="3:6" s="134" customFormat="1" x14ac:dyDescent="0.2">
      <c r="C98" s="785"/>
      <c r="D98" s="785"/>
      <c r="E98" s="785"/>
      <c r="F98" s="785"/>
    </row>
    <row r="99" spans="3:6" s="134" customFormat="1" x14ac:dyDescent="0.3">
      <c r="C99" s="782"/>
      <c r="D99" s="782"/>
      <c r="E99" s="782"/>
      <c r="F99" s="782"/>
    </row>
    <row r="100" spans="3:6" x14ac:dyDescent="0.3">
      <c r="C100" s="785"/>
      <c r="D100" s="785"/>
      <c r="E100" s="785"/>
      <c r="F100" s="785"/>
    </row>
  </sheetData>
  <customSheetViews>
    <customSheetView guid="{F18E25A1-ACAC-4BA2-9084-15C64EADD71F}" fitToPage="1" topLeftCell="A13">
      <selection activeCell="E41" sqref="E41"/>
      <pageMargins left="0.46" right="0.43" top="0.52" bottom="0.49" header="0.5" footer="0.5"/>
      <pageSetup paperSize="9" scale="92" fitToHeight="2" orientation="portrait" horizontalDpi="300" verticalDpi="300" r:id="rId1"/>
      <headerFooter alignWithMargins="0"/>
    </customSheetView>
    <customSheetView guid="{42441662-3193-455A-AAAC-E0697E2ED236}" showPageBreaks="1" fitToPage="1" topLeftCell="A14">
      <selection activeCell="C38" sqref="C38"/>
      <pageMargins left="0.46" right="0.43" top="0.52" bottom="0.49" header="0.5" footer="0.5"/>
      <pageSetup paperSize="9" scale="92" fitToHeight="2" orientation="portrait" horizontalDpi="300" verticalDpi="300" r:id="rId2"/>
      <headerFooter alignWithMargins="0"/>
    </customSheetView>
    <customSheetView guid="{AB1DC9E9-A3E4-4BE0-8A49-B02D340E9D12}" fitToPage="1" topLeftCell="A19">
      <selection activeCell="B5" sqref="B5"/>
      <pageMargins left="0.46" right="0.43" top="0.52" bottom="0.49" header="0.5" footer="0.5"/>
      <pageSetup paperSize="9" scale="92" fitToHeight="2" orientation="portrait" horizontalDpi="300" verticalDpi="300" r:id="rId3"/>
      <headerFooter alignWithMargins="0"/>
    </customSheetView>
    <customSheetView guid="{BC7A4191-54CC-4009-AB21-42ED557A5091}" showPageBreaks="1" fitToPage="1" showRuler="0" topLeftCell="A19">
      <selection activeCell="B1" sqref="B1:D1"/>
      <pageMargins left="0.46" right="0.43" top="0.52" bottom="0.49" header="0.5" footer="0.5"/>
      <pageSetup paperSize="9" scale="92" fitToHeight="2" orientation="portrait" horizontalDpi="300" verticalDpi="300" r:id="rId4"/>
      <headerFooter alignWithMargins="0"/>
    </customSheetView>
  </customSheetViews>
  <mergeCells count="15">
    <mergeCell ref="C100:F100"/>
    <mergeCell ref="B1:C1"/>
    <mergeCell ref="E5:F5"/>
    <mergeCell ref="E1:F1"/>
    <mergeCell ref="C73:D73"/>
    <mergeCell ref="D4:F4"/>
    <mergeCell ref="C8:F8"/>
    <mergeCell ref="B2:F2"/>
    <mergeCell ref="C75:F75"/>
    <mergeCell ref="C92:D92"/>
    <mergeCell ref="C95:F95"/>
    <mergeCell ref="C96:F96"/>
    <mergeCell ref="C97:F97"/>
    <mergeCell ref="C98:F98"/>
    <mergeCell ref="C99:F99"/>
  </mergeCells>
  <phoneticPr fontId="3" type="noConversion"/>
  <printOptions horizontalCentered="1"/>
  <pageMargins left="0.2" right="0.2" top="0.26" bottom="0.2" header="0.17" footer="0.16"/>
  <pageSetup paperSize="9" scale="90" fitToHeight="2" orientation="portrait" horizontalDpi="300" verticalDpi="300" r:id="rId5"/>
  <headerFooter alignWithMargins="0"/>
  <ignoredErrors>
    <ignoredError sqref="C81:C82 C85:C88 B10:B92"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B1:J27"/>
  <sheetViews>
    <sheetView showGridLines="0" zoomScale="90" zoomScaleNormal="90" workbookViewId="0">
      <selection activeCell="K23" sqref="K23"/>
    </sheetView>
  </sheetViews>
  <sheetFormatPr defaultColWidth="9.140625" defaultRowHeight="15" x14ac:dyDescent="0.2"/>
  <cols>
    <col min="1" max="1" width="2" style="134" customWidth="1"/>
    <col min="2" max="2" width="11.28515625" style="134" customWidth="1"/>
    <col min="3" max="3" width="6" style="134" customWidth="1"/>
    <col min="4" max="4" width="43.7109375" style="134" bestFit="1" customWidth="1"/>
    <col min="5" max="5" width="18.42578125" style="134" customWidth="1"/>
    <col min="6" max="6" width="18.28515625" style="134" customWidth="1"/>
    <col min="7" max="7" width="18.42578125" style="134" customWidth="1"/>
    <col min="8" max="9" width="16" style="134" customWidth="1"/>
    <col min="10" max="16384" width="9.140625" style="134"/>
  </cols>
  <sheetData>
    <row r="1" spans="2:10" x14ac:dyDescent="0.2">
      <c r="B1" s="831" t="s">
        <v>315</v>
      </c>
      <c r="C1" s="831"/>
      <c r="D1" s="157"/>
      <c r="H1" s="832" t="s">
        <v>1224</v>
      </c>
      <c r="I1" s="832"/>
    </row>
    <row r="2" spans="2:10" x14ac:dyDescent="0.2">
      <c r="B2" s="831" t="s">
        <v>1209</v>
      </c>
      <c r="C2" s="831"/>
      <c r="D2" s="831"/>
      <c r="E2" s="831"/>
      <c r="F2" s="831"/>
      <c r="G2" s="831"/>
      <c r="H2" s="831"/>
      <c r="I2" s="831"/>
    </row>
    <row r="4" spans="2:10" s="51" customFormat="1" ht="18" x14ac:dyDescent="0.2">
      <c r="B4" s="160"/>
      <c r="C4" s="795" t="s">
        <v>173</v>
      </c>
      <c r="D4" s="795"/>
      <c r="E4" s="795"/>
      <c r="F4" s="795"/>
      <c r="G4" s="795"/>
      <c r="H4" s="795"/>
      <c r="I4" s="795"/>
    </row>
    <row r="5" spans="2:10" ht="15.75" thickBot="1" x14ac:dyDescent="0.25">
      <c r="H5" s="844" t="s">
        <v>323</v>
      </c>
      <c r="I5" s="844"/>
    </row>
    <row r="6" spans="2:10" s="79" customFormat="1" ht="30.75" thickBot="1" x14ac:dyDescent="0.25">
      <c r="B6" s="400" t="s">
        <v>4627</v>
      </c>
      <c r="C6" s="422" t="s">
        <v>1211</v>
      </c>
      <c r="D6" s="492"/>
      <c r="E6" s="522" t="s">
        <v>170</v>
      </c>
      <c r="F6" s="522" t="s">
        <v>172</v>
      </c>
      <c r="G6" s="522" t="s">
        <v>171</v>
      </c>
      <c r="H6" s="522" t="s">
        <v>307</v>
      </c>
      <c r="I6" s="523" t="s">
        <v>235</v>
      </c>
    </row>
    <row r="7" spans="2:10" s="79" customFormat="1" ht="8.25" customHeight="1" thickBot="1" x14ac:dyDescent="0.25">
      <c r="E7" s="181"/>
      <c r="F7" s="181"/>
      <c r="G7" s="181"/>
      <c r="H7" s="181"/>
      <c r="I7" s="181"/>
    </row>
    <row r="8" spans="2:10" s="79" customFormat="1" x14ac:dyDescent="0.2">
      <c r="B8" s="418" t="s">
        <v>3628</v>
      </c>
      <c r="C8" s="855" t="s">
        <v>157</v>
      </c>
      <c r="D8" s="856"/>
      <c r="E8" s="856"/>
      <c r="F8" s="856"/>
      <c r="G8" s="856"/>
      <c r="H8" s="856"/>
      <c r="I8" s="857"/>
    </row>
    <row r="9" spans="2:10" s="79" customFormat="1" x14ac:dyDescent="0.2">
      <c r="B9" s="60" t="s">
        <v>3629</v>
      </c>
      <c r="C9" s="425">
        <v>1</v>
      </c>
      <c r="D9" s="184" t="s">
        <v>165</v>
      </c>
      <c r="E9" s="170"/>
      <c r="F9" s="170"/>
      <c r="G9" s="170"/>
      <c r="H9" s="170"/>
      <c r="I9" s="664">
        <f>E9+F9+G9+H9</f>
        <v>0</v>
      </c>
    </row>
    <row r="10" spans="2:10" s="79" customFormat="1" x14ac:dyDescent="0.2">
      <c r="B10" s="60" t="s">
        <v>3630</v>
      </c>
      <c r="C10" s="858" t="s">
        <v>162</v>
      </c>
      <c r="D10" s="859"/>
      <c r="E10" s="859"/>
      <c r="F10" s="859"/>
      <c r="G10" s="859"/>
      <c r="H10" s="859"/>
      <c r="I10" s="860"/>
    </row>
    <row r="11" spans="2:10" s="79" customFormat="1" x14ac:dyDescent="0.2">
      <c r="B11" s="60" t="s">
        <v>3631</v>
      </c>
      <c r="C11" s="425">
        <v>2</v>
      </c>
      <c r="D11" s="184" t="s">
        <v>165</v>
      </c>
      <c r="E11" s="170"/>
      <c r="F11" s="170"/>
      <c r="G11" s="170"/>
      <c r="H11" s="170"/>
      <c r="I11" s="664">
        <f>E11+F11+G11+H11</f>
        <v>0</v>
      </c>
    </row>
    <row r="12" spans="2:10" s="146" customFormat="1" x14ac:dyDescent="0.2">
      <c r="B12" s="60" t="s">
        <v>3632</v>
      </c>
      <c r="C12" s="525">
        <v>3</v>
      </c>
      <c r="D12" s="255" t="s">
        <v>2826</v>
      </c>
      <c r="E12" s="665">
        <f>E9-E11</f>
        <v>0</v>
      </c>
      <c r="F12" s="665">
        <f>F9-F11</f>
        <v>0</v>
      </c>
      <c r="G12" s="665">
        <f>G9-G11</f>
        <v>0</v>
      </c>
      <c r="H12" s="665">
        <f>H9-H11</f>
        <v>0</v>
      </c>
      <c r="I12" s="666">
        <f>I9-I11</f>
        <v>0</v>
      </c>
      <c r="J12" s="93"/>
    </row>
    <row r="13" spans="2:10" s="79" customFormat="1" x14ac:dyDescent="0.2">
      <c r="B13" s="60" t="s">
        <v>3633</v>
      </c>
      <c r="C13" s="425">
        <v>4</v>
      </c>
      <c r="D13" s="184" t="s">
        <v>163</v>
      </c>
      <c r="E13" s="170"/>
      <c r="F13" s="170"/>
      <c r="G13" s="170"/>
      <c r="H13" s="170"/>
      <c r="I13" s="664">
        <f t="shared" ref="I13:I18" si="0">E13+F13+G13+H13</f>
        <v>0</v>
      </c>
    </row>
    <row r="14" spans="2:10" s="79" customFormat="1" x14ac:dyDescent="0.2">
      <c r="B14" s="60" t="s">
        <v>3634</v>
      </c>
      <c r="C14" s="425">
        <v>5</v>
      </c>
      <c r="D14" s="184" t="s">
        <v>160</v>
      </c>
      <c r="E14" s="170"/>
      <c r="F14" s="170"/>
      <c r="G14" s="170"/>
      <c r="H14" s="170"/>
      <c r="I14" s="664">
        <f t="shared" si="0"/>
        <v>0</v>
      </c>
    </row>
    <row r="15" spans="2:10" s="79" customFormat="1" x14ac:dyDescent="0.2">
      <c r="B15" s="60" t="s">
        <v>3635</v>
      </c>
      <c r="C15" s="425">
        <v>6</v>
      </c>
      <c r="D15" s="184" t="s">
        <v>166</v>
      </c>
      <c r="E15" s="170"/>
      <c r="F15" s="170"/>
      <c r="G15" s="170"/>
      <c r="H15" s="170"/>
      <c r="I15" s="664">
        <f t="shared" si="0"/>
        <v>0</v>
      </c>
    </row>
    <row r="16" spans="2:10" s="79" customFormat="1" x14ac:dyDescent="0.2">
      <c r="B16" s="60" t="s">
        <v>3636</v>
      </c>
      <c r="C16" s="425">
        <v>7</v>
      </c>
      <c r="D16" s="184" t="s">
        <v>156</v>
      </c>
      <c r="E16" s="170"/>
      <c r="F16" s="170"/>
      <c r="G16" s="170"/>
      <c r="H16" s="170"/>
      <c r="I16" s="664">
        <f t="shared" si="0"/>
        <v>0</v>
      </c>
    </row>
    <row r="17" spans="2:9" s="79" customFormat="1" x14ac:dyDescent="0.2">
      <c r="B17" s="60" t="s">
        <v>3637</v>
      </c>
      <c r="C17" s="425">
        <v>8</v>
      </c>
      <c r="D17" s="184" t="s">
        <v>3399</v>
      </c>
      <c r="E17" s="170"/>
      <c r="F17" s="170"/>
      <c r="G17" s="170"/>
      <c r="H17" s="170"/>
      <c r="I17" s="664">
        <f t="shared" si="0"/>
        <v>0</v>
      </c>
    </row>
    <row r="18" spans="2:9" s="79" customFormat="1" x14ac:dyDescent="0.2">
      <c r="B18" s="60" t="s">
        <v>3638</v>
      </c>
      <c r="C18" s="425">
        <v>9</v>
      </c>
      <c r="D18" s="184" t="s">
        <v>169</v>
      </c>
      <c r="E18" s="170"/>
      <c r="F18" s="170"/>
      <c r="G18" s="170"/>
      <c r="H18" s="170"/>
      <c r="I18" s="664">
        <f t="shared" si="0"/>
        <v>0</v>
      </c>
    </row>
    <row r="19" spans="2:9" s="146" customFormat="1" ht="15.75" thickBot="1" x14ac:dyDescent="0.25">
      <c r="B19" s="491" t="s">
        <v>3639</v>
      </c>
      <c r="C19" s="526">
        <v>10</v>
      </c>
      <c r="D19" s="256" t="s">
        <v>3400</v>
      </c>
      <c r="E19" s="667">
        <f>E12+E13+E14-E15+E16-E17-E18</f>
        <v>0</v>
      </c>
      <c r="F19" s="667">
        <f>F12+F13+F14-F15+F16-F17-F18</f>
        <v>0</v>
      </c>
      <c r="G19" s="667">
        <f>G12+G13+G14-G15+G16-G17-G18</f>
        <v>0</v>
      </c>
      <c r="H19" s="667">
        <f>H12+H13+H14-H15+H16-H17-H18</f>
        <v>0</v>
      </c>
      <c r="I19" s="668">
        <f>I12+I13+I14-I15+I16-I17-I18</f>
        <v>0</v>
      </c>
    </row>
    <row r="20" spans="2:9" s="79" customFormat="1" x14ac:dyDescent="0.2"/>
    <row r="21" spans="2:9" s="79" customFormat="1" x14ac:dyDescent="0.2"/>
    <row r="22" spans="2:9" x14ac:dyDescent="0.3">
      <c r="C22" s="782"/>
      <c r="D22" s="782"/>
      <c r="E22" s="782"/>
      <c r="F22" s="782"/>
      <c r="G22" s="782"/>
      <c r="H22" s="782"/>
    </row>
    <row r="23" spans="2:9" x14ac:dyDescent="0.2">
      <c r="C23" s="845"/>
      <c r="D23" s="845"/>
      <c r="E23" s="845"/>
      <c r="F23" s="845"/>
      <c r="G23" s="845"/>
      <c r="H23" s="845"/>
    </row>
    <row r="24" spans="2:9" x14ac:dyDescent="0.3">
      <c r="C24" s="782"/>
      <c r="D24" s="782"/>
      <c r="E24" s="782"/>
      <c r="F24" s="782"/>
      <c r="G24" s="782"/>
      <c r="H24" s="782"/>
    </row>
    <row r="25" spans="2:9" x14ac:dyDescent="0.2">
      <c r="C25" s="845"/>
      <c r="D25" s="845"/>
      <c r="E25" s="845"/>
      <c r="F25" s="845"/>
      <c r="G25" s="845"/>
      <c r="H25" s="845"/>
    </row>
    <row r="26" spans="2:9" x14ac:dyDescent="0.3">
      <c r="C26" s="782"/>
      <c r="D26" s="782"/>
      <c r="E26" s="782"/>
      <c r="F26" s="782"/>
      <c r="G26" s="782"/>
      <c r="H26" s="782"/>
    </row>
    <row r="27" spans="2:9" x14ac:dyDescent="0.2">
      <c r="C27" s="845"/>
      <c r="D27" s="845"/>
      <c r="E27" s="845"/>
      <c r="F27" s="845"/>
      <c r="G27" s="845"/>
      <c r="H27" s="845"/>
    </row>
  </sheetData>
  <customSheetViews>
    <customSheetView guid="{F18E25A1-ACAC-4BA2-9084-15C64EADD71F}" fitToPage="1">
      <selection activeCell="E9" sqref="E9"/>
      <pageMargins left="0.45" right="0.37" top="0.33" bottom="0.5" header="0.37" footer="0.5"/>
      <pageSetup paperSize="9" fitToHeight="2" orientation="landscape" horizontalDpi="300" verticalDpi="300" r:id="rId1"/>
      <headerFooter alignWithMargins="0"/>
    </customSheetView>
    <customSheetView guid="{42441662-3193-455A-AAAC-E0697E2ED236}" showPageBreaks="1" fitToPage="1">
      <selection activeCell="B11" sqref="B11"/>
      <pageMargins left="0.45" right="0.37" top="0.33" bottom="0.5" header="0.37" footer="0.5"/>
      <pageSetup paperSize="9" fitToHeight="2" orientation="landscape" horizontalDpi="300" verticalDpi="300" r:id="rId2"/>
      <headerFooter alignWithMargins="0"/>
    </customSheetView>
    <customSheetView guid="{AB1DC9E9-A3E4-4BE0-8A49-B02D340E9D12}" fitToPage="1" topLeftCell="D10">
      <selection activeCell="B5" sqref="B5"/>
      <pageMargins left="0.45" right="0.37" top="0.33" bottom="0.5" header="0.37" footer="0.5"/>
      <pageSetup paperSize="9" scale="95" fitToHeight="2" orientation="landscape" horizontalDpi="300" verticalDpi="300" r:id="rId3"/>
      <headerFooter alignWithMargins="0"/>
    </customSheetView>
    <customSheetView guid="{BC7A4191-54CC-4009-AB21-42ED557A5091}" showPageBreaks="1" fitToPage="1" showRuler="0" topLeftCell="D10">
      <selection activeCell="C1" sqref="C1"/>
      <pageMargins left="0.45" right="0.37" top="0.33" bottom="0.5" header="0.37" footer="0.5"/>
      <pageSetup paperSize="9" scale="95" fitToHeight="2" orientation="landscape" horizontalDpi="300" verticalDpi="300" r:id="rId4"/>
      <headerFooter alignWithMargins="0"/>
    </customSheetView>
  </customSheetViews>
  <mergeCells count="13">
    <mergeCell ref="C27:H27"/>
    <mergeCell ref="C8:I8"/>
    <mergeCell ref="C10:I10"/>
    <mergeCell ref="B1:C1"/>
    <mergeCell ref="C4:I4"/>
    <mergeCell ref="H1:I1"/>
    <mergeCell ref="H5:I5"/>
    <mergeCell ref="B2:I2"/>
    <mergeCell ref="C22:H22"/>
    <mergeCell ref="C23:H23"/>
    <mergeCell ref="C24:H24"/>
    <mergeCell ref="C25:H25"/>
    <mergeCell ref="C26:H26"/>
  </mergeCells>
  <phoneticPr fontId="3" type="noConversion"/>
  <pageMargins left="0.2" right="0.2" top="0.26" bottom="0.2" header="0.17" footer="0.17"/>
  <pageSetup paperSize="9" scale="90" fitToHeight="2" orientation="landscape" horizontalDpi="300" verticalDpi="300" r:id="rId5"/>
  <headerFooter alignWithMargins="0"/>
  <ignoredErrors>
    <ignoredError sqref="I12" formula="1"/>
    <ignoredError sqref="B9:B19"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ummaryRight="0"/>
    <pageSetUpPr fitToPage="1"/>
  </sheetPr>
  <dimension ref="B1:H38"/>
  <sheetViews>
    <sheetView showGridLines="0" zoomScale="90" zoomScaleNormal="90" workbookViewId="0">
      <pane ySplit="6" topLeftCell="A7" activePane="bottomLeft" state="frozen"/>
      <selection activeCell="C120" sqref="C120"/>
      <selection pane="bottomLeft" activeCell="L18" sqref="L18"/>
    </sheetView>
  </sheetViews>
  <sheetFormatPr defaultColWidth="9.140625" defaultRowHeight="15" outlineLevelRow="1" x14ac:dyDescent="0.3"/>
  <cols>
    <col min="1" max="1" width="2" style="5" customWidth="1"/>
    <col min="2" max="2" width="11.5703125" style="5" customWidth="1"/>
    <col min="3" max="3" width="6.28515625" style="5" customWidth="1"/>
    <col min="4" max="4" width="63.85546875" style="5" customWidth="1"/>
    <col min="5" max="6" width="16.140625" style="5" customWidth="1"/>
    <col min="7" max="16384" width="9.140625" style="5"/>
  </cols>
  <sheetData>
    <row r="1" spans="2:8" x14ac:dyDescent="0.3">
      <c r="B1" s="799" t="s">
        <v>315</v>
      </c>
      <c r="C1" s="799"/>
      <c r="D1" s="42"/>
      <c r="E1" s="791" t="s">
        <v>1225</v>
      </c>
      <c r="F1" s="791"/>
      <c r="G1" s="18"/>
      <c r="H1" s="18"/>
    </row>
    <row r="2" spans="2:8" x14ac:dyDescent="0.3">
      <c r="B2" s="799" t="s">
        <v>1209</v>
      </c>
      <c r="C2" s="799"/>
      <c r="D2" s="799"/>
      <c r="E2" s="799"/>
      <c r="F2" s="799"/>
    </row>
    <row r="3" spans="2:8" x14ac:dyDescent="0.3">
      <c r="C3" s="6"/>
    </row>
    <row r="4" spans="2:8" s="76" customFormat="1" ht="18" x14ac:dyDescent="0.35">
      <c r="B4" s="287"/>
      <c r="D4" s="815" t="s">
        <v>3347</v>
      </c>
      <c r="E4" s="815"/>
      <c r="F4" s="815"/>
    </row>
    <row r="5" spans="2:8" s="6" customFormat="1" ht="15.75" thickBot="1" x14ac:dyDescent="0.35">
      <c r="C5" s="139"/>
      <c r="D5" s="14"/>
      <c r="E5" s="802" t="s">
        <v>323</v>
      </c>
      <c r="F5" s="802"/>
    </row>
    <row r="6" spans="2:8" s="80" customFormat="1" ht="45.75" thickBot="1" x14ac:dyDescent="0.25">
      <c r="B6" s="481" t="s">
        <v>4627</v>
      </c>
      <c r="C6" s="492" t="s">
        <v>1211</v>
      </c>
      <c r="D6" s="492"/>
      <c r="E6" s="416" t="s">
        <v>322</v>
      </c>
      <c r="F6" s="417" t="s">
        <v>333</v>
      </c>
    </row>
    <row r="7" spans="2:8" s="4" customFormat="1" ht="9" customHeight="1" x14ac:dyDescent="0.3">
      <c r="C7" s="12"/>
      <c r="D7" s="79"/>
      <c r="E7" s="161"/>
      <c r="F7" s="161"/>
    </row>
    <row r="8" spans="2:8" s="4" customFormat="1" ht="15" customHeight="1" x14ac:dyDescent="0.3">
      <c r="C8" s="814" t="s">
        <v>193</v>
      </c>
      <c r="D8" s="814"/>
      <c r="E8" s="814"/>
      <c r="F8" s="814"/>
    </row>
    <row r="9" spans="2:8" s="4" customFormat="1" ht="9" customHeight="1" thickBot="1" x14ac:dyDescent="0.35">
      <c r="C9" s="12"/>
      <c r="D9" s="79"/>
      <c r="E9" s="161"/>
      <c r="F9" s="161"/>
    </row>
    <row r="10" spans="2:8" s="134" customFormat="1" ht="15" customHeight="1" x14ac:dyDescent="0.2">
      <c r="B10" s="418" t="s">
        <v>3628</v>
      </c>
      <c r="C10" s="542">
        <v>1</v>
      </c>
      <c r="D10" s="308" t="s">
        <v>194</v>
      </c>
      <c r="E10" s="540"/>
      <c r="F10" s="541"/>
    </row>
    <row r="11" spans="2:8" s="288" customFormat="1" ht="30" x14ac:dyDescent="0.2">
      <c r="B11" s="60" t="s">
        <v>3629</v>
      </c>
      <c r="C11" s="543">
        <v>2</v>
      </c>
      <c r="D11" s="35" t="s">
        <v>3337</v>
      </c>
      <c r="E11" s="636"/>
      <c r="F11" s="637"/>
    </row>
    <row r="12" spans="2:8" s="134" customFormat="1" ht="15" customHeight="1" x14ac:dyDescent="0.2">
      <c r="B12" s="60" t="s">
        <v>3630</v>
      </c>
      <c r="C12" s="499">
        <v>3</v>
      </c>
      <c r="D12" s="131" t="s">
        <v>192</v>
      </c>
      <c r="E12" s="636"/>
      <c r="F12" s="637"/>
    </row>
    <row r="13" spans="2:8" s="134" customFormat="1" ht="15" customHeight="1" x14ac:dyDescent="0.2">
      <c r="B13" s="60" t="s">
        <v>3631</v>
      </c>
      <c r="C13" s="499">
        <v>4</v>
      </c>
      <c r="D13" s="162" t="s">
        <v>195</v>
      </c>
      <c r="E13" s="636"/>
      <c r="F13" s="637"/>
    </row>
    <row r="14" spans="2:8" s="134" customFormat="1" ht="15" customHeight="1" x14ac:dyDescent="0.2">
      <c r="B14" s="60" t="s">
        <v>3632</v>
      </c>
      <c r="C14" s="499">
        <v>5</v>
      </c>
      <c r="D14" s="162" t="s">
        <v>196</v>
      </c>
      <c r="E14" s="636"/>
      <c r="F14" s="637"/>
    </row>
    <row r="15" spans="2:8" s="142" customFormat="1" ht="15" customHeight="1" thickBot="1" x14ac:dyDescent="0.25">
      <c r="B15" s="491" t="s">
        <v>3633</v>
      </c>
      <c r="C15" s="861" t="s">
        <v>3338</v>
      </c>
      <c r="D15" s="862"/>
      <c r="E15" s="241">
        <f>E10+E11+E12+E13+E14</f>
        <v>0</v>
      </c>
      <c r="F15" s="242">
        <f>F10+F11+F12+F13+F14</f>
        <v>0</v>
      </c>
      <c r="G15" s="143"/>
    </row>
    <row r="16" spans="2:8" s="134" customFormat="1" ht="9" customHeight="1" x14ac:dyDescent="0.2"/>
    <row r="17" spans="2:6" s="51" customFormat="1" ht="15" customHeight="1" x14ac:dyDescent="0.2">
      <c r="C17" s="863" t="s">
        <v>197</v>
      </c>
      <c r="D17" s="863"/>
      <c r="E17" s="863"/>
      <c r="F17" s="863"/>
    </row>
    <row r="18" spans="2:6" s="134" customFormat="1" ht="9" customHeight="1" thickBot="1" x14ac:dyDescent="0.25">
      <c r="B18" s="78"/>
      <c r="C18" s="19"/>
      <c r="D18" s="19"/>
      <c r="E18" s="19"/>
      <c r="F18" s="19"/>
    </row>
    <row r="19" spans="2:6" s="134" customFormat="1" ht="30.75" customHeight="1" x14ac:dyDescent="0.2">
      <c r="B19" s="418" t="s">
        <v>3634</v>
      </c>
      <c r="C19" s="497">
        <v>1</v>
      </c>
      <c r="D19" s="645" t="s">
        <v>4674</v>
      </c>
      <c r="E19" s="494"/>
      <c r="F19" s="495"/>
    </row>
    <row r="20" spans="2:6" s="134" customFormat="1" x14ac:dyDescent="0.2">
      <c r="B20" s="60" t="s">
        <v>3635</v>
      </c>
      <c r="C20" s="425">
        <v>2</v>
      </c>
      <c r="D20" s="147" t="s">
        <v>198</v>
      </c>
      <c r="E20" s="91"/>
      <c r="F20" s="92"/>
    </row>
    <row r="21" spans="2:6" s="134" customFormat="1" x14ac:dyDescent="0.2">
      <c r="B21" s="60" t="s">
        <v>3636</v>
      </c>
      <c r="C21" s="425">
        <v>3</v>
      </c>
      <c r="D21" s="147" t="s">
        <v>191</v>
      </c>
      <c r="E21" s="91"/>
      <c r="F21" s="92"/>
    </row>
    <row r="22" spans="2:6" s="134" customFormat="1" x14ac:dyDescent="0.2">
      <c r="B22" s="60" t="s">
        <v>3637</v>
      </c>
      <c r="C22" s="425">
        <v>4</v>
      </c>
      <c r="D22" s="147" t="s">
        <v>199</v>
      </c>
      <c r="E22" s="91"/>
      <c r="F22" s="92"/>
    </row>
    <row r="23" spans="2:6" s="138" customFormat="1" x14ac:dyDescent="0.2">
      <c r="B23" s="60" t="s">
        <v>3638</v>
      </c>
      <c r="C23" s="499">
        <f>C22+1</f>
        <v>5</v>
      </c>
      <c r="D23" s="162" t="s">
        <v>4675</v>
      </c>
      <c r="E23" s="636">
        <f>E24+E25+E26+E27</f>
        <v>0</v>
      </c>
      <c r="F23" s="637">
        <f>F24+F25+F26+F27</f>
        <v>0</v>
      </c>
    </row>
    <row r="24" spans="2:6" s="167" customFormat="1" outlineLevel="1" x14ac:dyDescent="0.2">
      <c r="B24" s="60" t="s">
        <v>3639</v>
      </c>
      <c r="C24" s="544" t="s">
        <v>412</v>
      </c>
      <c r="D24" s="196" t="s">
        <v>200</v>
      </c>
      <c r="E24" s="154"/>
      <c r="F24" s="175"/>
    </row>
    <row r="25" spans="2:6" s="167" customFormat="1" outlineLevel="1" x14ac:dyDescent="0.2">
      <c r="B25" s="60" t="s">
        <v>3640</v>
      </c>
      <c r="C25" s="544" t="s">
        <v>413</v>
      </c>
      <c r="D25" s="196" t="s">
        <v>201</v>
      </c>
      <c r="E25" s="154"/>
      <c r="F25" s="175"/>
    </row>
    <row r="26" spans="2:6" s="167" customFormat="1" outlineLevel="1" x14ac:dyDescent="0.2">
      <c r="B26" s="60" t="s">
        <v>3641</v>
      </c>
      <c r="C26" s="544" t="s">
        <v>435</v>
      </c>
      <c r="D26" s="196" t="s">
        <v>202</v>
      </c>
      <c r="E26" s="154"/>
      <c r="F26" s="175"/>
    </row>
    <row r="27" spans="2:6" s="167" customFormat="1" outlineLevel="1" x14ac:dyDescent="0.2">
      <c r="B27" s="60" t="s">
        <v>3642</v>
      </c>
      <c r="C27" s="544" t="s">
        <v>436</v>
      </c>
      <c r="D27" s="196" t="s">
        <v>307</v>
      </c>
      <c r="E27" s="154"/>
      <c r="F27" s="175"/>
    </row>
    <row r="28" spans="2:6" s="134" customFormat="1" x14ac:dyDescent="0.2">
      <c r="B28" s="60" t="s">
        <v>3643</v>
      </c>
      <c r="C28" s="425">
        <v>6</v>
      </c>
      <c r="D28" s="147" t="s">
        <v>203</v>
      </c>
      <c r="E28" s="91"/>
      <c r="F28" s="92"/>
    </row>
    <row r="29" spans="2:6" s="134" customFormat="1" x14ac:dyDescent="0.2">
      <c r="B29" s="60" t="s">
        <v>3644</v>
      </c>
      <c r="C29" s="425">
        <v>7</v>
      </c>
      <c r="D29" s="147" t="s">
        <v>302</v>
      </c>
      <c r="E29" s="91"/>
      <c r="F29" s="92"/>
    </row>
    <row r="30" spans="2:6" s="142" customFormat="1" ht="15.75" thickBot="1" x14ac:dyDescent="0.25">
      <c r="B30" s="491" t="s">
        <v>3645</v>
      </c>
      <c r="C30" s="813" t="s">
        <v>204</v>
      </c>
      <c r="D30" s="830"/>
      <c r="E30" s="241">
        <f>E19+E20+E21+E22+E23+E28+E29</f>
        <v>0</v>
      </c>
      <c r="F30" s="242">
        <f>F19+F20+F21+F22+F23+F28+F29</f>
        <v>0</v>
      </c>
    </row>
    <row r="33" spans="3:6" x14ac:dyDescent="0.3">
      <c r="C33" s="782"/>
      <c r="D33" s="782"/>
      <c r="E33" s="782"/>
      <c r="F33" s="782"/>
    </row>
    <row r="34" spans="3:6" x14ac:dyDescent="0.3">
      <c r="C34" s="785"/>
      <c r="D34" s="785"/>
      <c r="E34" s="785"/>
      <c r="F34" s="785"/>
    </row>
    <row r="35" spans="3:6" x14ac:dyDescent="0.3">
      <c r="C35" s="782"/>
      <c r="D35" s="782"/>
      <c r="E35" s="782"/>
      <c r="F35" s="782"/>
    </row>
    <row r="36" spans="3:6" x14ac:dyDescent="0.3">
      <c r="C36" s="785"/>
      <c r="D36" s="785"/>
      <c r="E36" s="785"/>
      <c r="F36" s="785"/>
    </row>
    <row r="37" spans="3:6" x14ac:dyDescent="0.3">
      <c r="C37" s="782"/>
      <c r="D37" s="782"/>
      <c r="E37" s="782"/>
      <c r="F37" s="782"/>
    </row>
    <row r="38" spans="3:6" x14ac:dyDescent="0.3">
      <c r="C38" s="785"/>
      <c r="D38" s="785"/>
      <c r="E38" s="785"/>
      <c r="F38" s="785"/>
    </row>
  </sheetData>
  <customSheetViews>
    <customSheetView guid="{F18E25A1-ACAC-4BA2-9084-15C64EADD71F}" fitToPage="1" topLeftCell="A10">
      <selection activeCell="C23" sqref="C23"/>
      <pageMargins left="0.42" right="0.39" top="0.54" bottom="0.37" header="0.5" footer="0.5"/>
      <pageSetup paperSize="9" scale="95" fitToHeight="2" orientation="portrait" horizontalDpi="300" verticalDpi="300" r:id="rId1"/>
      <headerFooter alignWithMargins="0"/>
    </customSheetView>
    <customSheetView guid="{42441662-3193-455A-AAAC-E0697E2ED236}" showPageBreaks="1" fitToPage="1">
      <selection activeCell="B12" sqref="B12"/>
      <pageMargins left="0.42" right="0.39" top="0.54" bottom="0.37" header="0.5" footer="0.5"/>
      <pageSetup paperSize="9" scale="95" fitToHeight="2" orientation="portrait" horizontalDpi="300" verticalDpi="300" r:id="rId2"/>
      <headerFooter alignWithMargins="0"/>
    </customSheetView>
    <customSheetView guid="{AB1DC9E9-A3E4-4BE0-8A49-B02D340E9D12}" fitToPage="1" topLeftCell="A19">
      <selection activeCell="B5" sqref="B5"/>
      <pageMargins left="0.42" right="0.39" top="0.54" bottom="0.37" header="0.5" footer="0.5"/>
      <pageSetup paperSize="9" scale="95" fitToHeight="2" orientation="portrait" horizontalDpi="300" verticalDpi="300" r:id="rId3"/>
      <headerFooter alignWithMargins="0"/>
    </customSheetView>
    <customSheetView guid="{BC7A4191-54CC-4009-AB21-42ED557A5091}" showPageBreaks="1" fitToPage="1" showRuler="0" topLeftCell="A19">
      <selection activeCell="C1" sqref="C1"/>
      <pageMargins left="0.42" right="0.39" top="0.54" bottom="0.37" header="0.5" footer="0.5"/>
      <pageSetup paperSize="9" scale="95" fitToHeight="2" orientation="portrait" horizontalDpi="300" verticalDpi="300" r:id="rId4"/>
      <headerFooter alignWithMargins="0"/>
    </customSheetView>
  </customSheetViews>
  <mergeCells count="15">
    <mergeCell ref="C37:F37"/>
    <mergeCell ref="C38:F38"/>
    <mergeCell ref="B1:C1"/>
    <mergeCell ref="E1:F1"/>
    <mergeCell ref="E5:F5"/>
    <mergeCell ref="C15:D15"/>
    <mergeCell ref="D4:F4"/>
    <mergeCell ref="C8:F8"/>
    <mergeCell ref="B2:F2"/>
    <mergeCell ref="C17:F17"/>
    <mergeCell ref="C30:D30"/>
    <mergeCell ref="C33:F33"/>
    <mergeCell ref="C34:F34"/>
    <mergeCell ref="C35:F35"/>
    <mergeCell ref="C36:F36"/>
  </mergeCells>
  <phoneticPr fontId="3" type="noConversion"/>
  <printOptions horizontalCentered="1"/>
  <pageMargins left="0.2" right="0.2" top="0.26" bottom="0.2" header="0.17" footer="0.17"/>
  <pageSetup paperSize="9" scale="89" fitToHeight="2" orientation="portrait" horizontalDpi="300" verticalDpi="300" r:id="rId5"/>
  <headerFooter alignWithMargins="0"/>
  <ignoredErrors>
    <ignoredError sqref="C24:C27 B10:B30"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outlinePr summaryBelow="0" summaryRight="0"/>
  </sheetPr>
  <dimension ref="B1:O295"/>
  <sheetViews>
    <sheetView showGridLines="0" zoomScale="90" zoomScaleNormal="90" workbookViewId="0">
      <pane ySplit="7" topLeftCell="A8" activePane="bottomLeft" state="frozen"/>
      <selection activeCell="C120" sqref="C120"/>
      <selection pane="bottomLeft" activeCell="L42" sqref="L42"/>
    </sheetView>
  </sheetViews>
  <sheetFormatPr defaultColWidth="9.140625" defaultRowHeight="15" outlineLevelRow="1" x14ac:dyDescent="0.3"/>
  <cols>
    <col min="1" max="1" width="2" style="5" customWidth="1"/>
    <col min="2" max="2" width="9.140625" style="5" customWidth="1"/>
    <col min="3" max="3" width="5" style="20" customWidth="1"/>
    <col min="4" max="4" width="77.28515625" style="5" customWidth="1"/>
    <col min="5" max="14" width="9" style="5" customWidth="1"/>
    <col min="15" max="16384" width="9.140625" style="5"/>
  </cols>
  <sheetData>
    <row r="1" spans="2:14" s="4" customFormat="1" ht="15" customHeight="1" x14ac:dyDescent="0.3">
      <c r="B1" s="799" t="s">
        <v>315</v>
      </c>
      <c r="C1" s="799"/>
      <c r="D1" s="52"/>
      <c r="E1" s="18"/>
      <c r="F1" s="18"/>
      <c r="M1" s="791" t="s">
        <v>1227</v>
      </c>
      <c r="N1" s="791"/>
    </row>
    <row r="2" spans="2:14" ht="15" customHeight="1" x14ac:dyDescent="0.3">
      <c r="B2" s="799" t="s">
        <v>1209</v>
      </c>
      <c r="C2" s="799"/>
      <c r="D2" s="799"/>
      <c r="E2" s="799"/>
      <c r="F2" s="799"/>
      <c r="G2" s="799"/>
      <c r="H2" s="799"/>
      <c r="I2" s="799"/>
      <c r="J2" s="799"/>
      <c r="K2" s="799"/>
      <c r="L2" s="799"/>
      <c r="M2" s="799"/>
      <c r="N2" s="799"/>
    </row>
    <row r="3" spans="2:14" ht="15" customHeight="1" x14ac:dyDescent="0.3">
      <c r="C3" s="19"/>
      <c r="F3" s="11"/>
      <c r="G3" s="11"/>
      <c r="H3" s="11"/>
      <c r="I3" s="11"/>
      <c r="J3" s="11"/>
      <c r="K3" s="11"/>
      <c r="L3" s="11"/>
    </row>
    <row r="4" spans="2:14" s="187" customFormat="1" ht="15" customHeight="1" x14ac:dyDescent="0.35">
      <c r="B4" s="90"/>
      <c r="D4" s="815" t="s">
        <v>140</v>
      </c>
      <c r="E4" s="815"/>
      <c r="F4" s="815"/>
      <c r="G4" s="815"/>
      <c r="H4" s="815"/>
      <c r="I4" s="815"/>
      <c r="J4" s="815"/>
      <c r="K4" s="815"/>
      <c r="L4" s="815"/>
      <c r="M4" s="815"/>
      <c r="N4" s="815"/>
    </row>
    <row r="5" spans="2:14" s="10" customFormat="1" ht="15" customHeight="1" thickBot="1" x14ac:dyDescent="0.35">
      <c r="M5" s="802" t="s">
        <v>323</v>
      </c>
      <c r="N5" s="802"/>
    </row>
    <row r="6" spans="2:14" s="56" customFormat="1" ht="21.75" customHeight="1" x14ac:dyDescent="0.2">
      <c r="B6" s="864" t="s">
        <v>4627</v>
      </c>
      <c r="C6" s="867" t="s">
        <v>1211</v>
      </c>
      <c r="D6" s="867"/>
      <c r="E6" s="866" t="s">
        <v>322</v>
      </c>
      <c r="F6" s="866"/>
      <c r="G6" s="866"/>
      <c r="H6" s="866"/>
      <c r="I6" s="866"/>
      <c r="J6" s="866" t="s">
        <v>333</v>
      </c>
      <c r="K6" s="866"/>
      <c r="L6" s="866"/>
      <c r="M6" s="866"/>
      <c r="N6" s="869"/>
    </row>
    <row r="7" spans="2:14" s="80" customFormat="1" ht="15" customHeight="1" thickBot="1" x14ac:dyDescent="0.25">
      <c r="B7" s="865"/>
      <c r="C7" s="868"/>
      <c r="D7" s="868"/>
      <c r="E7" s="500" t="s">
        <v>440</v>
      </c>
      <c r="F7" s="500" t="s">
        <v>233</v>
      </c>
      <c r="G7" s="500" t="s">
        <v>234</v>
      </c>
      <c r="H7" s="500" t="s">
        <v>307</v>
      </c>
      <c r="I7" s="501" t="s">
        <v>235</v>
      </c>
      <c r="J7" s="500" t="s">
        <v>440</v>
      </c>
      <c r="K7" s="500" t="s">
        <v>233</v>
      </c>
      <c r="L7" s="500" t="s">
        <v>234</v>
      </c>
      <c r="M7" s="500" t="s">
        <v>307</v>
      </c>
      <c r="N7" s="502" t="s">
        <v>235</v>
      </c>
    </row>
    <row r="8" spans="2:14" s="8" customFormat="1" ht="9" customHeight="1" thickBot="1" x14ac:dyDescent="0.35">
      <c r="C8" s="9"/>
      <c r="E8" s="197"/>
      <c r="F8" s="197"/>
      <c r="G8" s="197"/>
      <c r="H8" s="197"/>
      <c r="I8" s="197"/>
      <c r="J8" s="197"/>
      <c r="K8" s="197"/>
      <c r="L8" s="197"/>
      <c r="M8" s="197"/>
      <c r="N8" s="197"/>
    </row>
    <row r="9" spans="2:14" s="143" customFormat="1" ht="15" customHeight="1" x14ac:dyDescent="0.2">
      <c r="B9" s="418" t="s">
        <v>3628</v>
      </c>
      <c r="C9" s="406">
        <v>1</v>
      </c>
      <c r="D9" s="503" t="s">
        <v>141</v>
      </c>
      <c r="E9" s="504">
        <f>E10+E31+E52+E73+E94+E115</f>
        <v>0</v>
      </c>
      <c r="F9" s="504">
        <f t="shared" ref="F9:N9" si="0">F10+F31+F52+F73+F94+F115</f>
        <v>0</v>
      </c>
      <c r="G9" s="504">
        <f t="shared" si="0"/>
        <v>0</v>
      </c>
      <c r="H9" s="504">
        <f t="shared" si="0"/>
        <v>0</v>
      </c>
      <c r="I9" s="408">
        <f t="shared" si="0"/>
        <v>0</v>
      </c>
      <c r="J9" s="504">
        <f t="shared" si="0"/>
        <v>0</v>
      </c>
      <c r="K9" s="504">
        <f t="shared" si="0"/>
        <v>0</v>
      </c>
      <c r="L9" s="504">
        <f t="shared" si="0"/>
        <v>0</v>
      </c>
      <c r="M9" s="504">
        <f t="shared" si="0"/>
        <v>0</v>
      </c>
      <c r="N9" s="409">
        <f t="shared" si="0"/>
        <v>0</v>
      </c>
    </row>
    <row r="10" spans="2:14" s="138" customFormat="1" ht="15" customHeight="1" x14ac:dyDescent="0.2">
      <c r="B10" s="60" t="s">
        <v>3629</v>
      </c>
      <c r="C10" s="499">
        <v>1.1000000000000001</v>
      </c>
      <c r="D10" s="131" t="s">
        <v>142</v>
      </c>
      <c r="E10" s="636">
        <f>SUM(E11:E30)</f>
        <v>0</v>
      </c>
      <c r="F10" s="636">
        <f t="shared" ref="F10:M10" si="1">SUM(F11:F30)</f>
        <v>0</v>
      </c>
      <c r="G10" s="636">
        <f t="shared" si="1"/>
        <v>0</v>
      </c>
      <c r="H10" s="636">
        <f t="shared" si="1"/>
        <v>0</v>
      </c>
      <c r="I10" s="259">
        <f t="shared" ref="I10:I73" si="2">SUM(E10:H10)</f>
        <v>0</v>
      </c>
      <c r="J10" s="636">
        <f t="shared" si="1"/>
        <v>0</v>
      </c>
      <c r="K10" s="636">
        <f t="shared" si="1"/>
        <v>0</v>
      </c>
      <c r="L10" s="636">
        <f t="shared" si="1"/>
        <v>0</v>
      </c>
      <c r="M10" s="636">
        <f t="shared" si="1"/>
        <v>0</v>
      </c>
      <c r="N10" s="260">
        <f t="shared" ref="N10:N73" si="3">SUM(J10:M10)</f>
        <v>0</v>
      </c>
    </row>
    <row r="11" spans="2:14" s="167" customFormat="1" ht="15" customHeight="1" outlineLevel="1" x14ac:dyDescent="0.2">
      <c r="B11" s="60" t="s">
        <v>3630</v>
      </c>
      <c r="C11" s="506" t="s">
        <v>446</v>
      </c>
      <c r="D11" s="166" t="s">
        <v>668</v>
      </c>
      <c r="E11" s="154"/>
      <c r="F11" s="154"/>
      <c r="G11" s="154"/>
      <c r="H11" s="154"/>
      <c r="I11" s="251">
        <f t="shared" si="2"/>
        <v>0</v>
      </c>
      <c r="J11" s="154"/>
      <c r="K11" s="154"/>
      <c r="L11" s="154"/>
      <c r="M11" s="154"/>
      <c r="N11" s="252">
        <f t="shared" si="3"/>
        <v>0</v>
      </c>
    </row>
    <row r="12" spans="2:14" s="167" customFormat="1" ht="15" customHeight="1" outlineLevel="1" x14ac:dyDescent="0.2">
      <c r="B12" s="60" t="s">
        <v>3631</v>
      </c>
      <c r="C12" s="506" t="s">
        <v>447</v>
      </c>
      <c r="D12" s="166" t="s">
        <v>668</v>
      </c>
      <c r="E12" s="154"/>
      <c r="F12" s="154"/>
      <c r="G12" s="154"/>
      <c r="H12" s="154"/>
      <c r="I12" s="251">
        <f t="shared" si="2"/>
        <v>0</v>
      </c>
      <c r="J12" s="154"/>
      <c r="K12" s="154"/>
      <c r="L12" s="154"/>
      <c r="M12" s="154"/>
      <c r="N12" s="252">
        <f t="shared" si="3"/>
        <v>0</v>
      </c>
    </row>
    <row r="13" spans="2:14" s="167" customFormat="1" ht="15" customHeight="1" outlineLevel="1" x14ac:dyDescent="0.2">
      <c r="B13" s="60" t="s">
        <v>3632</v>
      </c>
      <c r="C13" s="506" t="s">
        <v>456</v>
      </c>
      <c r="D13" s="166" t="s">
        <v>668</v>
      </c>
      <c r="E13" s="154"/>
      <c r="F13" s="154"/>
      <c r="G13" s="154"/>
      <c r="H13" s="154"/>
      <c r="I13" s="251">
        <f t="shared" si="2"/>
        <v>0</v>
      </c>
      <c r="J13" s="154"/>
      <c r="K13" s="154"/>
      <c r="L13" s="154"/>
      <c r="M13" s="154"/>
      <c r="N13" s="252">
        <f t="shared" si="3"/>
        <v>0</v>
      </c>
    </row>
    <row r="14" spans="2:14" s="167" customFormat="1" ht="15" customHeight="1" outlineLevel="1" x14ac:dyDescent="0.2">
      <c r="B14" s="60" t="s">
        <v>3633</v>
      </c>
      <c r="C14" s="506" t="s">
        <v>528</v>
      </c>
      <c r="D14" s="166" t="s">
        <v>668</v>
      </c>
      <c r="E14" s="154"/>
      <c r="F14" s="154"/>
      <c r="G14" s="154"/>
      <c r="H14" s="154"/>
      <c r="I14" s="251">
        <f t="shared" si="2"/>
        <v>0</v>
      </c>
      <c r="J14" s="154"/>
      <c r="K14" s="154"/>
      <c r="L14" s="154"/>
      <c r="M14" s="154"/>
      <c r="N14" s="252">
        <f t="shared" si="3"/>
        <v>0</v>
      </c>
    </row>
    <row r="15" spans="2:14" s="167" customFormat="1" ht="15" customHeight="1" outlineLevel="1" x14ac:dyDescent="0.2">
      <c r="B15" s="60" t="s">
        <v>3634</v>
      </c>
      <c r="C15" s="506" t="s">
        <v>529</v>
      </c>
      <c r="D15" s="166" t="s">
        <v>668</v>
      </c>
      <c r="E15" s="154"/>
      <c r="F15" s="154"/>
      <c r="G15" s="154"/>
      <c r="H15" s="154"/>
      <c r="I15" s="251">
        <f t="shared" si="2"/>
        <v>0</v>
      </c>
      <c r="J15" s="154"/>
      <c r="K15" s="154"/>
      <c r="L15" s="154"/>
      <c r="M15" s="154"/>
      <c r="N15" s="252">
        <f t="shared" si="3"/>
        <v>0</v>
      </c>
    </row>
    <row r="16" spans="2:14" s="167" customFormat="1" ht="15" customHeight="1" outlineLevel="1" x14ac:dyDescent="0.2">
      <c r="B16" s="60" t="s">
        <v>3635</v>
      </c>
      <c r="C16" s="506" t="s">
        <v>530</v>
      </c>
      <c r="D16" s="166" t="s">
        <v>668</v>
      </c>
      <c r="E16" s="154"/>
      <c r="F16" s="154"/>
      <c r="G16" s="154"/>
      <c r="H16" s="154"/>
      <c r="I16" s="251">
        <f t="shared" si="2"/>
        <v>0</v>
      </c>
      <c r="J16" s="154"/>
      <c r="K16" s="154"/>
      <c r="L16" s="154"/>
      <c r="M16" s="154"/>
      <c r="N16" s="252">
        <f t="shared" si="3"/>
        <v>0</v>
      </c>
    </row>
    <row r="17" spans="2:14" s="167" customFormat="1" ht="15" customHeight="1" outlineLevel="1" x14ac:dyDescent="0.2">
      <c r="B17" s="60" t="s">
        <v>3636</v>
      </c>
      <c r="C17" s="506" t="s">
        <v>531</v>
      </c>
      <c r="D17" s="166" t="s">
        <v>668</v>
      </c>
      <c r="E17" s="154"/>
      <c r="F17" s="154"/>
      <c r="G17" s="154"/>
      <c r="H17" s="154"/>
      <c r="I17" s="251">
        <f t="shared" si="2"/>
        <v>0</v>
      </c>
      <c r="J17" s="154"/>
      <c r="K17" s="154"/>
      <c r="L17" s="154"/>
      <c r="M17" s="154"/>
      <c r="N17" s="252">
        <f t="shared" si="3"/>
        <v>0</v>
      </c>
    </row>
    <row r="18" spans="2:14" s="167" customFormat="1" ht="15" customHeight="1" outlineLevel="1" x14ac:dyDescent="0.2">
      <c r="B18" s="60" t="s">
        <v>3637</v>
      </c>
      <c r="C18" s="506" t="s">
        <v>532</v>
      </c>
      <c r="D18" s="166" t="s">
        <v>668</v>
      </c>
      <c r="E18" s="154"/>
      <c r="F18" s="154"/>
      <c r="G18" s="154"/>
      <c r="H18" s="154"/>
      <c r="I18" s="251">
        <f t="shared" si="2"/>
        <v>0</v>
      </c>
      <c r="J18" s="154"/>
      <c r="K18" s="154"/>
      <c r="L18" s="154"/>
      <c r="M18" s="154"/>
      <c r="N18" s="252">
        <f t="shared" si="3"/>
        <v>0</v>
      </c>
    </row>
    <row r="19" spans="2:14" s="167" customFormat="1" ht="15" customHeight="1" outlineLevel="1" x14ac:dyDescent="0.2">
      <c r="B19" s="60" t="s">
        <v>3638</v>
      </c>
      <c r="C19" s="506" t="s">
        <v>533</v>
      </c>
      <c r="D19" s="166" t="s">
        <v>668</v>
      </c>
      <c r="E19" s="154"/>
      <c r="F19" s="154"/>
      <c r="G19" s="154"/>
      <c r="H19" s="154"/>
      <c r="I19" s="251">
        <f t="shared" si="2"/>
        <v>0</v>
      </c>
      <c r="J19" s="154"/>
      <c r="K19" s="154"/>
      <c r="L19" s="154"/>
      <c r="M19" s="154"/>
      <c r="N19" s="252">
        <f t="shared" si="3"/>
        <v>0</v>
      </c>
    </row>
    <row r="20" spans="2:14" s="167" customFormat="1" ht="15" customHeight="1" outlineLevel="1" x14ac:dyDescent="0.2">
      <c r="B20" s="60" t="s">
        <v>3639</v>
      </c>
      <c r="C20" s="506" t="s">
        <v>534</v>
      </c>
      <c r="D20" s="166" t="s">
        <v>668</v>
      </c>
      <c r="E20" s="154"/>
      <c r="F20" s="154"/>
      <c r="G20" s="154"/>
      <c r="H20" s="154"/>
      <c r="I20" s="251">
        <f t="shared" si="2"/>
        <v>0</v>
      </c>
      <c r="J20" s="154"/>
      <c r="K20" s="154"/>
      <c r="L20" s="154"/>
      <c r="M20" s="154"/>
      <c r="N20" s="252">
        <f t="shared" si="3"/>
        <v>0</v>
      </c>
    </row>
    <row r="21" spans="2:14" s="167" customFormat="1" ht="15" customHeight="1" outlineLevel="1" x14ac:dyDescent="0.2">
      <c r="B21" s="60" t="s">
        <v>3640</v>
      </c>
      <c r="C21" s="506" t="s">
        <v>535</v>
      </c>
      <c r="D21" s="166" t="s">
        <v>668</v>
      </c>
      <c r="E21" s="154"/>
      <c r="F21" s="154"/>
      <c r="G21" s="154"/>
      <c r="H21" s="154"/>
      <c r="I21" s="251">
        <f t="shared" si="2"/>
        <v>0</v>
      </c>
      <c r="J21" s="154"/>
      <c r="K21" s="154"/>
      <c r="L21" s="154"/>
      <c r="M21" s="154"/>
      <c r="N21" s="252">
        <f t="shared" si="3"/>
        <v>0</v>
      </c>
    </row>
    <row r="22" spans="2:14" s="167" customFormat="1" ht="15" customHeight="1" outlineLevel="1" x14ac:dyDescent="0.2">
      <c r="B22" s="60" t="s">
        <v>3641</v>
      </c>
      <c r="C22" s="506" t="s">
        <v>536</v>
      </c>
      <c r="D22" s="166" t="s">
        <v>668</v>
      </c>
      <c r="E22" s="154"/>
      <c r="F22" s="154"/>
      <c r="G22" s="154"/>
      <c r="H22" s="154"/>
      <c r="I22" s="251">
        <f t="shared" si="2"/>
        <v>0</v>
      </c>
      <c r="J22" s="154"/>
      <c r="K22" s="154"/>
      <c r="L22" s="154"/>
      <c r="M22" s="154"/>
      <c r="N22" s="252">
        <f t="shared" si="3"/>
        <v>0</v>
      </c>
    </row>
    <row r="23" spans="2:14" s="167" customFormat="1" ht="15" customHeight="1" outlineLevel="1" x14ac:dyDescent="0.2">
      <c r="B23" s="60" t="s">
        <v>3642</v>
      </c>
      <c r="C23" s="506" t="s">
        <v>537</v>
      </c>
      <c r="D23" s="166" t="s">
        <v>668</v>
      </c>
      <c r="E23" s="154"/>
      <c r="F23" s="154"/>
      <c r="G23" s="154"/>
      <c r="H23" s="154"/>
      <c r="I23" s="251">
        <f t="shared" si="2"/>
        <v>0</v>
      </c>
      <c r="J23" s="154"/>
      <c r="K23" s="154"/>
      <c r="L23" s="154"/>
      <c r="M23" s="154"/>
      <c r="N23" s="252">
        <f t="shared" si="3"/>
        <v>0</v>
      </c>
    </row>
    <row r="24" spans="2:14" s="167" customFormat="1" ht="15" customHeight="1" outlineLevel="1" x14ac:dyDescent="0.2">
      <c r="B24" s="60" t="s">
        <v>3643</v>
      </c>
      <c r="C24" s="506" t="s">
        <v>538</v>
      </c>
      <c r="D24" s="166" t="s">
        <v>668</v>
      </c>
      <c r="E24" s="154"/>
      <c r="F24" s="154"/>
      <c r="G24" s="154"/>
      <c r="H24" s="154"/>
      <c r="I24" s="251">
        <f t="shared" si="2"/>
        <v>0</v>
      </c>
      <c r="J24" s="154"/>
      <c r="K24" s="154"/>
      <c r="L24" s="154"/>
      <c r="M24" s="154"/>
      <c r="N24" s="252">
        <f t="shared" si="3"/>
        <v>0</v>
      </c>
    </row>
    <row r="25" spans="2:14" s="167" customFormat="1" ht="15" customHeight="1" outlineLevel="1" x14ac:dyDescent="0.2">
      <c r="B25" s="60" t="s">
        <v>3644</v>
      </c>
      <c r="C25" s="506" t="s">
        <v>539</v>
      </c>
      <c r="D25" s="166" t="s">
        <v>668</v>
      </c>
      <c r="E25" s="154"/>
      <c r="F25" s="154"/>
      <c r="G25" s="154"/>
      <c r="H25" s="154"/>
      <c r="I25" s="251">
        <f t="shared" si="2"/>
        <v>0</v>
      </c>
      <c r="J25" s="154"/>
      <c r="K25" s="154"/>
      <c r="L25" s="154"/>
      <c r="M25" s="154"/>
      <c r="N25" s="252">
        <f t="shared" si="3"/>
        <v>0</v>
      </c>
    </row>
    <row r="26" spans="2:14" s="167" customFormat="1" ht="15" customHeight="1" outlineLevel="1" x14ac:dyDescent="0.2">
      <c r="B26" s="60" t="s">
        <v>3645</v>
      </c>
      <c r="C26" s="506" t="s">
        <v>540</v>
      </c>
      <c r="D26" s="166" t="s">
        <v>668</v>
      </c>
      <c r="E26" s="154"/>
      <c r="F26" s="154"/>
      <c r="G26" s="154"/>
      <c r="H26" s="154"/>
      <c r="I26" s="251">
        <f t="shared" si="2"/>
        <v>0</v>
      </c>
      <c r="J26" s="154"/>
      <c r="K26" s="154"/>
      <c r="L26" s="154"/>
      <c r="M26" s="154"/>
      <c r="N26" s="252">
        <f t="shared" si="3"/>
        <v>0</v>
      </c>
    </row>
    <row r="27" spans="2:14" s="167" customFormat="1" ht="15" customHeight="1" outlineLevel="1" x14ac:dyDescent="0.2">
      <c r="B27" s="60" t="s">
        <v>3646</v>
      </c>
      <c r="C27" s="506" t="s">
        <v>541</v>
      </c>
      <c r="D27" s="166" t="s">
        <v>668</v>
      </c>
      <c r="E27" s="154"/>
      <c r="F27" s="154"/>
      <c r="G27" s="154"/>
      <c r="H27" s="154"/>
      <c r="I27" s="251">
        <f t="shared" si="2"/>
        <v>0</v>
      </c>
      <c r="J27" s="154"/>
      <c r="K27" s="154"/>
      <c r="L27" s="154"/>
      <c r="M27" s="154"/>
      <c r="N27" s="252">
        <f t="shared" si="3"/>
        <v>0</v>
      </c>
    </row>
    <row r="28" spans="2:14" s="167" customFormat="1" ht="15" customHeight="1" outlineLevel="1" x14ac:dyDescent="0.2">
      <c r="B28" s="60" t="s">
        <v>3647</v>
      </c>
      <c r="C28" s="506" t="s">
        <v>542</v>
      </c>
      <c r="D28" s="166" t="s">
        <v>668</v>
      </c>
      <c r="E28" s="154"/>
      <c r="F28" s="154"/>
      <c r="G28" s="154"/>
      <c r="H28" s="154"/>
      <c r="I28" s="251">
        <f t="shared" si="2"/>
        <v>0</v>
      </c>
      <c r="J28" s="154"/>
      <c r="K28" s="154"/>
      <c r="L28" s="154"/>
      <c r="M28" s="154"/>
      <c r="N28" s="252">
        <f t="shared" si="3"/>
        <v>0</v>
      </c>
    </row>
    <row r="29" spans="2:14" s="167" customFormat="1" ht="15" customHeight="1" outlineLevel="1" x14ac:dyDescent="0.2">
      <c r="B29" s="60" t="s">
        <v>3648</v>
      </c>
      <c r="C29" s="506" t="s">
        <v>543</v>
      </c>
      <c r="D29" s="166" t="s">
        <v>668</v>
      </c>
      <c r="E29" s="154"/>
      <c r="F29" s="154"/>
      <c r="G29" s="154"/>
      <c r="H29" s="154"/>
      <c r="I29" s="251">
        <f t="shared" si="2"/>
        <v>0</v>
      </c>
      <c r="J29" s="154"/>
      <c r="K29" s="154"/>
      <c r="L29" s="154"/>
      <c r="M29" s="154"/>
      <c r="N29" s="252">
        <f t="shared" si="3"/>
        <v>0</v>
      </c>
    </row>
    <row r="30" spans="2:14" s="167" customFormat="1" ht="15" customHeight="1" outlineLevel="1" x14ac:dyDescent="0.2">
      <c r="B30" s="60" t="s">
        <v>3649</v>
      </c>
      <c r="C30" s="506" t="s">
        <v>544</v>
      </c>
      <c r="D30" s="166" t="s">
        <v>668</v>
      </c>
      <c r="E30" s="154"/>
      <c r="F30" s="154"/>
      <c r="G30" s="154"/>
      <c r="H30" s="154"/>
      <c r="I30" s="251">
        <f t="shared" si="2"/>
        <v>0</v>
      </c>
      <c r="J30" s="154"/>
      <c r="K30" s="154"/>
      <c r="L30" s="154"/>
      <c r="M30" s="154"/>
      <c r="N30" s="252">
        <f t="shared" si="3"/>
        <v>0</v>
      </c>
    </row>
    <row r="31" spans="2:14" s="138" customFormat="1" ht="15" customHeight="1" x14ac:dyDescent="0.2">
      <c r="B31" s="60" t="s">
        <v>3650</v>
      </c>
      <c r="C31" s="499">
        <v>1.2</v>
      </c>
      <c r="D31" s="131" t="s">
        <v>143</v>
      </c>
      <c r="E31" s="636">
        <f>SUM(E32:E51)</f>
        <v>0</v>
      </c>
      <c r="F31" s="636">
        <f>SUM(F32:F51)</f>
        <v>0</v>
      </c>
      <c r="G31" s="636">
        <f>SUM(G32:G51)</f>
        <v>0</v>
      </c>
      <c r="H31" s="636">
        <f>SUM(H32:H51)</f>
        <v>0</v>
      </c>
      <c r="I31" s="259">
        <f t="shared" si="2"/>
        <v>0</v>
      </c>
      <c r="J31" s="636">
        <f>SUM(J32:J51)</f>
        <v>0</v>
      </c>
      <c r="K31" s="636">
        <f>SUM(K32:K51)</f>
        <v>0</v>
      </c>
      <c r="L31" s="636">
        <f>SUM(L32:L51)</f>
        <v>0</v>
      </c>
      <c r="M31" s="636">
        <f>SUM(M32:M51)</f>
        <v>0</v>
      </c>
      <c r="N31" s="260">
        <f t="shared" si="3"/>
        <v>0</v>
      </c>
    </row>
    <row r="32" spans="2:14" s="167" customFormat="1" ht="15" customHeight="1" outlineLevel="1" x14ac:dyDescent="0.2">
      <c r="B32" s="60" t="s">
        <v>3651</v>
      </c>
      <c r="C32" s="506" t="s">
        <v>452</v>
      </c>
      <c r="D32" s="166" t="s">
        <v>668</v>
      </c>
      <c r="E32" s="154"/>
      <c r="F32" s="154"/>
      <c r="G32" s="154"/>
      <c r="H32" s="154"/>
      <c r="I32" s="251">
        <f t="shared" si="2"/>
        <v>0</v>
      </c>
      <c r="J32" s="154"/>
      <c r="K32" s="154"/>
      <c r="L32" s="154"/>
      <c r="M32" s="154"/>
      <c r="N32" s="252">
        <f t="shared" si="3"/>
        <v>0</v>
      </c>
    </row>
    <row r="33" spans="2:14" s="167" customFormat="1" ht="15" customHeight="1" outlineLevel="1" x14ac:dyDescent="0.2">
      <c r="B33" s="60" t="s">
        <v>3652</v>
      </c>
      <c r="C33" s="506" t="s">
        <v>453</v>
      </c>
      <c r="D33" s="166" t="s">
        <v>668</v>
      </c>
      <c r="E33" s="154"/>
      <c r="F33" s="154"/>
      <c r="G33" s="154"/>
      <c r="H33" s="154"/>
      <c r="I33" s="251">
        <f t="shared" si="2"/>
        <v>0</v>
      </c>
      <c r="J33" s="154"/>
      <c r="K33" s="154"/>
      <c r="L33" s="154"/>
      <c r="M33" s="154"/>
      <c r="N33" s="252">
        <f t="shared" si="3"/>
        <v>0</v>
      </c>
    </row>
    <row r="34" spans="2:14" s="167" customFormat="1" ht="15" customHeight="1" outlineLevel="1" x14ac:dyDescent="0.2">
      <c r="B34" s="60" t="s">
        <v>3653</v>
      </c>
      <c r="C34" s="506" t="s">
        <v>457</v>
      </c>
      <c r="D34" s="166" t="s">
        <v>668</v>
      </c>
      <c r="E34" s="154"/>
      <c r="F34" s="154"/>
      <c r="G34" s="154"/>
      <c r="H34" s="154"/>
      <c r="I34" s="251">
        <f t="shared" si="2"/>
        <v>0</v>
      </c>
      <c r="J34" s="154"/>
      <c r="K34" s="154"/>
      <c r="L34" s="154"/>
      <c r="M34" s="154"/>
      <c r="N34" s="252">
        <f t="shared" si="3"/>
        <v>0</v>
      </c>
    </row>
    <row r="35" spans="2:14" s="167" customFormat="1" ht="15" customHeight="1" outlineLevel="1" x14ac:dyDescent="0.2">
      <c r="B35" s="60" t="s">
        <v>3654</v>
      </c>
      <c r="C35" s="506" t="s">
        <v>545</v>
      </c>
      <c r="D35" s="166" t="s">
        <v>668</v>
      </c>
      <c r="E35" s="154"/>
      <c r="F35" s="154"/>
      <c r="G35" s="154"/>
      <c r="H35" s="154"/>
      <c r="I35" s="251">
        <f t="shared" si="2"/>
        <v>0</v>
      </c>
      <c r="J35" s="154"/>
      <c r="K35" s="154"/>
      <c r="L35" s="154"/>
      <c r="M35" s="154"/>
      <c r="N35" s="252">
        <f t="shared" si="3"/>
        <v>0</v>
      </c>
    </row>
    <row r="36" spans="2:14" s="167" customFormat="1" ht="15" customHeight="1" outlineLevel="1" x14ac:dyDescent="0.2">
      <c r="B36" s="60" t="s">
        <v>3655</v>
      </c>
      <c r="C36" s="506" t="s">
        <v>546</v>
      </c>
      <c r="D36" s="166" t="s">
        <v>668</v>
      </c>
      <c r="E36" s="154"/>
      <c r="F36" s="154"/>
      <c r="G36" s="154"/>
      <c r="H36" s="154"/>
      <c r="I36" s="251">
        <f t="shared" si="2"/>
        <v>0</v>
      </c>
      <c r="J36" s="154"/>
      <c r="K36" s="154"/>
      <c r="L36" s="154"/>
      <c r="M36" s="154"/>
      <c r="N36" s="252">
        <f t="shared" si="3"/>
        <v>0</v>
      </c>
    </row>
    <row r="37" spans="2:14" s="167" customFormat="1" ht="15" customHeight="1" outlineLevel="1" x14ac:dyDescent="0.2">
      <c r="B37" s="60" t="s">
        <v>3656</v>
      </c>
      <c r="C37" s="506" t="s">
        <v>547</v>
      </c>
      <c r="D37" s="166" t="s">
        <v>668</v>
      </c>
      <c r="E37" s="154"/>
      <c r="F37" s="154"/>
      <c r="G37" s="154"/>
      <c r="H37" s="154"/>
      <c r="I37" s="251">
        <f t="shared" si="2"/>
        <v>0</v>
      </c>
      <c r="J37" s="154"/>
      <c r="K37" s="154"/>
      <c r="L37" s="154"/>
      <c r="M37" s="154"/>
      <c r="N37" s="252">
        <f t="shared" si="3"/>
        <v>0</v>
      </c>
    </row>
    <row r="38" spans="2:14" s="167" customFormat="1" ht="15" customHeight="1" outlineLevel="1" x14ac:dyDescent="0.2">
      <c r="B38" s="60" t="s">
        <v>3657</v>
      </c>
      <c r="C38" s="506" t="s">
        <v>548</v>
      </c>
      <c r="D38" s="166" t="s">
        <v>668</v>
      </c>
      <c r="E38" s="154"/>
      <c r="F38" s="154"/>
      <c r="G38" s="154"/>
      <c r="H38" s="154"/>
      <c r="I38" s="251">
        <f t="shared" si="2"/>
        <v>0</v>
      </c>
      <c r="J38" s="154"/>
      <c r="K38" s="154"/>
      <c r="L38" s="154"/>
      <c r="M38" s="154"/>
      <c r="N38" s="252">
        <f t="shared" si="3"/>
        <v>0</v>
      </c>
    </row>
    <row r="39" spans="2:14" s="167" customFormat="1" ht="15" customHeight="1" outlineLevel="1" x14ac:dyDescent="0.2">
      <c r="B39" s="60" t="s">
        <v>3658</v>
      </c>
      <c r="C39" s="506" t="s">
        <v>549</v>
      </c>
      <c r="D39" s="166" t="s">
        <v>668</v>
      </c>
      <c r="E39" s="154"/>
      <c r="F39" s="154"/>
      <c r="G39" s="154"/>
      <c r="H39" s="154"/>
      <c r="I39" s="251">
        <f t="shared" si="2"/>
        <v>0</v>
      </c>
      <c r="J39" s="154"/>
      <c r="K39" s="154"/>
      <c r="L39" s="154"/>
      <c r="M39" s="154"/>
      <c r="N39" s="252">
        <f t="shared" si="3"/>
        <v>0</v>
      </c>
    </row>
    <row r="40" spans="2:14" s="167" customFormat="1" ht="15" customHeight="1" outlineLevel="1" x14ac:dyDescent="0.2">
      <c r="B40" s="60" t="s">
        <v>3659</v>
      </c>
      <c r="C40" s="506" t="s">
        <v>550</v>
      </c>
      <c r="D40" s="166" t="s">
        <v>668</v>
      </c>
      <c r="E40" s="154"/>
      <c r="F40" s="154"/>
      <c r="G40" s="154"/>
      <c r="H40" s="154"/>
      <c r="I40" s="251">
        <f t="shared" si="2"/>
        <v>0</v>
      </c>
      <c r="J40" s="154"/>
      <c r="K40" s="154"/>
      <c r="L40" s="154"/>
      <c r="M40" s="154"/>
      <c r="N40" s="252">
        <f t="shared" si="3"/>
        <v>0</v>
      </c>
    </row>
    <row r="41" spans="2:14" s="167" customFormat="1" ht="15" customHeight="1" outlineLevel="1" x14ac:dyDescent="0.2">
      <c r="B41" s="60" t="s">
        <v>3660</v>
      </c>
      <c r="C41" s="506" t="s">
        <v>551</v>
      </c>
      <c r="D41" s="166" t="s">
        <v>668</v>
      </c>
      <c r="E41" s="154"/>
      <c r="F41" s="154"/>
      <c r="G41" s="154"/>
      <c r="H41" s="154"/>
      <c r="I41" s="251">
        <f t="shared" si="2"/>
        <v>0</v>
      </c>
      <c r="J41" s="154"/>
      <c r="K41" s="154"/>
      <c r="L41" s="154"/>
      <c r="M41" s="154"/>
      <c r="N41" s="252">
        <f t="shared" si="3"/>
        <v>0</v>
      </c>
    </row>
    <row r="42" spans="2:14" s="167" customFormat="1" ht="15" customHeight="1" outlineLevel="1" x14ac:dyDescent="0.2">
      <c r="B42" s="60" t="s">
        <v>3661</v>
      </c>
      <c r="C42" s="506" t="s">
        <v>552</v>
      </c>
      <c r="D42" s="166" t="s">
        <v>668</v>
      </c>
      <c r="E42" s="154"/>
      <c r="F42" s="154"/>
      <c r="G42" s="154"/>
      <c r="H42" s="154"/>
      <c r="I42" s="251">
        <f t="shared" si="2"/>
        <v>0</v>
      </c>
      <c r="J42" s="154"/>
      <c r="K42" s="154"/>
      <c r="L42" s="154"/>
      <c r="M42" s="154"/>
      <c r="N42" s="252">
        <f t="shared" si="3"/>
        <v>0</v>
      </c>
    </row>
    <row r="43" spans="2:14" s="167" customFormat="1" ht="15" customHeight="1" outlineLevel="1" x14ac:dyDescent="0.2">
      <c r="B43" s="60" t="s">
        <v>3662</v>
      </c>
      <c r="C43" s="506" t="s">
        <v>553</v>
      </c>
      <c r="D43" s="166" t="s">
        <v>668</v>
      </c>
      <c r="E43" s="154"/>
      <c r="F43" s="154"/>
      <c r="G43" s="154"/>
      <c r="H43" s="154"/>
      <c r="I43" s="251">
        <f t="shared" si="2"/>
        <v>0</v>
      </c>
      <c r="J43" s="154"/>
      <c r="K43" s="154"/>
      <c r="L43" s="154"/>
      <c r="M43" s="154"/>
      <c r="N43" s="252">
        <f t="shared" si="3"/>
        <v>0</v>
      </c>
    </row>
    <row r="44" spans="2:14" s="167" customFormat="1" ht="15" customHeight="1" outlineLevel="1" x14ac:dyDescent="0.2">
      <c r="B44" s="60" t="s">
        <v>3663</v>
      </c>
      <c r="C44" s="506" t="s">
        <v>554</v>
      </c>
      <c r="D44" s="166" t="s">
        <v>668</v>
      </c>
      <c r="E44" s="154"/>
      <c r="F44" s="154"/>
      <c r="G44" s="154"/>
      <c r="H44" s="154"/>
      <c r="I44" s="251">
        <f t="shared" si="2"/>
        <v>0</v>
      </c>
      <c r="J44" s="154"/>
      <c r="K44" s="154"/>
      <c r="L44" s="154"/>
      <c r="M44" s="154"/>
      <c r="N44" s="252">
        <f t="shared" si="3"/>
        <v>0</v>
      </c>
    </row>
    <row r="45" spans="2:14" s="167" customFormat="1" ht="15" customHeight="1" outlineLevel="1" x14ac:dyDescent="0.2">
      <c r="B45" s="60" t="s">
        <v>3664</v>
      </c>
      <c r="C45" s="506" t="s">
        <v>555</v>
      </c>
      <c r="D45" s="166" t="s">
        <v>668</v>
      </c>
      <c r="E45" s="154"/>
      <c r="F45" s="154"/>
      <c r="G45" s="154"/>
      <c r="H45" s="154"/>
      <c r="I45" s="251">
        <f t="shared" si="2"/>
        <v>0</v>
      </c>
      <c r="J45" s="154"/>
      <c r="K45" s="154"/>
      <c r="L45" s="154"/>
      <c r="M45" s="154"/>
      <c r="N45" s="252">
        <f t="shared" si="3"/>
        <v>0</v>
      </c>
    </row>
    <row r="46" spans="2:14" s="167" customFormat="1" ht="15" customHeight="1" outlineLevel="1" x14ac:dyDescent="0.2">
      <c r="B46" s="60" t="s">
        <v>3665</v>
      </c>
      <c r="C46" s="506" t="s">
        <v>556</v>
      </c>
      <c r="D46" s="166" t="s">
        <v>668</v>
      </c>
      <c r="E46" s="154"/>
      <c r="F46" s="154"/>
      <c r="G46" s="154"/>
      <c r="H46" s="154"/>
      <c r="I46" s="251">
        <f t="shared" si="2"/>
        <v>0</v>
      </c>
      <c r="J46" s="154"/>
      <c r="K46" s="154"/>
      <c r="L46" s="154"/>
      <c r="M46" s="154"/>
      <c r="N46" s="252">
        <f t="shared" si="3"/>
        <v>0</v>
      </c>
    </row>
    <row r="47" spans="2:14" s="167" customFormat="1" ht="15" customHeight="1" outlineLevel="1" x14ac:dyDescent="0.2">
      <c r="B47" s="60" t="s">
        <v>3666</v>
      </c>
      <c r="C47" s="506" t="s">
        <v>557</v>
      </c>
      <c r="D47" s="166" t="s">
        <v>668</v>
      </c>
      <c r="E47" s="154"/>
      <c r="F47" s="154"/>
      <c r="G47" s="154"/>
      <c r="H47" s="154"/>
      <c r="I47" s="251">
        <f t="shared" si="2"/>
        <v>0</v>
      </c>
      <c r="J47" s="154"/>
      <c r="K47" s="154"/>
      <c r="L47" s="154"/>
      <c r="M47" s="154"/>
      <c r="N47" s="252">
        <f t="shared" si="3"/>
        <v>0</v>
      </c>
    </row>
    <row r="48" spans="2:14" s="167" customFormat="1" ht="15" customHeight="1" outlineLevel="1" x14ac:dyDescent="0.2">
      <c r="B48" s="60" t="s">
        <v>3667</v>
      </c>
      <c r="C48" s="506" t="s">
        <v>558</v>
      </c>
      <c r="D48" s="166" t="s">
        <v>668</v>
      </c>
      <c r="E48" s="154"/>
      <c r="F48" s="154"/>
      <c r="G48" s="154"/>
      <c r="H48" s="154"/>
      <c r="I48" s="251">
        <f t="shared" si="2"/>
        <v>0</v>
      </c>
      <c r="J48" s="154"/>
      <c r="K48" s="154"/>
      <c r="L48" s="154"/>
      <c r="M48" s="154"/>
      <c r="N48" s="252">
        <f t="shared" si="3"/>
        <v>0</v>
      </c>
    </row>
    <row r="49" spans="2:14" s="167" customFormat="1" ht="15" customHeight="1" outlineLevel="1" x14ac:dyDescent="0.2">
      <c r="B49" s="60" t="s">
        <v>3668</v>
      </c>
      <c r="C49" s="506" t="s">
        <v>559</v>
      </c>
      <c r="D49" s="166" t="s">
        <v>668</v>
      </c>
      <c r="E49" s="154"/>
      <c r="F49" s="154"/>
      <c r="G49" s="154"/>
      <c r="H49" s="154"/>
      <c r="I49" s="251">
        <f t="shared" si="2"/>
        <v>0</v>
      </c>
      <c r="J49" s="154"/>
      <c r="K49" s="154"/>
      <c r="L49" s="154"/>
      <c r="M49" s="154"/>
      <c r="N49" s="252">
        <f t="shared" si="3"/>
        <v>0</v>
      </c>
    </row>
    <row r="50" spans="2:14" s="167" customFormat="1" ht="15" customHeight="1" outlineLevel="1" x14ac:dyDescent="0.2">
      <c r="B50" s="60" t="s">
        <v>3669</v>
      </c>
      <c r="C50" s="506" t="s">
        <v>560</v>
      </c>
      <c r="D50" s="166" t="s">
        <v>668</v>
      </c>
      <c r="E50" s="154"/>
      <c r="F50" s="154"/>
      <c r="G50" s="154"/>
      <c r="H50" s="154"/>
      <c r="I50" s="251">
        <f t="shared" si="2"/>
        <v>0</v>
      </c>
      <c r="J50" s="154"/>
      <c r="K50" s="154"/>
      <c r="L50" s="154"/>
      <c r="M50" s="154"/>
      <c r="N50" s="252">
        <f t="shared" si="3"/>
        <v>0</v>
      </c>
    </row>
    <row r="51" spans="2:14" s="167" customFormat="1" ht="15" customHeight="1" outlineLevel="1" x14ac:dyDescent="0.2">
      <c r="B51" s="60" t="s">
        <v>3670</v>
      </c>
      <c r="C51" s="506" t="s">
        <v>561</v>
      </c>
      <c r="D51" s="166" t="s">
        <v>668</v>
      </c>
      <c r="E51" s="154"/>
      <c r="F51" s="154"/>
      <c r="G51" s="154"/>
      <c r="H51" s="154"/>
      <c r="I51" s="251">
        <f t="shared" si="2"/>
        <v>0</v>
      </c>
      <c r="J51" s="154"/>
      <c r="K51" s="154"/>
      <c r="L51" s="154"/>
      <c r="M51" s="154"/>
      <c r="N51" s="252">
        <f t="shared" si="3"/>
        <v>0</v>
      </c>
    </row>
    <row r="52" spans="2:14" s="138" customFormat="1" ht="15" customHeight="1" x14ac:dyDescent="0.2">
      <c r="B52" s="60" t="s">
        <v>3671</v>
      </c>
      <c r="C52" s="499">
        <v>1.3</v>
      </c>
      <c r="D52" s="131" t="s">
        <v>144</v>
      </c>
      <c r="E52" s="636">
        <f>SUM(E53:E72)</f>
        <v>0</v>
      </c>
      <c r="F52" s="636">
        <f>SUM(F53:F72)</f>
        <v>0</v>
      </c>
      <c r="G52" s="636">
        <f>SUM(G53:G72)</f>
        <v>0</v>
      </c>
      <c r="H52" s="636">
        <f>SUM(H53:H72)</f>
        <v>0</v>
      </c>
      <c r="I52" s="259">
        <f t="shared" si="2"/>
        <v>0</v>
      </c>
      <c r="J52" s="636">
        <f>SUM(J53:J72)</f>
        <v>0</v>
      </c>
      <c r="K52" s="636">
        <f>SUM(K53:K72)</f>
        <v>0</v>
      </c>
      <c r="L52" s="636">
        <f>SUM(L53:L72)</f>
        <v>0</v>
      </c>
      <c r="M52" s="636">
        <f>SUM(M53:M72)</f>
        <v>0</v>
      </c>
      <c r="N52" s="260">
        <f t="shared" si="3"/>
        <v>0</v>
      </c>
    </row>
    <row r="53" spans="2:14" s="167" customFormat="1" ht="15" customHeight="1" outlineLevel="1" x14ac:dyDescent="0.2">
      <c r="B53" s="60" t="s">
        <v>3672</v>
      </c>
      <c r="C53" s="506" t="s">
        <v>2480</v>
      </c>
      <c r="D53" s="166" t="s">
        <v>668</v>
      </c>
      <c r="E53" s="154"/>
      <c r="F53" s="154"/>
      <c r="G53" s="154"/>
      <c r="H53" s="154"/>
      <c r="I53" s="251">
        <f t="shared" si="2"/>
        <v>0</v>
      </c>
      <c r="J53" s="154"/>
      <c r="K53" s="154"/>
      <c r="L53" s="154"/>
      <c r="M53" s="154"/>
      <c r="N53" s="252">
        <f t="shared" si="3"/>
        <v>0</v>
      </c>
    </row>
    <row r="54" spans="2:14" s="167" customFormat="1" ht="15" customHeight="1" outlineLevel="1" x14ac:dyDescent="0.2">
      <c r="B54" s="60" t="s">
        <v>3673</v>
      </c>
      <c r="C54" s="506" t="s">
        <v>2481</v>
      </c>
      <c r="D54" s="166" t="s">
        <v>668</v>
      </c>
      <c r="E54" s="154"/>
      <c r="F54" s="154"/>
      <c r="G54" s="154"/>
      <c r="H54" s="154"/>
      <c r="I54" s="251">
        <f t="shared" si="2"/>
        <v>0</v>
      </c>
      <c r="J54" s="154"/>
      <c r="K54" s="154"/>
      <c r="L54" s="154"/>
      <c r="M54" s="154"/>
      <c r="N54" s="252">
        <f t="shared" si="3"/>
        <v>0</v>
      </c>
    </row>
    <row r="55" spans="2:14" s="167" customFormat="1" ht="15" customHeight="1" outlineLevel="1" x14ac:dyDescent="0.2">
      <c r="B55" s="60" t="s">
        <v>3674</v>
      </c>
      <c r="C55" s="506" t="s">
        <v>2482</v>
      </c>
      <c r="D55" s="166" t="s">
        <v>668</v>
      </c>
      <c r="E55" s="154"/>
      <c r="F55" s="154"/>
      <c r="G55" s="154"/>
      <c r="H55" s="154"/>
      <c r="I55" s="251">
        <f t="shared" si="2"/>
        <v>0</v>
      </c>
      <c r="J55" s="154"/>
      <c r="K55" s="154"/>
      <c r="L55" s="154"/>
      <c r="M55" s="154"/>
      <c r="N55" s="252">
        <f t="shared" si="3"/>
        <v>0</v>
      </c>
    </row>
    <row r="56" spans="2:14" s="167" customFormat="1" ht="15" customHeight="1" outlineLevel="1" x14ac:dyDescent="0.2">
      <c r="B56" s="60" t="s">
        <v>3675</v>
      </c>
      <c r="C56" s="506" t="s">
        <v>2483</v>
      </c>
      <c r="D56" s="166" t="s">
        <v>668</v>
      </c>
      <c r="E56" s="154"/>
      <c r="F56" s="154"/>
      <c r="G56" s="154"/>
      <c r="H56" s="154"/>
      <c r="I56" s="251">
        <f t="shared" si="2"/>
        <v>0</v>
      </c>
      <c r="J56" s="154"/>
      <c r="K56" s="154"/>
      <c r="L56" s="154"/>
      <c r="M56" s="154"/>
      <c r="N56" s="252">
        <f t="shared" si="3"/>
        <v>0</v>
      </c>
    </row>
    <row r="57" spans="2:14" s="167" customFormat="1" ht="15" customHeight="1" outlineLevel="1" x14ac:dyDescent="0.2">
      <c r="B57" s="60" t="s">
        <v>3676</v>
      </c>
      <c r="C57" s="506" t="s">
        <v>2484</v>
      </c>
      <c r="D57" s="166" t="s">
        <v>668</v>
      </c>
      <c r="E57" s="154"/>
      <c r="F57" s="154"/>
      <c r="G57" s="154"/>
      <c r="H57" s="154"/>
      <c r="I57" s="251">
        <f t="shared" si="2"/>
        <v>0</v>
      </c>
      <c r="J57" s="154"/>
      <c r="K57" s="154"/>
      <c r="L57" s="154"/>
      <c r="M57" s="154"/>
      <c r="N57" s="252">
        <f t="shared" si="3"/>
        <v>0</v>
      </c>
    </row>
    <row r="58" spans="2:14" s="167" customFormat="1" ht="15" customHeight="1" outlineLevel="1" x14ac:dyDescent="0.2">
      <c r="B58" s="60" t="s">
        <v>3677</v>
      </c>
      <c r="C58" s="506" t="s">
        <v>2485</v>
      </c>
      <c r="D58" s="166" t="s">
        <v>668</v>
      </c>
      <c r="E58" s="154"/>
      <c r="F58" s="154"/>
      <c r="G58" s="154"/>
      <c r="H58" s="154"/>
      <c r="I58" s="251">
        <f t="shared" si="2"/>
        <v>0</v>
      </c>
      <c r="J58" s="154"/>
      <c r="K58" s="154"/>
      <c r="L58" s="154"/>
      <c r="M58" s="154"/>
      <c r="N58" s="252">
        <f t="shared" si="3"/>
        <v>0</v>
      </c>
    </row>
    <row r="59" spans="2:14" s="167" customFormat="1" ht="15" customHeight="1" outlineLevel="1" x14ac:dyDescent="0.2">
      <c r="B59" s="60" t="s">
        <v>3678</v>
      </c>
      <c r="C59" s="506" t="s">
        <v>2486</v>
      </c>
      <c r="D59" s="166" t="s">
        <v>668</v>
      </c>
      <c r="E59" s="154"/>
      <c r="F59" s="154"/>
      <c r="G59" s="154"/>
      <c r="H59" s="154"/>
      <c r="I59" s="251">
        <f t="shared" si="2"/>
        <v>0</v>
      </c>
      <c r="J59" s="154"/>
      <c r="K59" s="154"/>
      <c r="L59" s="154"/>
      <c r="M59" s="154"/>
      <c r="N59" s="252">
        <f t="shared" si="3"/>
        <v>0</v>
      </c>
    </row>
    <row r="60" spans="2:14" s="167" customFormat="1" ht="15" customHeight="1" outlineLevel="1" x14ac:dyDescent="0.2">
      <c r="B60" s="60" t="s">
        <v>3679</v>
      </c>
      <c r="C60" s="506" t="s">
        <v>2487</v>
      </c>
      <c r="D60" s="166" t="s">
        <v>668</v>
      </c>
      <c r="E60" s="154"/>
      <c r="F60" s="154"/>
      <c r="G60" s="154"/>
      <c r="H60" s="154"/>
      <c r="I60" s="251">
        <f t="shared" si="2"/>
        <v>0</v>
      </c>
      <c r="J60" s="154"/>
      <c r="K60" s="154"/>
      <c r="L60" s="154"/>
      <c r="M60" s="154"/>
      <c r="N60" s="252">
        <f t="shared" si="3"/>
        <v>0</v>
      </c>
    </row>
    <row r="61" spans="2:14" s="167" customFormat="1" ht="15" customHeight="1" outlineLevel="1" x14ac:dyDescent="0.2">
      <c r="B61" s="60" t="s">
        <v>3680</v>
      </c>
      <c r="C61" s="506" t="s">
        <v>2488</v>
      </c>
      <c r="D61" s="166" t="s">
        <v>668</v>
      </c>
      <c r="E61" s="154"/>
      <c r="F61" s="154"/>
      <c r="G61" s="154"/>
      <c r="H61" s="154"/>
      <c r="I61" s="251">
        <f t="shared" si="2"/>
        <v>0</v>
      </c>
      <c r="J61" s="154"/>
      <c r="K61" s="154"/>
      <c r="L61" s="154"/>
      <c r="M61" s="154"/>
      <c r="N61" s="252">
        <f t="shared" si="3"/>
        <v>0</v>
      </c>
    </row>
    <row r="62" spans="2:14" s="167" customFormat="1" ht="15" customHeight="1" outlineLevel="1" x14ac:dyDescent="0.2">
      <c r="B62" s="60" t="s">
        <v>3681</v>
      </c>
      <c r="C62" s="506" t="s">
        <v>2489</v>
      </c>
      <c r="D62" s="166" t="s">
        <v>668</v>
      </c>
      <c r="E62" s="154"/>
      <c r="F62" s="154"/>
      <c r="G62" s="154"/>
      <c r="H62" s="154"/>
      <c r="I62" s="251">
        <f t="shared" si="2"/>
        <v>0</v>
      </c>
      <c r="J62" s="154"/>
      <c r="K62" s="154"/>
      <c r="L62" s="154"/>
      <c r="M62" s="154"/>
      <c r="N62" s="252">
        <f t="shared" si="3"/>
        <v>0</v>
      </c>
    </row>
    <row r="63" spans="2:14" s="167" customFormat="1" ht="15" customHeight="1" outlineLevel="1" x14ac:dyDescent="0.2">
      <c r="B63" s="60" t="s">
        <v>3682</v>
      </c>
      <c r="C63" s="506" t="s">
        <v>2490</v>
      </c>
      <c r="D63" s="166" t="s">
        <v>668</v>
      </c>
      <c r="E63" s="154"/>
      <c r="F63" s="154"/>
      <c r="G63" s="154"/>
      <c r="H63" s="154"/>
      <c r="I63" s="251">
        <f t="shared" si="2"/>
        <v>0</v>
      </c>
      <c r="J63" s="154"/>
      <c r="K63" s="154"/>
      <c r="L63" s="154"/>
      <c r="M63" s="154"/>
      <c r="N63" s="252">
        <f t="shared" si="3"/>
        <v>0</v>
      </c>
    </row>
    <row r="64" spans="2:14" s="167" customFormat="1" ht="15" customHeight="1" outlineLevel="1" x14ac:dyDescent="0.2">
      <c r="B64" s="60" t="s">
        <v>3683</v>
      </c>
      <c r="C64" s="506" t="s">
        <v>2491</v>
      </c>
      <c r="D64" s="166" t="s">
        <v>668</v>
      </c>
      <c r="E64" s="154"/>
      <c r="F64" s="154"/>
      <c r="G64" s="154"/>
      <c r="H64" s="154"/>
      <c r="I64" s="251">
        <f t="shared" si="2"/>
        <v>0</v>
      </c>
      <c r="J64" s="154"/>
      <c r="K64" s="154"/>
      <c r="L64" s="154"/>
      <c r="M64" s="154"/>
      <c r="N64" s="252">
        <f t="shared" si="3"/>
        <v>0</v>
      </c>
    </row>
    <row r="65" spans="2:14" s="167" customFormat="1" ht="15" customHeight="1" outlineLevel="1" x14ac:dyDescent="0.2">
      <c r="B65" s="60" t="s">
        <v>3684</v>
      </c>
      <c r="C65" s="506" t="s">
        <v>2492</v>
      </c>
      <c r="D65" s="166" t="s">
        <v>668</v>
      </c>
      <c r="E65" s="154"/>
      <c r="F65" s="154"/>
      <c r="G65" s="154"/>
      <c r="H65" s="154"/>
      <c r="I65" s="251">
        <f t="shared" si="2"/>
        <v>0</v>
      </c>
      <c r="J65" s="154"/>
      <c r="K65" s="154"/>
      <c r="L65" s="154"/>
      <c r="M65" s="154"/>
      <c r="N65" s="252">
        <f t="shared" si="3"/>
        <v>0</v>
      </c>
    </row>
    <row r="66" spans="2:14" s="167" customFormat="1" ht="15" customHeight="1" outlineLevel="1" x14ac:dyDescent="0.2">
      <c r="B66" s="60" t="s">
        <v>3685</v>
      </c>
      <c r="C66" s="506" t="s">
        <v>2493</v>
      </c>
      <c r="D66" s="166" t="s">
        <v>668</v>
      </c>
      <c r="E66" s="154"/>
      <c r="F66" s="154"/>
      <c r="G66" s="154"/>
      <c r="H66" s="154"/>
      <c r="I66" s="251">
        <f t="shared" si="2"/>
        <v>0</v>
      </c>
      <c r="J66" s="154"/>
      <c r="K66" s="154"/>
      <c r="L66" s="154"/>
      <c r="M66" s="154"/>
      <c r="N66" s="252">
        <f t="shared" si="3"/>
        <v>0</v>
      </c>
    </row>
    <row r="67" spans="2:14" s="167" customFormat="1" ht="15" customHeight="1" outlineLevel="1" x14ac:dyDescent="0.2">
      <c r="B67" s="60" t="s">
        <v>3686</v>
      </c>
      <c r="C67" s="506" t="s">
        <v>2494</v>
      </c>
      <c r="D67" s="166" t="s">
        <v>668</v>
      </c>
      <c r="E67" s="154"/>
      <c r="F67" s="154"/>
      <c r="G67" s="154"/>
      <c r="H67" s="154"/>
      <c r="I67" s="251">
        <f t="shared" si="2"/>
        <v>0</v>
      </c>
      <c r="J67" s="154"/>
      <c r="K67" s="154"/>
      <c r="L67" s="154"/>
      <c r="M67" s="154"/>
      <c r="N67" s="252">
        <f t="shared" si="3"/>
        <v>0</v>
      </c>
    </row>
    <row r="68" spans="2:14" s="167" customFormat="1" ht="15" customHeight="1" outlineLevel="1" x14ac:dyDescent="0.2">
      <c r="B68" s="60" t="s">
        <v>3687</v>
      </c>
      <c r="C68" s="506" t="s">
        <v>2495</v>
      </c>
      <c r="D68" s="166" t="s">
        <v>668</v>
      </c>
      <c r="E68" s="154"/>
      <c r="F68" s="154"/>
      <c r="G68" s="154"/>
      <c r="H68" s="154"/>
      <c r="I68" s="251">
        <f t="shared" si="2"/>
        <v>0</v>
      </c>
      <c r="J68" s="154"/>
      <c r="K68" s="154"/>
      <c r="L68" s="154"/>
      <c r="M68" s="154"/>
      <c r="N68" s="252">
        <f t="shared" si="3"/>
        <v>0</v>
      </c>
    </row>
    <row r="69" spans="2:14" s="167" customFormat="1" ht="15" customHeight="1" outlineLevel="1" x14ac:dyDescent="0.2">
      <c r="B69" s="60" t="s">
        <v>3688</v>
      </c>
      <c r="C69" s="506" t="s">
        <v>2496</v>
      </c>
      <c r="D69" s="166" t="s">
        <v>668</v>
      </c>
      <c r="E69" s="154"/>
      <c r="F69" s="154"/>
      <c r="G69" s="154"/>
      <c r="H69" s="154"/>
      <c r="I69" s="251">
        <f t="shared" si="2"/>
        <v>0</v>
      </c>
      <c r="J69" s="154"/>
      <c r="K69" s="154"/>
      <c r="L69" s="154"/>
      <c r="M69" s="154"/>
      <c r="N69" s="252">
        <f t="shared" si="3"/>
        <v>0</v>
      </c>
    </row>
    <row r="70" spans="2:14" s="167" customFormat="1" ht="15" customHeight="1" outlineLevel="1" x14ac:dyDescent="0.2">
      <c r="B70" s="60" t="s">
        <v>3689</v>
      </c>
      <c r="C70" s="506" t="s">
        <v>2497</v>
      </c>
      <c r="D70" s="166" t="s">
        <v>668</v>
      </c>
      <c r="E70" s="154"/>
      <c r="F70" s="154"/>
      <c r="G70" s="154"/>
      <c r="H70" s="154"/>
      <c r="I70" s="251">
        <f t="shared" si="2"/>
        <v>0</v>
      </c>
      <c r="J70" s="154"/>
      <c r="K70" s="154"/>
      <c r="L70" s="154"/>
      <c r="M70" s="154"/>
      <c r="N70" s="252">
        <f t="shared" si="3"/>
        <v>0</v>
      </c>
    </row>
    <row r="71" spans="2:14" s="167" customFormat="1" ht="15" customHeight="1" outlineLevel="1" x14ac:dyDescent="0.2">
      <c r="B71" s="60" t="s">
        <v>3690</v>
      </c>
      <c r="C71" s="506" t="s">
        <v>2498</v>
      </c>
      <c r="D71" s="166" t="s">
        <v>668</v>
      </c>
      <c r="E71" s="154"/>
      <c r="F71" s="154"/>
      <c r="G71" s="154"/>
      <c r="H71" s="154"/>
      <c r="I71" s="251">
        <f t="shared" si="2"/>
        <v>0</v>
      </c>
      <c r="J71" s="154"/>
      <c r="K71" s="154"/>
      <c r="L71" s="154"/>
      <c r="M71" s="154"/>
      <c r="N71" s="252">
        <f t="shared" si="3"/>
        <v>0</v>
      </c>
    </row>
    <row r="72" spans="2:14" s="167" customFormat="1" ht="15" customHeight="1" outlineLevel="1" x14ac:dyDescent="0.2">
      <c r="B72" s="60" t="s">
        <v>3691</v>
      </c>
      <c r="C72" s="506" t="s">
        <v>2499</v>
      </c>
      <c r="D72" s="166" t="s">
        <v>668</v>
      </c>
      <c r="E72" s="154"/>
      <c r="F72" s="154"/>
      <c r="G72" s="154"/>
      <c r="H72" s="154"/>
      <c r="I72" s="251">
        <f t="shared" si="2"/>
        <v>0</v>
      </c>
      <c r="J72" s="154"/>
      <c r="K72" s="154"/>
      <c r="L72" s="154"/>
      <c r="M72" s="154"/>
      <c r="N72" s="252">
        <f t="shared" si="3"/>
        <v>0</v>
      </c>
    </row>
    <row r="73" spans="2:14" s="138" customFormat="1" ht="15" customHeight="1" x14ac:dyDescent="0.2">
      <c r="B73" s="60" t="s">
        <v>3692</v>
      </c>
      <c r="C73" s="499">
        <v>1.4</v>
      </c>
      <c r="D73" s="131" t="s">
        <v>4678</v>
      </c>
      <c r="E73" s="636">
        <f>SUM(E74:E93)</f>
        <v>0</v>
      </c>
      <c r="F73" s="636">
        <f>SUM(F74:F93)</f>
        <v>0</v>
      </c>
      <c r="G73" s="636">
        <f>SUM(G74:G93)</f>
        <v>0</v>
      </c>
      <c r="H73" s="636">
        <f>SUM(H74:H93)</f>
        <v>0</v>
      </c>
      <c r="I73" s="259">
        <f t="shared" si="2"/>
        <v>0</v>
      </c>
      <c r="J73" s="636">
        <f>SUM(J74:J93)</f>
        <v>0</v>
      </c>
      <c r="K73" s="636">
        <f>SUM(K74:K93)</f>
        <v>0</v>
      </c>
      <c r="L73" s="636">
        <f>SUM(L74:L93)</f>
        <v>0</v>
      </c>
      <c r="M73" s="636">
        <f>SUM(M74:M93)</f>
        <v>0</v>
      </c>
      <c r="N73" s="260">
        <f t="shared" si="3"/>
        <v>0</v>
      </c>
    </row>
    <row r="74" spans="2:14" s="167" customFormat="1" ht="15" customHeight="1" outlineLevel="1" x14ac:dyDescent="0.2">
      <c r="B74" s="60" t="s">
        <v>3693</v>
      </c>
      <c r="C74" s="506" t="s">
        <v>2500</v>
      </c>
      <c r="D74" s="166" t="s">
        <v>668</v>
      </c>
      <c r="E74" s="154"/>
      <c r="F74" s="154"/>
      <c r="G74" s="154"/>
      <c r="H74" s="154"/>
      <c r="I74" s="251">
        <f t="shared" ref="I74:I115" si="4">SUM(E74:H74)</f>
        <v>0</v>
      </c>
      <c r="J74" s="154"/>
      <c r="K74" s="154"/>
      <c r="L74" s="154"/>
      <c r="M74" s="154"/>
      <c r="N74" s="252">
        <f t="shared" ref="N74:N115" si="5">SUM(J74:M74)</f>
        <v>0</v>
      </c>
    </row>
    <row r="75" spans="2:14" s="167" customFormat="1" ht="15" customHeight="1" outlineLevel="1" x14ac:dyDescent="0.2">
      <c r="B75" s="60" t="s">
        <v>3694</v>
      </c>
      <c r="C75" s="506" t="s">
        <v>2501</v>
      </c>
      <c r="D75" s="166" t="s">
        <v>668</v>
      </c>
      <c r="E75" s="154"/>
      <c r="F75" s="154"/>
      <c r="G75" s="154"/>
      <c r="H75" s="154"/>
      <c r="I75" s="251">
        <f t="shared" si="4"/>
        <v>0</v>
      </c>
      <c r="J75" s="154"/>
      <c r="K75" s="154"/>
      <c r="L75" s="154"/>
      <c r="M75" s="154"/>
      <c r="N75" s="252">
        <f t="shared" si="5"/>
        <v>0</v>
      </c>
    </row>
    <row r="76" spans="2:14" s="167" customFormat="1" ht="15" customHeight="1" outlineLevel="1" x14ac:dyDescent="0.2">
      <c r="B76" s="60" t="s">
        <v>3695</v>
      </c>
      <c r="C76" s="506" t="s">
        <v>2502</v>
      </c>
      <c r="D76" s="166" t="s">
        <v>668</v>
      </c>
      <c r="E76" s="154"/>
      <c r="F76" s="154"/>
      <c r="G76" s="154"/>
      <c r="H76" s="154"/>
      <c r="I76" s="251">
        <f t="shared" si="4"/>
        <v>0</v>
      </c>
      <c r="J76" s="154"/>
      <c r="K76" s="154"/>
      <c r="L76" s="154"/>
      <c r="M76" s="154"/>
      <c r="N76" s="252">
        <f t="shared" si="5"/>
        <v>0</v>
      </c>
    </row>
    <row r="77" spans="2:14" s="167" customFormat="1" ht="15" customHeight="1" outlineLevel="1" x14ac:dyDescent="0.2">
      <c r="B77" s="60" t="s">
        <v>3696</v>
      </c>
      <c r="C77" s="506" t="s">
        <v>2503</v>
      </c>
      <c r="D77" s="166" t="s">
        <v>668</v>
      </c>
      <c r="E77" s="154"/>
      <c r="F77" s="154"/>
      <c r="G77" s="154"/>
      <c r="H77" s="154"/>
      <c r="I77" s="251">
        <f t="shared" si="4"/>
        <v>0</v>
      </c>
      <c r="J77" s="154"/>
      <c r="K77" s="154"/>
      <c r="L77" s="154"/>
      <c r="M77" s="154"/>
      <c r="N77" s="252">
        <f t="shared" si="5"/>
        <v>0</v>
      </c>
    </row>
    <row r="78" spans="2:14" s="167" customFormat="1" ht="15" customHeight="1" outlineLevel="1" x14ac:dyDescent="0.2">
      <c r="B78" s="60" t="s">
        <v>3697</v>
      </c>
      <c r="C78" s="506" t="s">
        <v>2504</v>
      </c>
      <c r="D78" s="166" t="s">
        <v>668</v>
      </c>
      <c r="E78" s="154"/>
      <c r="F78" s="154"/>
      <c r="G78" s="154"/>
      <c r="H78" s="154"/>
      <c r="I78" s="251">
        <f t="shared" si="4"/>
        <v>0</v>
      </c>
      <c r="J78" s="154"/>
      <c r="K78" s="154"/>
      <c r="L78" s="154"/>
      <c r="M78" s="154"/>
      <c r="N78" s="252">
        <f t="shared" si="5"/>
        <v>0</v>
      </c>
    </row>
    <row r="79" spans="2:14" s="167" customFormat="1" ht="15" customHeight="1" outlineLevel="1" x14ac:dyDescent="0.2">
      <c r="B79" s="60" t="s">
        <v>3698</v>
      </c>
      <c r="C79" s="506" t="s">
        <v>2505</v>
      </c>
      <c r="D79" s="166" t="s">
        <v>668</v>
      </c>
      <c r="E79" s="154"/>
      <c r="F79" s="154"/>
      <c r="G79" s="154"/>
      <c r="H79" s="154"/>
      <c r="I79" s="251">
        <f t="shared" si="4"/>
        <v>0</v>
      </c>
      <c r="J79" s="154"/>
      <c r="K79" s="154"/>
      <c r="L79" s="154"/>
      <c r="M79" s="154"/>
      <c r="N79" s="252">
        <f t="shared" si="5"/>
        <v>0</v>
      </c>
    </row>
    <row r="80" spans="2:14" s="167" customFormat="1" ht="15" customHeight="1" outlineLevel="1" x14ac:dyDescent="0.2">
      <c r="B80" s="60" t="s">
        <v>3699</v>
      </c>
      <c r="C80" s="506" t="s">
        <v>2506</v>
      </c>
      <c r="D80" s="166" t="s">
        <v>668</v>
      </c>
      <c r="E80" s="154"/>
      <c r="F80" s="154"/>
      <c r="G80" s="154"/>
      <c r="H80" s="154"/>
      <c r="I80" s="251">
        <f t="shared" si="4"/>
        <v>0</v>
      </c>
      <c r="J80" s="154"/>
      <c r="K80" s="154"/>
      <c r="L80" s="154"/>
      <c r="M80" s="154"/>
      <c r="N80" s="252">
        <f t="shared" si="5"/>
        <v>0</v>
      </c>
    </row>
    <row r="81" spans="2:14" s="167" customFormat="1" ht="15" customHeight="1" outlineLevel="1" x14ac:dyDescent="0.2">
      <c r="B81" s="60" t="s">
        <v>3700</v>
      </c>
      <c r="C81" s="506" t="s">
        <v>2507</v>
      </c>
      <c r="D81" s="166" t="s">
        <v>668</v>
      </c>
      <c r="E81" s="154"/>
      <c r="F81" s="154"/>
      <c r="G81" s="154"/>
      <c r="H81" s="154"/>
      <c r="I81" s="251">
        <f t="shared" si="4"/>
        <v>0</v>
      </c>
      <c r="J81" s="154"/>
      <c r="K81" s="154"/>
      <c r="L81" s="154"/>
      <c r="M81" s="154"/>
      <c r="N81" s="252">
        <f t="shared" si="5"/>
        <v>0</v>
      </c>
    </row>
    <row r="82" spans="2:14" s="167" customFormat="1" ht="15" customHeight="1" outlineLevel="1" x14ac:dyDescent="0.2">
      <c r="B82" s="60" t="s">
        <v>3701</v>
      </c>
      <c r="C82" s="506" t="s">
        <v>2508</v>
      </c>
      <c r="D82" s="166" t="s">
        <v>668</v>
      </c>
      <c r="E82" s="154"/>
      <c r="F82" s="154"/>
      <c r="G82" s="154"/>
      <c r="H82" s="154"/>
      <c r="I82" s="251">
        <f t="shared" si="4"/>
        <v>0</v>
      </c>
      <c r="J82" s="154"/>
      <c r="K82" s="154"/>
      <c r="L82" s="154"/>
      <c r="M82" s="154"/>
      <c r="N82" s="252">
        <f t="shared" si="5"/>
        <v>0</v>
      </c>
    </row>
    <row r="83" spans="2:14" s="167" customFormat="1" ht="15" customHeight="1" outlineLevel="1" x14ac:dyDescent="0.2">
      <c r="B83" s="60" t="s">
        <v>3702</v>
      </c>
      <c r="C83" s="506" t="s">
        <v>2509</v>
      </c>
      <c r="D83" s="166" t="s">
        <v>668</v>
      </c>
      <c r="E83" s="154"/>
      <c r="F83" s="154"/>
      <c r="G83" s="154"/>
      <c r="H83" s="154"/>
      <c r="I83" s="251">
        <f t="shared" si="4"/>
        <v>0</v>
      </c>
      <c r="J83" s="154"/>
      <c r="K83" s="154"/>
      <c r="L83" s="154"/>
      <c r="M83" s="154"/>
      <c r="N83" s="252">
        <f t="shared" si="5"/>
        <v>0</v>
      </c>
    </row>
    <row r="84" spans="2:14" s="167" customFormat="1" ht="15" customHeight="1" outlineLevel="1" x14ac:dyDescent="0.2">
      <c r="B84" s="60" t="s">
        <v>3703</v>
      </c>
      <c r="C84" s="506" t="s">
        <v>2510</v>
      </c>
      <c r="D84" s="166" t="s">
        <v>668</v>
      </c>
      <c r="E84" s="154"/>
      <c r="F84" s="154"/>
      <c r="G84" s="154"/>
      <c r="H84" s="154"/>
      <c r="I84" s="251">
        <f t="shared" si="4"/>
        <v>0</v>
      </c>
      <c r="J84" s="154"/>
      <c r="K84" s="154"/>
      <c r="L84" s="154"/>
      <c r="M84" s="154"/>
      <c r="N84" s="252">
        <f t="shared" si="5"/>
        <v>0</v>
      </c>
    </row>
    <row r="85" spans="2:14" s="167" customFormat="1" ht="15" customHeight="1" outlineLevel="1" x14ac:dyDescent="0.2">
      <c r="B85" s="60" t="s">
        <v>3704</v>
      </c>
      <c r="C85" s="506" t="s">
        <v>2511</v>
      </c>
      <c r="D85" s="166" t="s">
        <v>668</v>
      </c>
      <c r="E85" s="154"/>
      <c r="F85" s="154"/>
      <c r="G85" s="154"/>
      <c r="H85" s="154"/>
      <c r="I85" s="251">
        <f t="shared" si="4"/>
        <v>0</v>
      </c>
      <c r="J85" s="154"/>
      <c r="K85" s="154"/>
      <c r="L85" s="154"/>
      <c r="M85" s="154"/>
      <c r="N85" s="252">
        <f t="shared" si="5"/>
        <v>0</v>
      </c>
    </row>
    <row r="86" spans="2:14" s="167" customFormat="1" ht="15" customHeight="1" outlineLevel="1" x14ac:dyDescent="0.2">
      <c r="B86" s="60" t="s">
        <v>3705</v>
      </c>
      <c r="C86" s="506" t="s">
        <v>2512</v>
      </c>
      <c r="D86" s="166" t="s">
        <v>668</v>
      </c>
      <c r="E86" s="154"/>
      <c r="F86" s="154"/>
      <c r="G86" s="154"/>
      <c r="H86" s="154"/>
      <c r="I86" s="251">
        <f t="shared" si="4"/>
        <v>0</v>
      </c>
      <c r="J86" s="154"/>
      <c r="K86" s="154"/>
      <c r="L86" s="154"/>
      <c r="M86" s="154"/>
      <c r="N86" s="252">
        <f t="shared" si="5"/>
        <v>0</v>
      </c>
    </row>
    <row r="87" spans="2:14" s="167" customFormat="1" ht="15" customHeight="1" outlineLevel="1" x14ac:dyDescent="0.2">
      <c r="B87" s="60" t="s">
        <v>3706</v>
      </c>
      <c r="C87" s="506" t="s">
        <v>2513</v>
      </c>
      <c r="D87" s="166" t="s">
        <v>668</v>
      </c>
      <c r="E87" s="154"/>
      <c r="F87" s="154"/>
      <c r="G87" s="154"/>
      <c r="H87" s="154"/>
      <c r="I87" s="251">
        <f t="shared" si="4"/>
        <v>0</v>
      </c>
      <c r="J87" s="154"/>
      <c r="K87" s="154"/>
      <c r="L87" s="154"/>
      <c r="M87" s="154"/>
      <c r="N87" s="252">
        <f t="shared" si="5"/>
        <v>0</v>
      </c>
    </row>
    <row r="88" spans="2:14" s="167" customFormat="1" ht="15" customHeight="1" outlineLevel="1" x14ac:dyDescent="0.2">
      <c r="B88" s="60" t="s">
        <v>3707</v>
      </c>
      <c r="C88" s="506" t="s">
        <v>2514</v>
      </c>
      <c r="D88" s="166" t="s">
        <v>668</v>
      </c>
      <c r="E88" s="154"/>
      <c r="F88" s="154"/>
      <c r="G88" s="154"/>
      <c r="H88" s="154"/>
      <c r="I88" s="251">
        <f t="shared" si="4"/>
        <v>0</v>
      </c>
      <c r="J88" s="154"/>
      <c r="K88" s="154"/>
      <c r="L88" s="154"/>
      <c r="M88" s="154"/>
      <c r="N88" s="252">
        <f t="shared" si="5"/>
        <v>0</v>
      </c>
    </row>
    <row r="89" spans="2:14" s="167" customFormat="1" ht="15" customHeight="1" outlineLevel="1" x14ac:dyDescent="0.2">
      <c r="B89" s="60" t="s">
        <v>3708</v>
      </c>
      <c r="C89" s="506" t="s">
        <v>2515</v>
      </c>
      <c r="D89" s="166" t="s">
        <v>668</v>
      </c>
      <c r="E89" s="154"/>
      <c r="F89" s="154"/>
      <c r="G89" s="154"/>
      <c r="H89" s="154"/>
      <c r="I89" s="251">
        <f t="shared" si="4"/>
        <v>0</v>
      </c>
      <c r="J89" s="154"/>
      <c r="K89" s="154"/>
      <c r="L89" s="154"/>
      <c r="M89" s="154"/>
      <c r="N89" s="252">
        <f t="shared" si="5"/>
        <v>0</v>
      </c>
    </row>
    <row r="90" spans="2:14" s="167" customFormat="1" ht="15" customHeight="1" outlineLevel="1" x14ac:dyDescent="0.2">
      <c r="B90" s="60" t="s">
        <v>3709</v>
      </c>
      <c r="C90" s="506" t="s">
        <v>2516</v>
      </c>
      <c r="D90" s="166" t="s">
        <v>668</v>
      </c>
      <c r="E90" s="154"/>
      <c r="F90" s="154"/>
      <c r="G90" s="154"/>
      <c r="H90" s="154"/>
      <c r="I90" s="251">
        <f t="shared" si="4"/>
        <v>0</v>
      </c>
      <c r="J90" s="154"/>
      <c r="K90" s="154"/>
      <c r="L90" s="154"/>
      <c r="M90" s="154"/>
      <c r="N90" s="252">
        <f t="shared" si="5"/>
        <v>0</v>
      </c>
    </row>
    <row r="91" spans="2:14" s="167" customFormat="1" ht="15" customHeight="1" outlineLevel="1" x14ac:dyDescent="0.2">
      <c r="B91" s="60" t="s">
        <v>3710</v>
      </c>
      <c r="C91" s="506" t="s">
        <v>2517</v>
      </c>
      <c r="D91" s="166" t="s">
        <v>668</v>
      </c>
      <c r="E91" s="154"/>
      <c r="F91" s="154"/>
      <c r="G91" s="154"/>
      <c r="H91" s="154"/>
      <c r="I91" s="251">
        <f t="shared" si="4"/>
        <v>0</v>
      </c>
      <c r="J91" s="154"/>
      <c r="K91" s="154"/>
      <c r="L91" s="154"/>
      <c r="M91" s="154"/>
      <c r="N91" s="252">
        <f t="shared" si="5"/>
        <v>0</v>
      </c>
    </row>
    <row r="92" spans="2:14" s="167" customFormat="1" ht="15" customHeight="1" outlineLevel="1" x14ac:dyDescent="0.2">
      <c r="B92" s="60" t="s">
        <v>3711</v>
      </c>
      <c r="C92" s="506" t="s">
        <v>2518</v>
      </c>
      <c r="D92" s="166" t="s">
        <v>668</v>
      </c>
      <c r="E92" s="154"/>
      <c r="F92" s="154"/>
      <c r="G92" s="154"/>
      <c r="H92" s="154"/>
      <c r="I92" s="251">
        <f t="shared" si="4"/>
        <v>0</v>
      </c>
      <c r="J92" s="154"/>
      <c r="K92" s="154"/>
      <c r="L92" s="154"/>
      <c r="M92" s="154"/>
      <c r="N92" s="252">
        <f t="shared" si="5"/>
        <v>0</v>
      </c>
    </row>
    <row r="93" spans="2:14" s="167" customFormat="1" ht="15" customHeight="1" outlineLevel="1" x14ac:dyDescent="0.2">
      <c r="B93" s="60" t="s">
        <v>3712</v>
      </c>
      <c r="C93" s="506" t="s">
        <v>2519</v>
      </c>
      <c r="D93" s="166" t="s">
        <v>668</v>
      </c>
      <c r="E93" s="154"/>
      <c r="F93" s="154"/>
      <c r="G93" s="154"/>
      <c r="H93" s="154"/>
      <c r="I93" s="251">
        <f t="shared" si="4"/>
        <v>0</v>
      </c>
      <c r="J93" s="154"/>
      <c r="K93" s="154"/>
      <c r="L93" s="154"/>
      <c r="M93" s="154"/>
      <c r="N93" s="252">
        <f t="shared" si="5"/>
        <v>0</v>
      </c>
    </row>
    <row r="94" spans="2:14" s="138" customFormat="1" ht="15" customHeight="1" x14ac:dyDescent="0.2">
      <c r="B94" s="60" t="s">
        <v>3713</v>
      </c>
      <c r="C94" s="499">
        <v>1.5</v>
      </c>
      <c r="D94" s="131" t="s">
        <v>145</v>
      </c>
      <c r="E94" s="636">
        <f>SUM(E95:E114)</f>
        <v>0</v>
      </c>
      <c r="F94" s="636">
        <f>SUM(F95:F114)</f>
        <v>0</v>
      </c>
      <c r="G94" s="636">
        <f>SUM(G95:G114)</f>
        <v>0</v>
      </c>
      <c r="H94" s="636">
        <f>SUM(H95:H114)</f>
        <v>0</v>
      </c>
      <c r="I94" s="259">
        <f t="shared" si="4"/>
        <v>0</v>
      </c>
      <c r="J94" s="636">
        <f>SUM(J95:J114)</f>
        <v>0</v>
      </c>
      <c r="K94" s="636">
        <f>SUM(K95:K114)</f>
        <v>0</v>
      </c>
      <c r="L94" s="636">
        <f>SUM(L95:L114)</f>
        <v>0</v>
      </c>
      <c r="M94" s="636">
        <f>SUM(M95:M114)</f>
        <v>0</v>
      </c>
      <c r="N94" s="260">
        <f t="shared" si="5"/>
        <v>0</v>
      </c>
    </row>
    <row r="95" spans="2:14" s="167" customFormat="1" ht="15" customHeight="1" outlineLevel="1" x14ac:dyDescent="0.2">
      <c r="B95" s="60" t="s">
        <v>3714</v>
      </c>
      <c r="C95" s="506" t="s">
        <v>2520</v>
      </c>
      <c r="D95" s="166" t="s">
        <v>668</v>
      </c>
      <c r="E95" s="154"/>
      <c r="F95" s="154"/>
      <c r="G95" s="154"/>
      <c r="H95" s="154"/>
      <c r="I95" s="251">
        <f t="shared" si="4"/>
        <v>0</v>
      </c>
      <c r="J95" s="154"/>
      <c r="K95" s="154"/>
      <c r="L95" s="154"/>
      <c r="M95" s="154"/>
      <c r="N95" s="252">
        <f t="shared" si="5"/>
        <v>0</v>
      </c>
    </row>
    <row r="96" spans="2:14" s="167" customFormat="1" ht="15" customHeight="1" outlineLevel="1" x14ac:dyDescent="0.2">
      <c r="B96" s="60" t="s">
        <v>3715</v>
      </c>
      <c r="C96" s="506" t="s">
        <v>2521</v>
      </c>
      <c r="D96" s="166" t="s">
        <v>668</v>
      </c>
      <c r="E96" s="154"/>
      <c r="F96" s="154"/>
      <c r="G96" s="154"/>
      <c r="H96" s="154"/>
      <c r="I96" s="251">
        <f t="shared" si="4"/>
        <v>0</v>
      </c>
      <c r="J96" s="154"/>
      <c r="K96" s="154"/>
      <c r="L96" s="154"/>
      <c r="M96" s="154"/>
      <c r="N96" s="252">
        <f t="shared" si="5"/>
        <v>0</v>
      </c>
    </row>
    <row r="97" spans="2:14" s="167" customFormat="1" ht="15" customHeight="1" outlineLevel="1" x14ac:dyDescent="0.2">
      <c r="B97" s="60" t="s">
        <v>3716</v>
      </c>
      <c r="C97" s="506" t="s">
        <v>2522</v>
      </c>
      <c r="D97" s="166" t="s">
        <v>668</v>
      </c>
      <c r="E97" s="154"/>
      <c r="F97" s="154"/>
      <c r="G97" s="154"/>
      <c r="H97" s="154"/>
      <c r="I97" s="251">
        <f t="shared" si="4"/>
        <v>0</v>
      </c>
      <c r="J97" s="154"/>
      <c r="K97" s="154"/>
      <c r="L97" s="154"/>
      <c r="M97" s="154"/>
      <c r="N97" s="252">
        <f t="shared" si="5"/>
        <v>0</v>
      </c>
    </row>
    <row r="98" spans="2:14" s="167" customFormat="1" ht="15" customHeight="1" outlineLevel="1" x14ac:dyDescent="0.2">
      <c r="B98" s="60" t="s">
        <v>3717</v>
      </c>
      <c r="C98" s="506" t="s">
        <v>2523</v>
      </c>
      <c r="D98" s="166" t="s">
        <v>668</v>
      </c>
      <c r="E98" s="154"/>
      <c r="F98" s="154"/>
      <c r="G98" s="154"/>
      <c r="H98" s="154"/>
      <c r="I98" s="251">
        <f t="shared" si="4"/>
        <v>0</v>
      </c>
      <c r="J98" s="154"/>
      <c r="K98" s="154"/>
      <c r="L98" s="154"/>
      <c r="M98" s="154"/>
      <c r="N98" s="252">
        <f t="shared" si="5"/>
        <v>0</v>
      </c>
    </row>
    <row r="99" spans="2:14" s="167" customFormat="1" ht="15" customHeight="1" outlineLevel="1" x14ac:dyDescent="0.2">
      <c r="B99" s="60" t="s">
        <v>3718</v>
      </c>
      <c r="C99" s="506" t="s">
        <v>2524</v>
      </c>
      <c r="D99" s="166" t="s">
        <v>668</v>
      </c>
      <c r="E99" s="154"/>
      <c r="F99" s="154"/>
      <c r="G99" s="154"/>
      <c r="H99" s="154"/>
      <c r="I99" s="251">
        <f t="shared" si="4"/>
        <v>0</v>
      </c>
      <c r="J99" s="154"/>
      <c r="K99" s="154"/>
      <c r="L99" s="154"/>
      <c r="M99" s="154"/>
      <c r="N99" s="252">
        <f t="shared" si="5"/>
        <v>0</v>
      </c>
    </row>
    <row r="100" spans="2:14" s="167" customFormat="1" ht="15" customHeight="1" outlineLevel="1" x14ac:dyDescent="0.2">
      <c r="B100" s="60" t="s">
        <v>3719</v>
      </c>
      <c r="C100" s="506" t="s">
        <v>2525</v>
      </c>
      <c r="D100" s="166" t="s">
        <v>668</v>
      </c>
      <c r="E100" s="154"/>
      <c r="F100" s="154"/>
      <c r="G100" s="154"/>
      <c r="H100" s="154"/>
      <c r="I100" s="251">
        <f t="shared" si="4"/>
        <v>0</v>
      </c>
      <c r="J100" s="154"/>
      <c r="K100" s="154"/>
      <c r="L100" s="154"/>
      <c r="M100" s="154"/>
      <c r="N100" s="252">
        <f t="shared" si="5"/>
        <v>0</v>
      </c>
    </row>
    <row r="101" spans="2:14" s="167" customFormat="1" ht="15" customHeight="1" outlineLevel="1" x14ac:dyDescent="0.2">
      <c r="B101" s="60" t="s">
        <v>3720</v>
      </c>
      <c r="C101" s="506" t="s">
        <v>2526</v>
      </c>
      <c r="D101" s="166" t="s">
        <v>668</v>
      </c>
      <c r="E101" s="154"/>
      <c r="F101" s="154"/>
      <c r="G101" s="154"/>
      <c r="H101" s="154"/>
      <c r="I101" s="251">
        <f t="shared" si="4"/>
        <v>0</v>
      </c>
      <c r="J101" s="154"/>
      <c r="K101" s="154"/>
      <c r="L101" s="154"/>
      <c r="M101" s="154"/>
      <c r="N101" s="252">
        <f t="shared" si="5"/>
        <v>0</v>
      </c>
    </row>
    <row r="102" spans="2:14" s="167" customFormat="1" ht="15" customHeight="1" outlineLevel="1" x14ac:dyDescent="0.2">
      <c r="B102" s="60" t="s">
        <v>3721</v>
      </c>
      <c r="C102" s="506" t="s">
        <v>2527</v>
      </c>
      <c r="D102" s="166" t="s">
        <v>668</v>
      </c>
      <c r="E102" s="154"/>
      <c r="F102" s="154"/>
      <c r="G102" s="154"/>
      <c r="H102" s="154"/>
      <c r="I102" s="251">
        <f t="shared" si="4"/>
        <v>0</v>
      </c>
      <c r="J102" s="154"/>
      <c r="K102" s="154"/>
      <c r="L102" s="154"/>
      <c r="M102" s="154"/>
      <c r="N102" s="252">
        <f t="shared" si="5"/>
        <v>0</v>
      </c>
    </row>
    <row r="103" spans="2:14" s="167" customFormat="1" ht="15" customHeight="1" outlineLevel="1" x14ac:dyDescent="0.2">
      <c r="B103" s="60" t="s">
        <v>3722</v>
      </c>
      <c r="C103" s="506" t="s">
        <v>2528</v>
      </c>
      <c r="D103" s="166" t="s">
        <v>668</v>
      </c>
      <c r="E103" s="154"/>
      <c r="F103" s="154"/>
      <c r="G103" s="154"/>
      <c r="H103" s="154"/>
      <c r="I103" s="251">
        <f t="shared" si="4"/>
        <v>0</v>
      </c>
      <c r="J103" s="154"/>
      <c r="K103" s="154"/>
      <c r="L103" s="154"/>
      <c r="M103" s="154"/>
      <c r="N103" s="252">
        <f t="shared" si="5"/>
        <v>0</v>
      </c>
    </row>
    <row r="104" spans="2:14" s="167" customFormat="1" ht="15" customHeight="1" outlineLevel="1" x14ac:dyDescent="0.2">
      <c r="B104" s="60" t="s">
        <v>3723</v>
      </c>
      <c r="C104" s="506" t="s">
        <v>2529</v>
      </c>
      <c r="D104" s="166" t="s">
        <v>668</v>
      </c>
      <c r="E104" s="154"/>
      <c r="F104" s="154"/>
      <c r="G104" s="154"/>
      <c r="H104" s="154"/>
      <c r="I104" s="251">
        <f t="shared" si="4"/>
        <v>0</v>
      </c>
      <c r="J104" s="154"/>
      <c r="K104" s="154"/>
      <c r="L104" s="154"/>
      <c r="M104" s="154"/>
      <c r="N104" s="252">
        <f t="shared" si="5"/>
        <v>0</v>
      </c>
    </row>
    <row r="105" spans="2:14" s="167" customFormat="1" ht="15" customHeight="1" outlineLevel="1" x14ac:dyDescent="0.2">
      <c r="B105" s="60" t="s">
        <v>3724</v>
      </c>
      <c r="C105" s="506" t="s">
        <v>2530</v>
      </c>
      <c r="D105" s="166" t="s">
        <v>668</v>
      </c>
      <c r="E105" s="154"/>
      <c r="F105" s="154"/>
      <c r="G105" s="154"/>
      <c r="H105" s="154"/>
      <c r="I105" s="251">
        <f t="shared" si="4"/>
        <v>0</v>
      </c>
      <c r="J105" s="154"/>
      <c r="K105" s="154"/>
      <c r="L105" s="154"/>
      <c r="M105" s="154"/>
      <c r="N105" s="252">
        <f t="shared" si="5"/>
        <v>0</v>
      </c>
    </row>
    <row r="106" spans="2:14" s="167" customFormat="1" ht="15" customHeight="1" outlineLevel="1" x14ac:dyDescent="0.2">
      <c r="B106" s="60" t="s">
        <v>3725</v>
      </c>
      <c r="C106" s="506" t="s">
        <v>2531</v>
      </c>
      <c r="D106" s="166" t="s">
        <v>668</v>
      </c>
      <c r="E106" s="154"/>
      <c r="F106" s="154"/>
      <c r="G106" s="154"/>
      <c r="H106" s="154"/>
      <c r="I106" s="251">
        <f t="shared" si="4"/>
        <v>0</v>
      </c>
      <c r="J106" s="154"/>
      <c r="K106" s="154"/>
      <c r="L106" s="154"/>
      <c r="M106" s="154"/>
      <c r="N106" s="252">
        <f t="shared" si="5"/>
        <v>0</v>
      </c>
    </row>
    <row r="107" spans="2:14" s="167" customFormat="1" ht="15" customHeight="1" outlineLevel="1" x14ac:dyDescent="0.2">
      <c r="B107" s="60" t="s">
        <v>3726</v>
      </c>
      <c r="C107" s="506" t="s">
        <v>2532</v>
      </c>
      <c r="D107" s="166" t="s">
        <v>668</v>
      </c>
      <c r="E107" s="154"/>
      <c r="F107" s="154"/>
      <c r="G107" s="154"/>
      <c r="H107" s="154"/>
      <c r="I107" s="251">
        <f t="shared" si="4"/>
        <v>0</v>
      </c>
      <c r="J107" s="154"/>
      <c r="K107" s="154"/>
      <c r="L107" s="154"/>
      <c r="M107" s="154"/>
      <c r="N107" s="252">
        <f t="shared" si="5"/>
        <v>0</v>
      </c>
    </row>
    <row r="108" spans="2:14" s="167" customFormat="1" ht="15" customHeight="1" outlineLevel="1" x14ac:dyDescent="0.2">
      <c r="B108" s="60" t="s">
        <v>3727</v>
      </c>
      <c r="C108" s="506" t="s">
        <v>2533</v>
      </c>
      <c r="D108" s="166" t="s">
        <v>668</v>
      </c>
      <c r="E108" s="154"/>
      <c r="F108" s="154"/>
      <c r="G108" s="154"/>
      <c r="H108" s="154"/>
      <c r="I108" s="251">
        <f t="shared" si="4"/>
        <v>0</v>
      </c>
      <c r="J108" s="154"/>
      <c r="K108" s="154"/>
      <c r="L108" s="154"/>
      <c r="M108" s="154"/>
      <c r="N108" s="252">
        <f t="shared" si="5"/>
        <v>0</v>
      </c>
    </row>
    <row r="109" spans="2:14" s="167" customFormat="1" ht="15" customHeight="1" outlineLevel="1" x14ac:dyDescent="0.2">
      <c r="B109" s="60" t="s">
        <v>3728</v>
      </c>
      <c r="C109" s="506" t="s">
        <v>2534</v>
      </c>
      <c r="D109" s="166" t="s">
        <v>668</v>
      </c>
      <c r="E109" s="154"/>
      <c r="F109" s="154"/>
      <c r="G109" s="154"/>
      <c r="H109" s="154"/>
      <c r="I109" s="251">
        <f t="shared" si="4"/>
        <v>0</v>
      </c>
      <c r="J109" s="154"/>
      <c r="K109" s="154"/>
      <c r="L109" s="154"/>
      <c r="M109" s="154"/>
      <c r="N109" s="252">
        <f t="shared" si="5"/>
        <v>0</v>
      </c>
    </row>
    <row r="110" spans="2:14" s="167" customFormat="1" ht="15" customHeight="1" outlineLevel="1" x14ac:dyDescent="0.2">
      <c r="B110" s="60" t="s">
        <v>3729</v>
      </c>
      <c r="C110" s="506" t="s">
        <v>2535</v>
      </c>
      <c r="D110" s="166" t="s">
        <v>668</v>
      </c>
      <c r="E110" s="154"/>
      <c r="F110" s="154"/>
      <c r="G110" s="154"/>
      <c r="H110" s="154"/>
      <c r="I110" s="251">
        <f t="shared" si="4"/>
        <v>0</v>
      </c>
      <c r="J110" s="154"/>
      <c r="K110" s="154"/>
      <c r="L110" s="154"/>
      <c r="M110" s="154"/>
      <c r="N110" s="252">
        <f t="shared" si="5"/>
        <v>0</v>
      </c>
    </row>
    <row r="111" spans="2:14" s="167" customFormat="1" ht="15" customHeight="1" outlineLevel="1" x14ac:dyDescent="0.2">
      <c r="B111" s="60" t="s">
        <v>3730</v>
      </c>
      <c r="C111" s="506" t="s">
        <v>2536</v>
      </c>
      <c r="D111" s="166" t="s">
        <v>668</v>
      </c>
      <c r="E111" s="154"/>
      <c r="F111" s="154"/>
      <c r="G111" s="154"/>
      <c r="H111" s="154"/>
      <c r="I111" s="251">
        <f t="shared" si="4"/>
        <v>0</v>
      </c>
      <c r="J111" s="154"/>
      <c r="K111" s="154"/>
      <c r="L111" s="154"/>
      <c r="M111" s="154"/>
      <c r="N111" s="252">
        <f t="shared" si="5"/>
        <v>0</v>
      </c>
    </row>
    <row r="112" spans="2:14" s="167" customFormat="1" ht="15" customHeight="1" outlineLevel="1" x14ac:dyDescent="0.2">
      <c r="B112" s="60" t="s">
        <v>3731</v>
      </c>
      <c r="C112" s="506" t="s">
        <v>2537</v>
      </c>
      <c r="D112" s="166" t="s">
        <v>668</v>
      </c>
      <c r="E112" s="154"/>
      <c r="F112" s="154"/>
      <c r="G112" s="154"/>
      <c r="H112" s="154"/>
      <c r="I112" s="251">
        <f t="shared" si="4"/>
        <v>0</v>
      </c>
      <c r="J112" s="154"/>
      <c r="K112" s="154"/>
      <c r="L112" s="154"/>
      <c r="M112" s="154"/>
      <c r="N112" s="252">
        <f t="shared" si="5"/>
        <v>0</v>
      </c>
    </row>
    <row r="113" spans="2:14" s="167" customFormat="1" ht="15" customHeight="1" outlineLevel="1" x14ac:dyDescent="0.2">
      <c r="B113" s="60" t="s">
        <v>3732</v>
      </c>
      <c r="C113" s="506" t="s">
        <v>2538</v>
      </c>
      <c r="D113" s="166" t="s">
        <v>668</v>
      </c>
      <c r="E113" s="154"/>
      <c r="F113" s="154"/>
      <c r="G113" s="154"/>
      <c r="H113" s="154"/>
      <c r="I113" s="251">
        <f t="shared" si="4"/>
        <v>0</v>
      </c>
      <c r="J113" s="154"/>
      <c r="K113" s="154"/>
      <c r="L113" s="154"/>
      <c r="M113" s="154"/>
      <c r="N113" s="252">
        <f t="shared" si="5"/>
        <v>0</v>
      </c>
    </row>
    <row r="114" spans="2:14" s="167" customFormat="1" ht="15" customHeight="1" outlineLevel="1" x14ac:dyDescent="0.2">
      <c r="B114" s="60" t="s">
        <v>3733</v>
      </c>
      <c r="C114" s="506" t="s">
        <v>2539</v>
      </c>
      <c r="D114" s="166" t="s">
        <v>668</v>
      </c>
      <c r="E114" s="154"/>
      <c r="F114" s="154"/>
      <c r="G114" s="154"/>
      <c r="H114" s="154"/>
      <c r="I114" s="251">
        <f t="shared" si="4"/>
        <v>0</v>
      </c>
      <c r="J114" s="154"/>
      <c r="K114" s="154"/>
      <c r="L114" s="154"/>
      <c r="M114" s="154"/>
      <c r="N114" s="252">
        <f t="shared" si="5"/>
        <v>0</v>
      </c>
    </row>
    <row r="115" spans="2:14" s="138" customFormat="1" ht="15" customHeight="1" x14ac:dyDescent="0.2">
      <c r="B115" s="60" t="s">
        <v>3734</v>
      </c>
      <c r="C115" s="499">
        <v>1.6</v>
      </c>
      <c r="D115" s="131" t="s">
        <v>146</v>
      </c>
      <c r="E115" s="636">
        <f>SUM(E116:E135)</f>
        <v>0</v>
      </c>
      <c r="F115" s="636">
        <f>SUM(F116:F135)</f>
        <v>0</v>
      </c>
      <c r="G115" s="636">
        <f>SUM(G116:G135)</f>
        <v>0</v>
      </c>
      <c r="H115" s="636">
        <f>SUM(H116:H135)</f>
        <v>0</v>
      </c>
      <c r="I115" s="259">
        <f t="shared" si="4"/>
        <v>0</v>
      </c>
      <c r="J115" s="636">
        <f>SUM(J116:J135)</f>
        <v>0</v>
      </c>
      <c r="K115" s="636">
        <f>SUM(K116:K135)</f>
        <v>0</v>
      </c>
      <c r="L115" s="636">
        <f>SUM(L116:L135)</f>
        <v>0</v>
      </c>
      <c r="M115" s="636">
        <f>SUM(M116:M135)</f>
        <v>0</v>
      </c>
      <c r="N115" s="260">
        <f t="shared" si="5"/>
        <v>0</v>
      </c>
    </row>
    <row r="116" spans="2:14" s="167" customFormat="1" ht="15" customHeight="1" outlineLevel="1" x14ac:dyDescent="0.2">
      <c r="B116" s="60" t="s">
        <v>3735</v>
      </c>
      <c r="C116" s="506" t="s">
        <v>2540</v>
      </c>
      <c r="D116" s="166" t="s">
        <v>668</v>
      </c>
      <c r="E116" s="154"/>
      <c r="F116" s="154"/>
      <c r="G116" s="154"/>
      <c r="H116" s="154"/>
      <c r="I116" s="251">
        <f t="shared" ref="I116:I135" si="6">SUM(E116:H116)</f>
        <v>0</v>
      </c>
      <c r="J116" s="154"/>
      <c r="K116" s="154"/>
      <c r="L116" s="154"/>
      <c r="M116" s="154"/>
      <c r="N116" s="252">
        <f t="shared" ref="N116:N135" si="7">SUM(J116:M116)</f>
        <v>0</v>
      </c>
    </row>
    <row r="117" spans="2:14" s="167" customFormat="1" ht="15" customHeight="1" outlineLevel="1" x14ac:dyDescent="0.2">
      <c r="B117" s="60" t="s">
        <v>3736</v>
      </c>
      <c r="C117" s="506" t="s">
        <v>2541</v>
      </c>
      <c r="D117" s="166" t="s">
        <v>668</v>
      </c>
      <c r="E117" s="154"/>
      <c r="F117" s="154"/>
      <c r="G117" s="154"/>
      <c r="H117" s="154"/>
      <c r="I117" s="251">
        <f t="shared" si="6"/>
        <v>0</v>
      </c>
      <c r="J117" s="154"/>
      <c r="K117" s="154"/>
      <c r="L117" s="154"/>
      <c r="M117" s="154"/>
      <c r="N117" s="252">
        <f t="shared" si="7"/>
        <v>0</v>
      </c>
    </row>
    <row r="118" spans="2:14" s="167" customFormat="1" ht="15" customHeight="1" outlineLevel="1" x14ac:dyDescent="0.2">
      <c r="B118" s="60" t="s">
        <v>3737</v>
      </c>
      <c r="C118" s="506" t="s">
        <v>2542</v>
      </c>
      <c r="D118" s="166" t="s">
        <v>668</v>
      </c>
      <c r="E118" s="154"/>
      <c r="F118" s="154"/>
      <c r="G118" s="154"/>
      <c r="H118" s="154"/>
      <c r="I118" s="251">
        <f t="shared" si="6"/>
        <v>0</v>
      </c>
      <c r="J118" s="154"/>
      <c r="K118" s="154"/>
      <c r="L118" s="154"/>
      <c r="M118" s="154"/>
      <c r="N118" s="252">
        <f t="shared" si="7"/>
        <v>0</v>
      </c>
    </row>
    <row r="119" spans="2:14" s="167" customFormat="1" ht="15" customHeight="1" outlineLevel="1" x14ac:dyDescent="0.2">
      <c r="B119" s="60" t="s">
        <v>3738</v>
      </c>
      <c r="C119" s="506" t="s">
        <v>2543</v>
      </c>
      <c r="D119" s="166" t="s">
        <v>668</v>
      </c>
      <c r="E119" s="154"/>
      <c r="F119" s="154"/>
      <c r="G119" s="154"/>
      <c r="H119" s="154"/>
      <c r="I119" s="251">
        <f t="shared" si="6"/>
        <v>0</v>
      </c>
      <c r="J119" s="154"/>
      <c r="K119" s="154"/>
      <c r="L119" s="154"/>
      <c r="M119" s="154"/>
      <c r="N119" s="252">
        <f t="shared" si="7"/>
        <v>0</v>
      </c>
    </row>
    <row r="120" spans="2:14" s="167" customFormat="1" ht="15" customHeight="1" outlineLevel="1" x14ac:dyDescent="0.2">
      <c r="B120" s="60" t="s">
        <v>3739</v>
      </c>
      <c r="C120" s="506" t="s">
        <v>2544</v>
      </c>
      <c r="D120" s="166" t="s">
        <v>668</v>
      </c>
      <c r="E120" s="154"/>
      <c r="F120" s="154"/>
      <c r="G120" s="154"/>
      <c r="H120" s="154"/>
      <c r="I120" s="251">
        <f t="shared" si="6"/>
        <v>0</v>
      </c>
      <c r="J120" s="154"/>
      <c r="K120" s="154"/>
      <c r="L120" s="154"/>
      <c r="M120" s="154"/>
      <c r="N120" s="252">
        <f t="shared" si="7"/>
        <v>0</v>
      </c>
    </row>
    <row r="121" spans="2:14" s="167" customFormat="1" ht="15" customHeight="1" outlineLevel="1" x14ac:dyDescent="0.2">
      <c r="B121" s="60" t="s">
        <v>3740</v>
      </c>
      <c r="C121" s="506" t="s">
        <v>2545</v>
      </c>
      <c r="D121" s="166" t="s">
        <v>668</v>
      </c>
      <c r="E121" s="154"/>
      <c r="F121" s="154"/>
      <c r="G121" s="154"/>
      <c r="H121" s="154"/>
      <c r="I121" s="251">
        <f t="shared" si="6"/>
        <v>0</v>
      </c>
      <c r="J121" s="154"/>
      <c r="K121" s="154"/>
      <c r="L121" s="154"/>
      <c r="M121" s="154"/>
      <c r="N121" s="252">
        <f t="shared" si="7"/>
        <v>0</v>
      </c>
    </row>
    <row r="122" spans="2:14" s="167" customFormat="1" ht="15" customHeight="1" outlineLevel="1" x14ac:dyDescent="0.2">
      <c r="B122" s="60" t="s">
        <v>3741</v>
      </c>
      <c r="C122" s="506" t="s">
        <v>2546</v>
      </c>
      <c r="D122" s="166" t="s">
        <v>668</v>
      </c>
      <c r="E122" s="154"/>
      <c r="F122" s="154"/>
      <c r="G122" s="154"/>
      <c r="H122" s="154"/>
      <c r="I122" s="251">
        <f t="shared" si="6"/>
        <v>0</v>
      </c>
      <c r="J122" s="154"/>
      <c r="K122" s="154"/>
      <c r="L122" s="154"/>
      <c r="M122" s="154"/>
      <c r="N122" s="252">
        <f t="shared" si="7"/>
        <v>0</v>
      </c>
    </row>
    <row r="123" spans="2:14" s="167" customFormat="1" ht="15" customHeight="1" outlineLevel="1" x14ac:dyDescent="0.2">
      <c r="B123" s="60" t="s">
        <v>3742</v>
      </c>
      <c r="C123" s="506" t="s">
        <v>2547</v>
      </c>
      <c r="D123" s="166" t="s">
        <v>668</v>
      </c>
      <c r="E123" s="154"/>
      <c r="F123" s="154"/>
      <c r="G123" s="154"/>
      <c r="H123" s="154"/>
      <c r="I123" s="251">
        <f t="shared" si="6"/>
        <v>0</v>
      </c>
      <c r="J123" s="154"/>
      <c r="K123" s="154"/>
      <c r="L123" s="154"/>
      <c r="M123" s="154"/>
      <c r="N123" s="252">
        <f t="shared" si="7"/>
        <v>0</v>
      </c>
    </row>
    <row r="124" spans="2:14" s="167" customFormat="1" ht="15" customHeight="1" outlineLevel="1" x14ac:dyDescent="0.2">
      <c r="B124" s="60" t="s">
        <v>3743</v>
      </c>
      <c r="C124" s="506" t="s">
        <v>2548</v>
      </c>
      <c r="D124" s="166" t="s">
        <v>668</v>
      </c>
      <c r="E124" s="154"/>
      <c r="F124" s="154"/>
      <c r="G124" s="154"/>
      <c r="H124" s="154"/>
      <c r="I124" s="251">
        <f t="shared" si="6"/>
        <v>0</v>
      </c>
      <c r="J124" s="154"/>
      <c r="K124" s="154"/>
      <c r="L124" s="154"/>
      <c r="M124" s="154"/>
      <c r="N124" s="252">
        <f t="shared" si="7"/>
        <v>0</v>
      </c>
    </row>
    <row r="125" spans="2:14" s="167" customFormat="1" ht="15" customHeight="1" outlineLevel="1" x14ac:dyDescent="0.2">
      <c r="B125" s="60" t="s">
        <v>3744</v>
      </c>
      <c r="C125" s="506" t="s">
        <v>2549</v>
      </c>
      <c r="D125" s="166" t="s">
        <v>668</v>
      </c>
      <c r="E125" s="154"/>
      <c r="F125" s="154"/>
      <c r="G125" s="154"/>
      <c r="H125" s="154"/>
      <c r="I125" s="251">
        <f t="shared" si="6"/>
        <v>0</v>
      </c>
      <c r="J125" s="154"/>
      <c r="K125" s="154"/>
      <c r="L125" s="154"/>
      <c r="M125" s="154"/>
      <c r="N125" s="252">
        <f t="shared" si="7"/>
        <v>0</v>
      </c>
    </row>
    <row r="126" spans="2:14" s="167" customFormat="1" ht="15" customHeight="1" outlineLevel="1" x14ac:dyDescent="0.2">
      <c r="B126" s="60" t="s">
        <v>3745</v>
      </c>
      <c r="C126" s="506" t="s">
        <v>2550</v>
      </c>
      <c r="D126" s="166" t="s">
        <v>668</v>
      </c>
      <c r="E126" s="154"/>
      <c r="F126" s="154"/>
      <c r="G126" s="154"/>
      <c r="H126" s="154"/>
      <c r="I126" s="251">
        <f t="shared" si="6"/>
        <v>0</v>
      </c>
      <c r="J126" s="154"/>
      <c r="K126" s="154"/>
      <c r="L126" s="154"/>
      <c r="M126" s="154"/>
      <c r="N126" s="252">
        <f t="shared" si="7"/>
        <v>0</v>
      </c>
    </row>
    <row r="127" spans="2:14" s="167" customFormat="1" ht="15" customHeight="1" outlineLevel="1" x14ac:dyDescent="0.2">
      <c r="B127" s="60" t="s">
        <v>3746</v>
      </c>
      <c r="C127" s="506" t="s">
        <v>2551</v>
      </c>
      <c r="D127" s="166" t="s">
        <v>668</v>
      </c>
      <c r="E127" s="154"/>
      <c r="F127" s="154"/>
      <c r="G127" s="154"/>
      <c r="H127" s="154"/>
      <c r="I127" s="251">
        <f t="shared" si="6"/>
        <v>0</v>
      </c>
      <c r="J127" s="154"/>
      <c r="K127" s="154"/>
      <c r="L127" s="154"/>
      <c r="M127" s="154"/>
      <c r="N127" s="252">
        <f t="shared" si="7"/>
        <v>0</v>
      </c>
    </row>
    <row r="128" spans="2:14" s="167" customFormat="1" ht="15" customHeight="1" outlineLevel="1" x14ac:dyDescent="0.2">
      <c r="B128" s="60" t="s">
        <v>3747</v>
      </c>
      <c r="C128" s="506" t="s">
        <v>2552</v>
      </c>
      <c r="D128" s="166" t="s">
        <v>668</v>
      </c>
      <c r="E128" s="154"/>
      <c r="F128" s="154"/>
      <c r="G128" s="154"/>
      <c r="H128" s="154"/>
      <c r="I128" s="251">
        <f t="shared" si="6"/>
        <v>0</v>
      </c>
      <c r="J128" s="154"/>
      <c r="K128" s="154"/>
      <c r="L128" s="154"/>
      <c r="M128" s="154"/>
      <c r="N128" s="252">
        <f t="shared" si="7"/>
        <v>0</v>
      </c>
    </row>
    <row r="129" spans="2:14" s="167" customFormat="1" ht="15" customHeight="1" outlineLevel="1" x14ac:dyDescent="0.2">
      <c r="B129" s="60" t="s">
        <v>3748</v>
      </c>
      <c r="C129" s="506" t="s">
        <v>2553</v>
      </c>
      <c r="D129" s="166" t="s">
        <v>668</v>
      </c>
      <c r="E129" s="154"/>
      <c r="F129" s="154"/>
      <c r="G129" s="154"/>
      <c r="H129" s="154"/>
      <c r="I129" s="251">
        <f t="shared" si="6"/>
        <v>0</v>
      </c>
      <c r="J129" s="154"/>
      <c r="K129" s="154"/>
      <c r="L129" s="154"/>
      <c r="M129" s="154"/>
      <c r="N129" s="252">
        <f t="shared" si="7"/>
        <v>0</v>
      </c>
    </row>
    <row r="130" spans="2:14" s="167" customFormat="1" ht="15" customHeight="1" outlineLevel="1" x14ac:dyDescent="0.2">
      <c r="B130" s="60" t="s">
        <v>3749</v>
      </c>
      <c r="C130" s="506" t="s">
        <v>2554</v>
      </c>
      <c r="D130" s="166" t="s">
        <v>668</v>
      </c>
      <c r="E130" s="154"/>
      <c r="F130" s="154"/>
      <c r="G130" s="154"/>
      <c r="H130" s="154"/>
      <c r="I130" s="251">
        <f t="shared" si="6"/>
        <v>0</v>
      </c>
      <c r="J130" s="154"/>
      <c r="K130" s="154"/>
      <c r="L130" s="154"/>
      <c r="M130" s="154"/>
      <c r="N130" s="252">
        <f t="shared" si="7"/>
        <v>0</v>
      </c>
    </row>
    <row r="131" spans="2:14" s="167" customFormat="1" ht="15" customHeight="1" outlineLevel="1" x14ac:dyDescent="0.2">
      <c r="B131" s="60" t="s">
        <v>3750</v>
      </c>
      <c r="C131" s="506" t="s">
        <v>2555</v>
      </c>
      <c r="D131" s="166" t="s">
        <v>668</v>
      </c>
      <c r="E131" s="154"/>
      <c r="F131" s="154"/>
      <c r="G131" s="154"/>
      <c r="H131" s="154"/>
      <c r="I131" s="251">
        <f t="shared" si="6"/>
        <v>0</v>
      </c>
      <c r="J131" s="154"/>
      <c r="K131" s="154"/>
      <c r="L131" s="154"/>
      <c r="M131" s="154"/>
      <c r="N131" s="252">
        <f t="shared" si="7"/>
        <v>0</v>
      </c>
    </row>
    <row r="132" spans="2:14" s="167" customFormat="1" ht="15" customHeight="1" outlineLevel="1" x14ac:dyDescent="0.2">
      <c r="B132" s="60" t="s">
        <v>3751</v>
      </c>
      <c r="C132" s="506" t="s">
        <v>2556</v>
      </c>
      <c r="D132" s="166" t="s">
        <v>668</v>
      </c>
      <c r="E132" s="154"/>
      <c r="F132" s="154"/>
      <c r="G132" s="154"/>
      <c r="H132" s="154"/>
      <c r="I132" s="251">
        <f t="shared" si="6"/>
        <v>0</v>
      </c>
      <c r="J132" s="154"/>
      <c r="K132" s="154"/>
      <c r="L132" s="154"/>
      <c r="M132" s="154"/>
      <c r="N132" s="252">
        <f t="shared" si="7"/>
        <v>0</v>
      </c>
    </row>
    <row r="133" spans="2:14" s="167" customFormat="1" ht="15" customHeight="1" outlineLevel="1" x14ac:dyDescent="0.2">
      <c r="B133" s="60" t="s">
        <v>3752</v>
      </c>
      <c r="C133" s="506" t="s">
        <v>2557</v>
      </c>
      <c r="D133" s="166" t="s">
        <v>668</v>
      </c>
      <c r="E133" s="154"/>
      <c r="F133" s="154"/>
      <c r="G133" s="154"/>
      <c r="H133" s="154"/>
      <c r="I133" s="251">
        <f t="shared" si="6"/>
        <v>0</v>
      </c>
      <c r="J133" s="154"/>
      <c r="K133" s="154"/>
      <c r="L133" s="154"/>
      <c r="M133" s="154"/>
      <c r="N133" s="252">
        <f t="shared" si="7"/>
        <v>0</v>
      </c>
    </row>
    <row r="134" spans="2:14" s="167" customFormat="1" ht="15" customHeight="1" outlineLevel="1" x14ac:dyDescent="0.2">
      <c r="B134" s="60" t="s">
        <v>3753</v>
      </c>
      <c r="C134" s="506" t="s">
        <v>2558</v>
      </c>
      <c r="D134" s="166" t="s">
        <v>668</v>
      </c>
      <c r="E134" s="154"/>
      <c r="F134" s="154"/>
      <c r="G134" s="154"/>
      <c r="H134" s="154"/>
      <c r="I134" s="251">
        <f t="shared" si="6"/>
        <v>0</v>
      </c>
      <c r="J134" s="154"/>
      <c r="K134" s="154"/>
      <c r="L134" s="154"/>
      <c r="M134" s="154"/>
      <c r="N134" s="252">
        <f t="shared" si="7"/>
        <v>0</v>
      </c>
    </row>
    <row r="135" spans="2:14" s="167" customFormat="1" ht="15" customHeight="1" outlineLevel="1" x14ac:dyDescent="0.2">
      <c r="B135" s="60" t="s">
        <v>3754</v>
      </c>
      <c r="C135" s="506" t="s">
        <v>2559</v>
      </c>
      <c r="D135" s="166" t="s">
        <v>668</v>
      </c>
      <c r="E135" s="154"/>
      <c r="F135" s="154"/>
      <c r="G135" s="154"/>
      <c r="H135" s="154"/>
      <c r="I135" s="251">
        <f t="shared" si="6"/>
        <v>0</v>
      </c>
      <c r="J135" s="154"/>
      <c r="K135" s="154"/>
      <c r="L135" s="154"/>
      <c r="M135" s="154"/>
      <c r="N135" s="252">
        <f t="shared" si="7"/>
        <v>0</v>
      </c>
    </row>
    <row r="136" spans="2:14" s="143" customFormat="1" ht="15" customHeight="1" x14ac:dyDescent="0.2">
      <c r="B136" s="60" t="s">
        <v>3755</v>
      </c>
      <c r="C136" s="397">
        <v>2</v>
      </c>
      <c r="D136" s="150" t="s">
        <v>147</v>
      </c>
      <c r="E136" s="635">
        <f t="shared" ref="E136:N136" si="8">E137+E158+E179+E200+E221+E242</f>
        <v>0</v>
      </c>
      <c r="F136" s="635">
        <f t="shared" si="8"/>
        <v>0</v>
      </c>
      <c r="G136" s="635">
        <f t="shared" si="8"/>
        <v>0</v>
      </c>
      <c r="H136" s="635">
        <f t="shared" si="8"/>
        <v>0</v>
      </c>
      <c r="I136" s="239">
        <f t="shared" si="8"/>
        <v>0</v>
      </c>
      <c r="J136" s="635">
        <f t="shared" si="8"/>
        <v>0</v>
      </c>
      <c r="K136" s="635">
        <f t="shared" si="8"/>
        <v>0</v>
      </c>
      <c r="L136" s="635">
        <f t="shared" si="8"/>
        <v>0</v>
      </c>
      <c r="M136" s="635">
        <f t="shared" si="8"/>
        <v>0</v>
      </c>
      <c r="N136" s="240">
        <f t="shared" si="8"/>
        <v>0</v>
      </c>
    </row>
    <row r="137" spans="2:14" s="138" customFormat="1" ht="15" customHeight="1" x14ac:dyDescent="0.2">
      <c r="B137" s="60" t="s">
        <v>3756</v>
      </c>
      <c r="C137" s="499">
        <v>2.1</v>
      </c>
      <c r="D137" s="131" t="s">
        <v>148</v>
      </c>
      <c r="E137" s="636">
        <f>SUM(E138:E157)</f>
        <v>0</v>
      </c>
      <c r="F137" s="636">
        <f>SUM(F138:F157)</f>
        <v>0</v>
      </c>
      <c r="G137" s="636">
        <f>SUM(G138:G157)</f>
        <v>0</v>
      </c>
      <c r="H137" s="636">
        <f>SUM(H138:H157)</f>
        <v>0</v>
      </c>
      <c r="I137" s="259">
        <f t="shared" ref="I137:I200" si="9">SUM(E137:H137)</f>
        <v>0</v>
      </c>
      <c r="J137" s="636">
        <f>SUM(J138:J157)</f>
        <v>0</v>
      </c>
      <c r="K137" s="636">
        <f>SUM(K138:K157)</f>
        <v>0</v>
      </c>
      <c r="L137" s="636">
        <f>SUM(L138:L157)</f>
        <v>0</v>
      </c>
      <c r="M137" s="636">
        <f>SUM(M138:M157)</f>
        <v>0</v>
      </c>
      <c r="N137" s="260">
        <f t="shared" ref="N137:N200" si="10">SUM(J137:M137)</f>
        <v>0</v>
      </c>
    </row>
    <row r="138" spans="2:14" s="167" customFormat="1" ht="15" customHeight="1" outlineLevel="1" x14ac:dyDescent="0.2">
      <c r="B138" s="60" t="s">
        <v>3757</v>
      </c>
      <c r="C138" s="506" t="s">
        <v>448</v>
      </c>
      <c r="D138" s="166" t="s">
        <v>149</v>
      </c>
      <c r="E138" s="154"/>
      <c r="F138" s="154"/>
      <c r="G138" s="154"/>
      <c r="H138" s="154"/>
      <c r="I138" s="251">
        <f t="shared" si="9"/>
        <v>0</v>
      </c>
      <c r="J138" s="154"/>
      <c r="K138" s="154"/>
      <c r="L138" s="154"/>
      <c r="M138" s="154"/>
      <c r="N138" s="252">
        <f t="shared" si="10"/>
        <v>0</v>
      </c>
    </row>
    <row r="139" spans="2:14" s="167" customFormat="1" ht="15" customHeight="1" outlineLevel="1" x14ac:dyDescent="0.2">
      <c r="B139" s="60" t="s">
        <v>3758</v>
      </c>
      <c r="C139" s="506" t="s">
        <v>449</v>
      </c>
      <c r="D139" s="166" t="s">
        <v>149</v>
      </c>
      <c r="E139" s="154"/>
      <c r="F139" s="154"/>
      <c r="G139" s="154"/>
      <c r="H139" s="154"/>
      <c r="I139" s="251">
        <f t="shared" si="9"/>
        <v>0</v>
      </c>
      <c r="J139" s="154"/>
      <c r="K139" s="154"/>
      <c r="L139" s="154"/>
      <c r="M139" s="154"/>
      <c r="N139" s="252">
        <f t="shared" si="10"/>
        <v>0</v>
      </c>
    </row>
    <row r="140" spans="2:14" s="167" customFormat="1" ht="15" customHeight="1" outlineLevel="1" x14ac:dyDescent="0.2">
      <c r="B140" s="60" t="s">
        <v>3759</v>
      </c>
      <c r="C140" s="506" t="s">
        <v>562</v>
      </c>
      <c r="D140" s="166" t="s">
        <v>149</v>
      </c>
      <c r="E140" s="154"/>
      <c r="F140" s="154"/>
      <c r="G140" s="154"/>
      <c r="H140" s="154"/>
      <c r="I140" s="251">
        <f t="shared" si="9"/>
        <v>0</v>
      </c>
      <c r="J140" s="154"/>
      <c r="K140" s="154"/>
      <c r="L140" s="154"/>
      <c r="M140" s="154"/>
      <c r="N140" s="252">
        <f t="shared" si="10"/>
        <v>0</v>
      </c>
    </row>
    <row r="141" spans="2:14" s="167" customFormat="1" ht="15" customHeight="1" outlineLevel="1" x14ac:dyDescent="0.2">
      <c r="B141" s="60" t="s">
        <v>3760</v>
      </c>
      <c r="C141" s="506" t="s">
        <v>563</v>
      </c>
      <c r="D141" s="166" t="s">
        <v>149</v>
      </c>
      <c r="E141" s="154"/>
      <c r="F141" s="154"/>
      <c r="G141" s="154"/>
      <c r="H141" s="154"/>
      <c r="I141" s="251">
        <f t="shared" si="9"/>
        <v>0</v>
      </c>
      <c r="J141" s="154"/>
      <c r="K141" s="154"/>
      <c r="L141" s="154"/>
      <c r="M141" s="154"/>
      <c r="N141" s="252">
        <f t="shared" si="10"/>
        <v>0</v>
      </c>
    </row>
    <row r="142" spans="2:14" s="167" customFormat="1" ht="15" customHeight="1" outlineLevel="1" x14ac:dyDescent="0.2">
      <c r="B142" s="60" t="s">
        <v>3761</v>
      </c>
      <c r="C142" s="506" t="s">
        <v>564</v>
      </c>
      <c r="D142" s="166" t="s">
        <v>149</v>
      </c>
      <c r="E142" s="154"/>
      <c r="F142" s="154"/>
      <c r="G142" s="154"/>
      <c r="H142" s="154"/>
      <c r="I142" s="251">
        <f t="shared" si="9"/>
        <v>0</v>
      </c>
      <c r="J142" s="154"/>
      <c r="K142" s="154"/>
      <c r="L142" s="154"/>
      <c r="M142" s="154"/>
      <c r="N142" s="252">
        <f t="shared" si="10"/>
        <v>0</v>
      </c>
    </row>
    <row r="143" spans="2:14" s="167" customFormat="1" ht="15" customHeight="1" outlineLevel="1" x14ac:dyDescent="0.2">
      <c r="B143" s="60" t="s">
        <v>3762</v>
      </c>
      <c r="C143" s="506" t="s">
        <v>565</v>
      </c>
      <c r="D143" s="166" t="s">
        <v>149</v>
      </c>
      <c r="E143" s="154"/>
      <c r="F143" s="154"/>
      <c r="G143" s="154"/>
      <c r="H143" s="154"/>
      <c r="I143" s="251">
        <f t="shared" si="9"/>
        <v>0</v>
      </c>
      <c r="J143" s="154"/>
      <c r="K143" s="154"/>
      <c r="L143" s="154"/>
      <c r="M143" s="154"/>
      <c r="N143" s="252">
        <f t="shared" si="10"/>
        <v>0</v>
      </c>
    </row>
    <row r="144" spans="2:14" s="167" customFormat="1" ht="15" customHeight="1" outlineLevel="1" x14ac:dyDescent="0.2">
      <c r="B144" s="60" t="s">
        <v>3763</v>
      </c>
      <c r="C144" s="506" t="s">
        <v>566</v>
      </c>
      <c r="D144" s="166" t="s">
        <v>149</v>
      </c>
      <c r="E144" s="154"/>
      <c r="F144" s="154"/>
      <c r="G144" s="154"/>
      <c r="H144" s="154"/>
      <c r="I144" s="251">
        <f t="shared" si="9"/>
        <v>0</v>
      </c>
      <c r="J144" s="154"/>
      <c r="K144" s="154"/>
      <c r="L144" s="154"/>
      <c r="M144" s="154"/>
      <c r="N144" s="252">
        <f t="shared" si="10"/>
        <v>0</v>
      </c>
    </row>
    <row r="145" spans="2:14" s="167" customFormat="1" ht="15" customHeight="1" outlineLevel="1" x14ac:dyDescent="0.2">
      <c r="B145" s="60" t="s">
        <v>3764</v>
      </c>
      <c r="C145" s="506" t="s">
        <v>567</v>
      </c>
      <c r="D145" s="166" t="s">
        <v>149</v>
      </c>
      <c r="E145" s="154"/>
      <c r="F145" s="154"/>
      <c r="G145" s="154"/>
      <c r="H145" s="154"/>
      <c r="I145" s="251">
        <f t="shared" si="9"/>
        <v>0</v>
      </c>
      <c r="J145" s="154"/>
      <c r="K145" s="154"/>
      <c r="L145" s="154"/>
      <c r="M145" s="154"/>
      <c r="N145" s="252">
        <f t="shared" si="10"/>
        <v>0</v>
      </c>
    </row>
    <row r="146" spans="2:14" s="167" customFormat="1" ht="15" customHeight="1" outlineLevel="1" x14ac:dyDescent="0.2">
      <c r="B146" s="60" t="s">
        <v>3765</v>
      </c>
      <c r="C146" s="506" t="s">
        <v>568</v>
      </c>
      <c r="D146" s="166" t="s">
        <v>149</v>
      </c>
      <c r="E146" s="154"/>
      <c r="F146" s="154"/>
      <c r="G146" s="154"/>
      <c r="H146" s="154"/>
      <c r="I146" s="251">
        <f t="shared" si="9"/>
        <v>0</v>
      </c>
      <c r="J146" s="154"/>
      <c r="K146" s="154"/>
      <c r="L146" s="154"/>
      <c r="M146" s="154"/>
      <c r="N146" s="252">
        <f t="shared" si="10"/>
        <v>0</v>
      </c>
    </row>
    <row r="147" spans="2:14" s="167" customFormat="1" ht="15" customHeight="1" outlineLevel="1" x14ac:dyDescent="0.2">
      <c r="B147" s="60" t="s">
        <v>3766</v>
      </c>
      <c r="C147" s="506" t="s">
        <v>569</v>
      </c>
      <c r="D147" s="166" t="s">
        <v>149</v>
      </c>
      <c r="E147" s="154"/>
      <c r="F147" s="154"/>
      <c r="G147" s="154"/>
      <c r="H147" s="154"/>
      <c r="I147" s="251">
        <f t="shared" si="9"/>
        <v>0</v>
      </c>
      <c r="J147" s="154"/>
      <c r="K147" s="154"/>
      <c r="L147" s="154"/>
      <c r="M147" s="154"/>
      <c r="N147" s="252">
        <f t="shared" si="10"/>
        <v>0</v>
      </c>
    </row>
    <row r="148" spans="2:14" s="167" customFormat="1" ht="15" customHeight="1" outlineLevel="1" x14ac:dyDescent="0.2">
      <c r="B148" s="60" t="s">
        <v>3767</v>
      </c>
      <c r="C148" s="506" t="s">
        <v>570</v>
      </c>
      <c r="D148" s="166" t="s">
        <v>149</v>
      </c>
      <c r="E148" s="154"/>
      <c r="F148" s="154"/>
      <c r="G148" s="154"/>
      <c r="H148" s="154"/>
      <c r="I148" s="251">
        <f t="shared" si="9"/>
        <v>0</v>
      </c>
      <c r="J148" s="154"/>
      <c r="K148" s="154"/>
      <c r="L148" s="154"/>
      <c r="M148" s="154"/>
      <c r="N148" s="252">
        <f t="shared" si="10"/>
        <v>0</v>
      </c>
    </row>
    <row r="149" spans="2:14" s="167" customFormat="1" ht="15" customHeight="1" outlineLevel="1" x14ac:dyDescent="0.2">
      <c r="B149" s="60" t="s">
        <v>3768</v>
      </c>
      <c r="C149" s="506" t="s">
        <v>571</v>
      </c>
      <c r="D149" s="166" t="s">
        <v>149</v>
      </c>
      <c r="E149" s="154"/>
      <c r="F149" s="154"/>
      <c r="G149" s="154"/>
      <c r="H149" s="154"/>
      <c r="I149" s="251">
        <f t="shared" si="9"/>
        <v>0</v>
      </c>
      <c r="J149" s="154"/>
      <c r="K149" s="154"/>
      <c r="L149" s="154"/>
      <c r="M149" s="154"/>
      <c r="N149" s="252">
        <f t="shared" si="10"/>
        <v>0</v>
      </c>
    </row>
    <row r="150" spans="2:14" s="167" customFormat="1" ht="15" customHeight="1" outlineLevel="1" x14ac:dyDescent="0.2">
      <c r="B150" s="60" t="s">
        <v>3769</v>
      </c>
      <c r="C150" s="506" t="s">
        <v>572</v>
      </c>
      <c r="D150" s="166" t="s">
        <v>149</v>
      </c>
      <c r="E150" s="154"/>
      <c r="F150" s="154"/>
      <c r="G150" s="154"/>
      <c r="H150" s="154"/>
      <c r="I150" s="251">
        <f t="shared" si="9"/>
        <v>0</v>
      </c>
      <c r="J150" s="154"/>
      <c r="K150" s="154"/>
      <c r="L150" s="154"/>
      <c r="M150" s="154"/>
      <c r="N150" s="252">
        <f t="shared" si="10"/>
        <v>0</v>
      </c>
    </row>
    <row r="151" spans="2:14" s="167" customFormat="1" ht="15" customHeight="1" outlineLevel="1" x14ac:dyDescent="0.2">
      <c r="B151" s="60" t="s">
        <v>3770</v>
      </c>
      <c r="C151" s="506" t="s">
        <v>573</v>
      </c>
      <c r="D151" s="166" t="s">
        <v>149</v>
      </c>
      <c r="E151" s="154"/>
      <c r="F151" s="154"/>
      <c r="G151" s="154"/>
      <c r="H151" s="154"/>
      <c r="I151" s="251">
        <f t="shared" si="9"/>
        <v>0</v>
      </c>
      <c r="J151" s="154"/>
      <c r="K151" s="154"/>
      <c r="L151" s="154"/>
      <c r="M151" s="154"/>
      <c r="N151" s="252">
        <f t="shared" si="10"/>
        <v>0</v>
      </c>
    </row>
    <row r="152" spans="2:14" s="167" customFormat="1" ht="15" customHeight="1" outlineLevel="1" x14ac:dyDescent="0.2">
      <c r="B152" s="60" t="s">
        <v>3771</v>
      </c>
      <c r="C152" s="506" t="s">
        <v>574</v>
      </c>
      <c r="D152" s="166" t="s">
        <v>149</v>
      </c>
      <c r="E152" s="154"/>
      <c r="F152" s="154"/>
      <c r="G152" s="154"/>
      <c r="H152" s="154"/>
      <c r="I152" s="251">
        <f t="shared" si="9"/>
        <v>0</v>
      </c>
      <c r="J152" s="154"/>
      <c r="K152" s="154"/>
      <c r="L152" s="154"/>
      <c r="M152" s="154"/>
      <c r="N152" s="252">
        <f t="shared" si="10"/>
        <v>0</v>
      </c>
    </row>
    <row r="153" spans="2:14" s="167" customFormat="1" ht="15" customHeight="1" outlineLevel="1" x14ac:dyDescent="0.2">
      <c r="B153" s="60" t="s">
        <v>3772</v>
      </c>
      <c r="C153" s="506" t="s">
        <v>575</v>
      </c>
      <c r="D153" s="166" t="s">
        <v>149</v>
      </c>
      <c r="E153" s="154"/>
      <c r="F153" s="154"/>
      <c r="G153" s="154"/>
      <c r="H153" s="154"/>
      <c r="I153" s="251">
        <f t="shared" si="9"/>
        <v>0</v>
      </c>
      <c r="J153" s="154"/>
      <c r="K153" s="154"/>
      <c r="L153" s="154"/>
      <c r="M153" s="154"/>
      <c r="N153" s="252">
        <f t="shared" si="10"/>
        <v>0</v>
      </c>
    </row>
    <row r="154" spans="2:14" s="167" customFormat="1" ht="15" customHeight="1" outlineLevel="1" x14ac:dyDescent="0.2">
      <c r="B154" s="60" t="s">
        <v>3773</v>
      </c>
      <c r="C154" s="506" t="s">
        <v>576</v>
      </c>
      <c r="D154" s="166" t="s">
        <v>149</v>
      </c>
      <c r="E154" s="154"/>
      <c r="F154" s="154"/>
      <c r="G154" s="154"/>
      <c r="H154" s="154"/>
      <c r="I154" s="251">
        <f t="shared" si="9"/>
        <v>0</v>
      </c>
      <c r="J154" s="154"/>
      <c r="K154" s="154"/>
      <c r="L154" s="154"/>
      <c r="M154" s="154"/>
      <c r="N154" s="252">
        <f t="shared" si="10"/>
        <v>0</v>
      </c>
    </row>
    <row r="155" spans="2:14" s="167" customFormat="1" ht="15" customHeight="1" outlineLevel="1" x14ac:dyDescent="0.2">
      <c r="B155" s="60" t="s">
        <v>3774</v>
      </c>
      <c r="C155" s="506" t="s">
        <v>577</v>
      </c>
      <c r="D155" s="166" t="s">
        <v>149</v>
      </c>
      <c r="E155" s="154"/>
      <c r="F155" s="154"/>
      <c r="G155" s="154"/>
      <c r="H155" s="154"/>
      <c r="I155" s="251">
        <f t="shared" si="9"/>
        <v>0</v>
      </c>
      <c r="J155" s="154"/>
      <c r="K155" s="154"/>
      <c r="L155" s="154"/>
      <c r="M155" s="154"/>
      <c r="N155" s="252">
        <f t="shared" si="10"/>
        <v>0</v>
      </c>
    </row>
    <row r="156" spans="2:14" s="167" customFormat="1" ht="15" customHeight="1" outlineLevel="1" x14ac:dyDescent="0.2">
      <c r="B156" s="60" t="s">
        <v>3775</v>
      </c>
      <c r="C156" s="506" t="s">
        <v>578</v>
      </c>
      <c r="D156" s="166" t="s">
        <v>149</v>
      </c>
      <c r="E156" s="154"/>
      <c r="F156" s="154"/>
      <c r="G156" s="154"/>
      <c r="H156" s="154"/>
      <c r="I156" s="251">
        <f t="shared" si="9"/>
        <v>0</v>
      </c>
      <c r="J156" s="154"/>
      <c r="K156" s="154"/>
      <c r="L156" s="154"/>
      <c r="M156" s="154"/>
      <c r="N156" s="252">
        <f t="shared" si="10"/>
        <v>0</v>
      </c>
    </row>
    <row r="157" spans="2:14" s="167" customFormat="1" ht="15" customHeight="1" outlineLevel="1" x14ac:dyDescent="0.2">
      <c r="B157" s="60" t="s">
        <v>3776</v>
      </c>
      <c r="C157" s="506" t="s">
        <v>579</v>
      </c>
      <c r="D157" s="166" t="s">
        <v>149</v>
      </c>
      <c r="E157" s="154"/>
      <c r="F157" s="154"/>
      <c r="G157" s="154"/>
      <c r="H157" s="154"/>
      <c r="I157" s="251">
        <f t="shared" si="9"/>
        <v>0</v>
      </c>
      <c r="J157" s="154"/>
      <c r="K157" s="154"/>
      <c r="L157" s="154"/>
      <c r="M157" s="154"/>
      <c r="N157" s="252">
        <f t="shared" si="10"/>
        <v>0</v>
      </c>
    </row>
    <row r="158" spans="2:14" s="138" customFormat="1" ht="15" customHeight="1" x14ac:dyDescent="0.2">
      <c r="B158" s="60" t="s">
        <v>3777</v>
      </c>
      <c r="C158" s="499">
        <v>2.2000000000000002</v>
      </c>
      <c r="D158" s="131" t="s">
        <v>4676</v>
      </c>
      <c r="E158" s="636">
        <f>SUM(E159:E178)</f>
        <v>0</v>
      </c>
      <c r="F158" s="636">
        <f>SUM(F159:F178)</f>
        <v>0</v>
      </c>
      <c r="G158" s="636">
        <f>SUM(G159:G178)</f>
        <v>0</v>
      </c>
      <c r="H158" s="636">
        <f>SUM(H159:H178)</f>
        <v>0</v>
      </c>
      <c r="I158" s="259">
        <f t="shared" si="9"/>
        <v>0</v>
      </c>
      <c r="J158" s="636">
        <f>SUM(J159:J178)</f>
        <v>0</v>
      </c>
      <c r="K158" s="636">
        <f>SUM(K159:K178)</f>
        <v>0</v>
      </c>
      <c r="L158" s="636">
        <f>SUM(L159:L178)</f>
        <v>0</v>
      </c>
      <c r="M158" s="636">
        <f>SUM(M159:M178)</f>
        <v>0</v>
      </c>
      <c r="N158" s="260">
        <f t="shared" si="10"/>
        <v>0</v>
      </c>
    </row>
    <row r="159" spans="2:14" s="167" customFormat="1" ht="15" customHeight="1" outlineLevel="1" x14ac:dyDescent="0.2">
      <c r="B159" s="60" t="s">
        <v>3778</v>
      </c>
      <c r="C159" s="506" t="s">
        <v>580</v>
      </c>
      <c r="D159" s="166" t="s">
        <v>149</v>
      </c>
      <c r="E159" s="154"/>
      <c r="F159" s="154"/>
      <c r="G159" s="154"/>
      <c r="H159" s="154"/>
      <c r="I159" s="251">
        <f t="shared" si="9"/>
        <v>0</v>
      </c>
      <c r="J159" s="154"/>
      <c r="K159" s="154"/>
      <c r="L159" s="154"/>
      <c r="M159" s="154"/>
      <c r="N159" s="252">
        <f t="shared" si="10"/>
        <v>0</v>
      </c>
    </row>
    <row r="160" spans="2:14" s="167" customFormat="1" ht="15" customHeight="1" outlineLevel="1" x14ac:dyDescent="0.2">
      <c r="B160" s="60" t="s">
        <v>3779</v>
      </c>
      <c r="C160" s="506" t="s">
        <v>581</v>
      </c>
      <c r="D160" s="166" t="s">
        <v>149</v>
      </c>
      <c r="E160" s="154"/>
      <c r="F160" s="154"/>
      <c r="G160" s="154"/>
      <c r="H160" s="154"/>
      <c r="I160" s="251">
        <f t="shared" si="9"/>
        <v>0</v>
      </c>
      <c r="J160" s="154"/>
      <c r="K160" s="154"/>
      <c r="L160" s="154"/>
      <c r="M160" s="154"/>
      <c r="N160" s="252">
        <f t="shared" si="10"/>
        <v>0</v>
      </c>
    </row>
    <row r="161" spans="2:14" s="167" customFormat="1" ht="15" customHeight="1" outlineLevel="1" x14ac:dyDescent="0.2">
      <c r="B161" s="60" t="s">
        <v>3780</v>
      </c>
      <c r="C161" s="506" t="s">
        <v>582</v>
      </c>
      <c r="D161" s="166" t="s">
        <v>149</v>
      </c>
      <c r="E161" s="154"/>
      <c r="F161" s="154"/>
      <c r="G161" s="154"/>
      <c r="H161" s="154"/>
      <c r="I161" s="251">
        <f t="shared" si="9"/>
        <v>0</v>
      </c>
      <c r="J161" s="154"/>
      <c r="K161" s="154"/>
      <c r="L161" s="154"/>
      <c r="M161" s="154"/>
      <c r="N161" s="252">
        <f t="shared" si="10"/>
        <v>0</v>
      </c>
    </row>
    <row r="162" spans="2:14" s="167" customFormat="1" ht="15" customHeight="1" outlineLevel="1" x14ac:dyDescent="0.2">
      <c r="B162" s="60" t="s">
        <v>3781</v>
      </c>
      <c r="C162" s="506" t="s">
        <v>583</v>
      </c>
      <c r="D162" s="166" t="s">
        <v>149</v>
      </c>
      <c r="E162" s="154"/>
      <c r="F162" s="154"/>
      <c r="G162" s="154"/>
      <c r="H162" s="154"/>
      <c r="I162" s="251">
        <f t="shared" si="9"/>
        <v>0</v>
      </c>
      <c r="J162" s="154"/>
      <c r="K162" s="154"/>
      <c r="L162" s="154"/>
      <c r="M162" s="154"/>
      <c r="N162" s="252">
        <f t="shared" si="10"/>
        <v>0</v>
      </c>
    </row>
    <row r="163" spans="2:14" s="167" customFormat="1" ht="15" customHeight="1" outlineLevel="1" x14ac:dyDescent="0.2">
      <c r="B163" s="60" t="s">
        <v>3782</v>
      </c>
      <c r="C163" s="506" t="s">
        <v>584</v>
      </c>
      <c r="D163" s="166" t="s">
        <v>149</v>
      </c>
      <c r="E163" s="154"/>
      <c r="F163" s="154"/>
      <c r="G163" s="154"/>
      <c r="H163" s="154"/>
      <c r="I163" s="251">
        <f t="shared" si="9"/>
        <v>0</v>
      </c>
      <c r="J163" s="154"/>
      <c r="K163" s="154"/>
      <c r="L163" s="154"/>
      <c r="M163" s="154"/>
      <c r="N163" s="252">
        <f t="shared" si="10"/>
        <v>0</v>
      </c>
    </row>
    <row r="164" spans="2:14" s="167" customFormat="1" ht="15" customHeight="1" outlineLevel="1" x14ac:dyDescent="0.2">
      <c r="B164" s="60" t="s">
        <v>3783</v>
      </c>
      <c r="C164" s="506" t="s">
        <v>585</v>
      </c>
      <c r="D164" s="166" t="s">
        <v>149</v>
      </c>
      <c r="E164" s="154"/>
      <c r="F164" s="154"/>
      <c r="G164" s="154"/>
      <c r="H164" s="154"/>
      <c r="I164" s="251">
        <f t="shared" si="9"/>
        <v>0</v>
      </c>
      <c r="J164" s="154"/>
      <c r="K164" s="154"/>
      <c r="L164" s="154"/>
      <c r="M164" s="154"/>
      <c r="N164" s="252">
        <f t="shared" si="10"/>
        <v>0</v>
      </c>
    </row>
    <row r="165" spans="2:14" s="167" customFormat="1" ht="15" customHeight="1" outlineLevel="1" x14ac:dyDescent="0.2">
      <c r="B165" s="60" t="s">
        <v>3784</v>
      </c>
      <c r="C165" s="506" t="s">
        <v>586</v>
      </c>
      <c r="D165" s="166" t="s">
        <v>149</v>
      </c>
      <c r="E165" s="154"/>
      <c r="F165" s="154"/>
      <c r="G165" s="154"/>
      <c r="H165" s="154"/>
      <c r="I165" s="251">
        <f t="shared" si="9"/>
        <v>0</v>
      </c>
      <c r="J165" s="154"/>
      <c r="K165" s="154"/>
      <c r="L165" s="154"/>
      <c r="M165" s="154"/>
      <c r="N165" s="252">
        <f t="shared" si="10"/>
        <v>0</v>
      </c>
    </row>
    <row r="166" spans="2:14" s="167" customFormat="1" ht="15" customHeight="1" outlineLevel="1" x14ac:dyDescent="0.2">
      <c r="B166" s="60" t="s">
        <v>3785</v>
      </c>
      <c r="C166" s="506" t="s">
        <v>587</v>
      </c>
      <c r="D166" s="166" t="s">
        <v>149</v>
      </c>
      <c r="E166" s="154"/>
      <c r="F166" s="154"/>
      <c r="G166" s="154"/>
      <c r="H166" s="154"/>
      <c r="I166" s="251">
        <f t="shared" si="9"/>
        <v>0</v>
      </c>
      <c r="J166" s="154"/>
      <c r="K166" s="154"/>
      <c r="L166" s="154"/>
      <c r="M166" s="154"/>
      <c r="N166" s="252">
        <f t="shared" si="10"/>
        <v>0</v>
      </c>
    </row>
    <row r="167" spans="2:14" s="167" customFormat="1" ht="15" customHeight="1" outlineLevel="1" x14ac:dyDescent="0.2">
      <c r="B167" s="60" t="s">
        <v>3786</v>
      </c>
      <c r="C167" s="506" t="s">
        <v>588</v>
      </c>
      <c r="D167" s="166" t="s">
        <v>149</v>
      </c>
      <c r="E167" s="154"/>
      <c r="F167" s="154"/>
      <c r="G167" s="154"/>
      <c r="H167" s="154"/>
      <c r="I167" s="251">
        <f t="shared" si="9"/>
        <v>0</v>
      </c>
      <c r="J167" s="154"/>
      <c r="K167" s="154"/>
      <c r="L167" s="154"/>
      <c r="M167" s="154"/>
      <c r="N167" s="252">
        <f t="shared" si="10"/>
        <v>0</v>
      </c>
    </row>
    <row r="168" spans="2:14" s="167" customFormat="1" ht="15" customHeight="1" outlineLevel="1" x14ac:dyDescent="0.2">
      <c r="B168" s="60" t="s">
        <v>3787</v>
      </c>
      <c r="C168" s="506" t="s">
        <v>589</v>
      </c>
      <c r="D168" s="166" t="s">
        <v>149</v>
      </c>
      <c r="E168" s="154"/>
      <c r="F168" s="154"/>
      <c r="G168" s="154"/>
      <c r="H168" s="154"/>
      <c r="I168" s="251">
        <f t="shared" si="9"/>
        <v>0</v>
      </c>
      <c r="J168" s="154"/>
      <c r="K168" s="154"/>
      <c r="L168" s="154"/>
      <c r="M168" s="154"/>
      <c r="N168" s="252">
        <f t="shared" si="10"/>
        <v>0</v>
      </c>
    </row>
    <row r="169" spans="2:14" s="167" customFormat="1" ht="15" customHeight="1" outlineLevel="1" x14ac:dyDescent="0.2">
      <c r="B169" s="60" t="s">
        <v>3788</v>
      </c>
      <c r="C169" s="506" t="s">
        <v>590</v>
      </c>
      <c r="D169" s="166" t="s">
        <v>149</v>
      </c>
      <c r="E169" s="154"/>
      <c r="F169" s="154"/>
      <c r="G169" s="154"/>
      <c r="H169" s="154"/>
      <c r="I169" s="251">
        <f t="shared" si="9"/>
        <v>0</v>
      </c>
      <c r="J169" s="154"/>
      <c r="K169" s="154"/>
      <c r="L169" s="154"/>
      <c r="M169" s="154"/>
      <c r="N169" s="252">
        <f t="shared" si="10"/>
        <v>0</v>
      </c>
    </row>
    <row r="170" spans="2:14" s="167" customFormat="1" ht="15" customHeight="1" outlineLevel="1" x14ac:dyDescent="0.2">
      <c r="B170" s="60" t="s">
        <v>3789</v>
      </c>
      <c r="C170" s="506" t="s">
        <v>591</v>
      </c>
      <c r="D170" s="166" t="s">
        <v>149</v>
      </c>
      <c r="E170" s="154"/>
      <c r="F170" s="154"/>
      <c r="G170" s="154"/>
      <c r="H170" s="154"/>
      <c r="I170" s="251">
        <f t="shared" si="9"/>
        <v>0</v>
      </c>
      <c r="J170" s="154"/>
      <c r="K170" s="154"/>
      <c r="L170" s="154"/>
      <c r="M170" s="154"/>
      <c r="N170" s="252">
        <f t="shared" si="10"/>
        <v>0</v>
      </c>
    </row>
    <row r="171" spans="2:14" s="167" customFormat="1" ht="15" customHeight="1" outlineLevel="1" x14ac:dyDescent="0.2">
      <c r="B171" s="60" t="s">
        <v>3790</v>
      </c>
      <c r="C171" s="506" t="s">
        <v>592</v>
      </c>
      <c r="D171" s="166" t="s">
        <v>149</v>
      </c>
      <c r="E171" s="154"/>
      <c r="F171" s="154"/>
      <c r="G171" s="154"/>
      <c r="H171" s="154"/>
      <c r="I171" s="251">
        <f t="shared" si="9"/>
        <v>0</v>
      </c>
      <c r="J171" s="154"/>
      <c r="K171" s="154"/>
      <c r="L171" s="154"/>
      <c r="M171" s="154"/>
      <c r="N171" s="252">
        <f t="shared" si="10"/>
        <v>0</v>
      </c>
    </row>
    <row r="172" spans="2:14" s="167" customFormat="1" ht="15" customHeight="1" outlineLevel="1" x14ac:dyDescent="0.2">
      <c r="B172" s="60" t="s">
        <v>3791</v>
      </c>
      <c r="C172" s="506" t="s">
        <v>593</v>
      </c>
      <c r="D172" s="166" t="s">
        <v>149</v>
      </c>
      <c r="E172" s="154"/>
      <c r="F172" s="154"/>
      <c r="G172" s="154"/>
      <c r="H172" s="154"/>
      <c r="I172" s="251">
        <f t="shared" si="9"/>
        <v>0</v>
      </c>
      <c r="J172" s="154"/>
      <c r="K172" s="154"/>
      <c r="L172" s="154"/>
      <c r="M172" s="154"/>
      <c r="N172" s="252">
        <f t="shared" si="10"/>
        <v>0</v>
      </c>
    </row>
    <row r="173" spans="2:14" s="167" customFormat="1" ht="15" customHeight="1" outlineLevel="1" x14ac:dyDescent="0.2">
      <c r="B173" s="60" t="s">
        <v>3792</v>
      </c>
      <c r="C173" s="506" t="s">
        <v>594</v>
      </c>
      <c r="D173" s="166" t="s">
        <v>149</v>
      </c>
      <c r="E173" s="154"/>
      <c r="F173" s="154"/>
      <c r="G173" s="154"/>
      <c r="H173" s="154"/>
      <c r="I173" s="251">
        <f t="shared" si="9"/>
        <v>0</v>
      </c>
      <c r="J173" s="154"/>
      <c r="K173" s="154"/>
      <c r="L173" s="154"/>
      <c r="M173" s="154"/>
      <c r="N173" s="252">
        <f t="shared" si="10"/>
        <v>0</v>
      </c>
    </row>
    <row r="174" spans="2:14" s="167" customFormat="1" ht="15" customHeight="1" outlineLevel="1" x14ac:dyDescent="0.2">
      <c r="B174" s="60" t="s">
        <v>3793</v>
      </c>
      <c r="C174" s="506" t="s">
        <v>595</v>
      </c>
      <c r="D174" s="166" t="s">
        <v>149</v>
      </c>
      <c r="E174" s="154"/>
      <c r="F174" s="154"/>
      <c r="G174" s="154"/>
      <c r="H174" s="154"/>
      <c r="I174" s="251">
        <f t="shared" si="9"/>
        <v>0</v>
      </c>
      <c r="J174" s="154"/>
      <c r="K174" s="154"/>
      <c r="L174" s="154"/>
      <c r="M174" s="154"/>
      <c r="N174" s="252">
        <f t="shared" si="10"/>
        <v>0</v>
      </c>
    </row>
    <row r="175" spans="2:14" s="167" customFormat="1" ht="15" customHeight="1" outlineLevel="1" x14ac:dyDescent="0.2">
      <c r="B175" s="60" t="s">
        <v>3794</v>
      </c>
      <c r="C175" s="506" t="s">
        <v>596</v>
      </c>
      <c r="D175" s="166" t="s">
        <v>149</v>
      </c>
      <c r="E175" s="154"/>
      <c r="F175" s="154"/>
      <c r="G175" s="154"/>
      <c r="H175" s="154"/>
      <c r="I175" s="251">
        <f t="shared" si="9"/>
        <v>0</v>
      </c>
      <c r="J175" s="154"/>
      <c r="K175" s="154"/>
      <c r="L175" s="154"/>
      <c r="M175" s="154"/>
      <c r="N175" s="252">
        <f t="shared" si="10"/>
        <v>0</v>
      </c>
    </row>
    <row r="176" spans="2:14" s="167" customFormat="1" ht="15" customHeight="1" outlineLevel="1" x14ac:dyDescent="0.2">
      <c r="B176" s="60" t="s">
        <v>3795</v>
      </c>
      <c r="C176" s="506" t="s">
        <v>597</v>
      </c>
      <c r="D176" s="166" t="s">
        <v>149</v>
      </c>
      <c r="E176" s="154"/>
      <c r="F176" s="154"/>
      <c r="G176" s="154"/>
      <c r="H176" s="154"/>
      <c r="I176" s="251">
        <f t="shared" si="9"/>
        <v>0</v>
      </c>
      <c r="J176" s="154"/>
      <c r="K176" s="154"/>
      <c r="L176" s="154"/>
      <c r="M176" s="154"/>
      <c r="N176" s="252">
        <f t="shared" si="10"/>
        <v>0</v>
      </c>
    </row>
    <row r="177" spans="2:14" s="167" customFormat="1" ht="15" customHeight="1" outlineLevel="1" x14ac:dyDescent="0.2">
      <c r="B177" s="60" t="s">
        <v>3796</v>
      </c>
      <c r="C177" s="506" t="s">
        <v>598</v>
      </c>
      <c r="D177" s="166" t="s">
        <v>149</v>
      </c>
      <c r="E177" s="154"/>
      <c r="F177" s="154"/>
      <c r="G177" s="154"/>
      <c r="H177" s="154"/>
      <c r="I177" s="251">
        <f t="shared" si="9"/>
        <v>0</v>
      </c>
      <c r="J177" s="154"/>
      <c r="K177" s="154"/>
      <c r="L177" s="154"/>
      <c r="M177" s="154"/>
      <c r="N177" s="252">
        <f t="shared" si="10"/>
        <v>0</v>
      </c>
    </row>
    <row r="178" spans="2:14" s="167" customFormat="1" ht="15" customHeight="1" outlineLevel="1" x14ac:dyDescent="0.2">
      <c r="B178" s="60" t="s">
        <v>3797</v>
      </c>
      <c r="C178" s="506" t="s">
        <v>599</v>
      </c>
      <c r="D178" s="166" t="s">
        <v>149</v>
      </c>
      <c r="E178" s="154"/>
      <c r="F178" s="154"/>
      <c r="G178" s="154"/>
      <c r="H178" s="154"/>
      <c r="I178" s="251">
        <f t="shared" si="9"/>
        <v>0</v>
      </c>
      <c r="J178" s="154"/>
      <c r="K178" s="154"/>
      <c r="L178" s="154"/>
      <c r="M178" s="154"/>
      <c r="N178" s="252">
        <f t="shared" si="10"/>
        <v>0</v>
      </c>
    </row>
    <row r="179" spans="2:14" s="138" customFormat="1" ht="15" customHeight="1" x14ac:dyDescent="0.2">
      <c r="B179" s="60" t="s">
        <v>3798</v>
      </c>
      <c r="C179" s="499">
        <v>2.2999999999999998</v>
      </c>
      <c r="D179" s="131" t="s">
        <v>150</v>
      </c>
      <c r="E179" s="636">
        <f>SUM(E180:E199)</f>
        <v>0</v>
      </c>
      <c r="F179" s="636">
        <f>SUM(F180:F199)</f>
        <v>0</v>
      </c>
      <c r="G179" s="636">
        <f>SUM(G180:G199)</f>
        <v>0</v>
      </c>
      <c r="H179" s="636">
        <f>SUM(H180:H199)</f>
        <v>0</v>
      </c>
      <c r="I179" s="259">
        <f t="shared" si="9"/>
        <v>0</v>
      </c>
      <c r="J179" s="636">
        <f>SUM(J180:J199)</f>
        <v>0</v>
      </c>
      <c r="K179" s="636">
        <f>SUM(K180:K199)</f>
        <v>0</v>
      </c>
      <c r="L179" s="636">
        <f>SUM(L180:L199)</f>
        <v>0</v>
      </c>
      <c r="M179" s="636">
        <f>SUM(M180:M199)</f>
        <v>0</v>
      </c>
      <c r="N179" s="260">
        <f t="shared" si="10"/>
        <v>0</v>
      </c>
    </row>
    <row r="180" spans="2:14" s="167" customFormat="1" ht="15" customHeight="1" outlineLevel="1" x14ac:dyDescent="0.2">
      <c r="B180" s="60" t="s">
        <v>3799</v>
      </c>
      <c r="C180" s="506" t="s">
        <v>1604</v>
      </c>
      <c r="D180" s="166" t="s">
        <v>149</v>
      </c>
      <c r="E180" s="154"/>
      <c r="F180" s="154"/>
      <c r="G180" s="154"/>
      <c r="H180" s="154"/>
      <c r="I180" s="251">
        <f t="shared" si="9"/>
        <v>0</v>
      </c>
      <c r="J180" s="154"/>
      <c r="K180" s="154"/>
      <c r="L180" s="154"/>
      <c r="M180" s="154"/>
      <c r="N180" s="252">
        <f t="shared" si="10"/>
        <v>0</v>
      </c>
    </row>
    <row r="181" spans="2:14" s="167" customFormat="1" ht="15" customHeight="1" outlineLevel="1" x14ac:dyDescent="0.2">
      <c r="B181" s="60" t="s">
        <v>3800</v>
      </c>
      <c r="C181" s="506" t="s">
        <v>1605</v>
      </c>
      <c r="D181" s="166" t="s">
        <v>149</v>
      </c>
      <c r="E181" s="154"/>
      <c r="F181" s="154"/>
      <c r="G181" s="154"/>
      <c r="H181" s="154"/>
      <c r="I181" s="251">
        <f t="shared" si="9"/>
        <v>0</v>
      </c>
      <c r="J181" s="154"/>
      <c r="K181" s="154"/>
      <c r="L181" s="154"/>
      <c r="M181" s="154"/>
      <c r="N181" s="252">
        <f t="shared" si="10"/>
        <v>0</v>
      </c>
    </row>
    <row r="182" spans="2:14" s="167" customFormat="1" ht="15" customHeight="1" outlineLevel="1" x14ac:dyDescent="0.2">
      <c r="B182" s="60" t="s">
        <v>3801</v>
      </c>
      <c r="C182" s="506" t="s">
        <v>1606</v>
      </c>
      <c r="D182" s="166" t="s">
        <v>149</v>
      </c>
      <c r="E182" s="154"/>
      <c r="F182" s="154"/>
      <c r="G182" s="154"/>
      <c r="H182" s="154"/>
      <c r="I182" s="251">
        <f t="shared" si="9"/>
        <v>0</v>
      </c>
      <c r="J182" s="154"/>
      <c r="K182" s="154"/>
      <c r="L182" s="154"/>
      <c r="M182" s="154"/>
      <c r="N182" s="252">
        <f t="shared" si="10"/>
        <v>0</v>
      </c>
    </row>
    <row r="183" spans="2:14" s="167" customFormat="1" ht="15" customHeight="1" outlineLevel="1" x14ac:dyDescent="0.2">
      <c r="B183" s="60" t="s">
        <v>3802</v>
      </c>
      <c r="C183" s="506" t="s">
        <v>1607</v>
      </c>
      <c r="D183" s="166" t="s">
        <v>149</v>
      </c>
      <c r="E183" s="154"/>
      <c r="F183" s="154"/>
      <c r="G183" s="154"/>
      <c r="H183" s="154"/>
      <c r="I183" s="251">
        <f t="shared" si="9"/>
        <v>0</v>
      </c>
      <c r="J183" s="154"/>
      <c r="K183" s="154"/>
      <c r="L183" s="154"/>
      <c r="M183" s="154"/>
      <c r="N183" s="252">
        <f t="shared" si="10"/>
        <v>0</v>
      </c>
    </row>
    <row r="184" spans="2:14" s="167" customFormat="1" ht="15" customHeight="1" outlineLevel="1" x14ac:dyDescent="0.2">
      <c r="B184" s="60" t="s">
        <v>3803</v>
      </c>
      <c r="C184" s="506" t="s">
        <v>1608</v>
      </c>
      <c r="D184" s="166" t="s">
        <v>149</v>
      </c>
      <c r="E184" s="154"/>
      <c r="F184" s="154"/>
      <c r="G184" s="154"/>
      <c r="H184" s="154"/>
      <c r="I184" s="251">
        <f t="shared" si="9"/>
        <v>0</v>
      </c>
      <c r="J184" s="154"/>
      <c r="K184" s="154"/>
      <c r="L184" s="154"/>
      <c r="M184" s="154"/>
      <c r="N184" s="252">
        <f t="shared" si="10"/>
        <v>0</v>
      </c>
    </row>
    <row r="185" spans="2:14" s="167" customFormat="1" ht="15" customHeight="1" outlineLevel="1" x14ac:dyDescent="0.2">
      <c r="B185" s="60" t="s">
        <v>3804</v>
      </c>
      <c r="C185" s="506" t="s">
        <v>1609</v>
      </c>
      <c r="D185" s="166" t="s">
        <v>149</v>
      </c>
      <c r="E185" s="154"/>
      <c r="F185" s="154"/>
      <c r="G185" s="154"/>
      <c r="H185" s="154"/>
      <c r="I185" s="251">
        <f t="shared" si="9"/>
        <v>0</v>
      </c>
      <c r="J185" s="154"/>
      <c r="K185" s="154"/>
      <c r="L185" s="154"/>
      <c r="M185" s="154"/>
      <c r="N185" s="252">
        <f t="shared" si="10"/>
        <v>0</v>
      </c>
    </row>
    <row r="186" spans="2:14" s="167" customFormat="1" ht="15" customHeight="1" outlineLevel="1" x14ac:dyDescent="0.2">
      <c r="B186" s="60" t="s">
        <v>3805</v>
      </c>
      <c r="C186" s="506" t="s">
        <v>1610</v>
      </c>
      <c r="D186" s="166" t="s">
        <v>149</v>
      </c>
      <c r="E186" s="154"/>
      <c r="F186" s="154"/>
      <c r="G186" s="154"/>
      <c r="H186" s="154"/>
      <c r="I186" s="251">
        <f t="shared" si="9"/>
        <v>0</v>
      </c>
      <c r="J186" s="154"/>
      <c r="K186" s="154"/>
      <c r="L186" s="154"/>
      <c r="M186" s="154"/>
      <c r="N186" s="252">
        <f t="shared" si="10"/>
        <v>0</v>
      </c>
    </row>
    <row r="187" spans="2:14" s="167" customFormat="1" ht="15" customHeight="1" outlineLevel="1" x14ac:dyDescent="0.2">
      <c r="B187" s="60" t="s">
        <v>3806</v>
      </c>
      <c r="C187" s="506" t="s">
        <v>1611</v>
      </c>
      <c r="D187" s="166" t="s">
        <v>149</v>
      </c>
      <c r="E187" s="154"/>
      <c r="F187" s="154"/>
      <c r="G187" s="154"/>
      <c r="H187" s="154"/>
      <c r="I187" s="251">
        <f t="shared" si="9"/>
        <v>0</v>
      </c>
      <c r="J187" s="154"/>
      <c r="K187" s="154"/>
      <c r="L187" s="154"/>
      <c r="M187" s="154"/>
      <c r="N187" s="252">
        <f t="shared" si="10"/>
        <v>0</v>
      </c>
    </row>
    <row r="188" spans="2:14" s="167" customFormat="1" ht="15" customHeight="1" outlineLevel="1" x14ac:dyDescent="0.2">
      <c r="B188" s="60" t="s">
        <v>3807</v>
      </c>
      <c r="C188" s="506" t="s">
        <v>1612</v>
      </c>
      <c r="D188" s="166" t="s">
        <v>149</v>
      </c>
      <c r="E188" s="154"/>
      <c r="F188" s="154"/>
      <c r="G188" s="154"/>
      <c r="H188" s="154"/>
      <c r="I188" s="251">
        <f t="shared" si="9"/>
        <v>0</v>
      </c>
      <c r="J188" s="154"/>
      <c r="K188" s="154"/>
      <c r="L188" s="154"/>
      <c r="M188" s="154"/>
      <c r="N188" s="252">
        <f t="shared" si="10"/>
        <v>0</v>
      </c>
    </row>
    <row r="189" spans="2:14" s="167" customFormat="1" ht="15" customHeight="1" outlineLevel="1" x14ac:dyDescent="0.2">
      <c r="B189" s="60" t="s">
        <v>3808</v>
      </c>
      <c r="C189" s="506" t="s">
        <v>1613</v>
      </c>
      <c r="D189" s="166" t="s">
        <v>149</v>
      </c>
      <c r="E189" s="154"/>
      <c r="F189" s="154"/>
      <c r="G189" s="154"/>
      <c r="H189" s="154"/>
      <c r="I189" s="251">
        <f t="shared" si="9"/>
        <v>0</v>
      </c>
      <c r="J189" s="154"/>
      <c r="K189" s="154"/>
      <c r="L189" s="154"/>
      <c r="M189" s="154"/>
      <c r="N189" s="252">
        <f t="shared" si="10"/>
        <v>0</v>
      </c>
    </row>
    <row r="190" spans="2:14" s="167" customFormat="1" ht="15" customHeight="1" outlineLevel="1" x14ac:dyDescent="0.2">
      <c r="B190" s="60" t="s">
        <v>3809</v>
      </c>
      <c r="C190" s="506" t="s">
        <v>1614</v>
      </c>
      <c r="D190" s="166" t="s">
        <v>149</v>
      </c>
      <c r="E190" s="154"/>
      <c r="F190" s="154"/>
      <c r="G190" s="154"/>
      <c r="H190" s="154"/>
      <c r="I190" s="251">
        <f t="shared" si="9"/>
        <v>0</v>
      </c>
      <c r="J190" s="154"/>
      <c r="K190" s="154"/>
      <c r="L190" s="154"/>
      <c r="M190" s="154"/>
      <c r="N190" s="252">
        <f t="shared" si="10"/>
        <v>0</v>
      </c>
    </row>
    <row r="191" spans="2:14" s="167" customFormat="1" ht="15" customHeight="1" outlineLevel="1" x14ac:dyDescent="0.2">
      <c r="B191" s="60" t="s">
        <v>3810</v>
      </c>
      <c r="C191" s="506" t="s">
        <v>1615</v>
      </c>
      <c r="D191" s="166" t="s">
        <v>149</v>
      </c>
      <c r="E191" s="154"/>
      <c r="F191" s="154"/>
      <c r="G191" s="154"/>
      <c r="H191" s="154"/>
      <c r="I191" s="251">
        <f t="shared" si="9"/>
        <v>0</v>
      </c>
      <c r="J191" s="154"/>
      <c r="K191" s="154"/>
      <c r="L191" s="154"/>
      <c r="M191" s="154"/>
      <c r="N191" s="252">
        <f t="shared" si="10"/>
        <v>0</v>
      </c>
    </row>
    <row r="192" spans="2:14" s="167" customFormat="1" ht="15" customHeight="1" outlineLevel="1" x14ac:dyDescent="0.2">
      <c r="B192" s="60" t="s">
        <v>3811</v>
      </c>
      <c r="C192" s="506" t="s">
        <v>1616</v>
      </c>
      <c r="D192" s="166" t="s">
        <v>149</v>
      </c>
      <c r="E192" s="154"/>
      <c r="F192" s="154"/>
      <c r="G192" s="154"/>
      <c r="H192" s="154"/>
      <c r="I192" s="251">
        <f t="shared" si="9"/>
        <v>0</v>
      </c>
      <c r="J192" s="154"/>
      <c r="K192" s="154"/>
      <c r="L192" s="154"/>
      <c r="M192" s="154"/>
      <c r="N192" s="252">
        <f t="shared" si="10"/>
        <v>0</v>
      </c>
    </row>
    <row r="193" spans="2:14" s="167" customFormat="1" ht="15" customHeight="1" outlineLevel="1" x14ac:dyDescent="0.2">
      <c r="B193" s="60" t="s">
        <v>3812</v>
      </c>
      <c r="C193" s="506" t="s">
        <v>1617</v>
      </c>
      <c r="D193" s="166" t="s">
        <v>149</v>
      </c>
      <c r="E193" s="154"/>
      <c r="F193" s="154"/>
      <c r="G193" s="154"/>
      <c r="H193" s="154"/>
      <c r="I193" s="251">
        <f t="shared" si="9"/>
        <v>0</v>
      </c>
      <c r="J193" s="154"/>
      <c r="K193" s="154"/>
      <c r="L193" s="154"/>
      <c r="M193" s="154"/>
      <c r="N193" s="252">
        <f t="shared" si="10"/>
        <v>0</v>
      </c>
    </row>
    <row r="194" spans="2:14" s="167" customFormat="1" ht="15" customHeight="1" outlineLevel="1" x14ac:dyDescent="0.2">
      <c r="B194" s="60" t="s">
        <v>3813</v>
      </c>
      <c r="C194" s="506" t="s">
        <v>1618</v>
      </c>
      <c r="D194" s="166" t="s">
        <v>149</v>
      </c>
      <c r="E194" s="154"/>
      <c r="F194" s="154"/>
      <c r="G194" s="154"/>
      <c r="H194" s="154"/>
      <c r="I194" s="251">
        <f t="shared" si="9"/>
        <v>0</v>
      </c>
      <c r="J194" s="154"/>
      <c r="K194" s="154"/>
      <c r="L194" s="154"/>
      <c r="M194" s="154"/>
      <c r="N194" s="252">
        <f t="shared" si="10"/>
        <v>0</v>
      </c>
    </row>
    <row r="195" spans="2:14" s="167" customFormat="1" ht="15" customHeight="1" outlineLevel="1" x14ac:dyDescent="0.2">
      <c r="B195" s="60" t="s">
        <v>3814</v>
      </c>
      <c r="C195" s="506" t="s">
        <v>1619</v>
      </c>
      <c r="D195" s="166" t="s">
        <v>149</v>
      </c>
      <c r="E195" s="154"/>
      <c r="F195" s="154"/>
      <c r="G195" s="154"/>
      <c r="H195" s="154"/>
      <c r="I195" s="251">
        <f t="shared" si="9"/>
        <v>0</v>
      </c>
      <c r="J195" s="154"/>
      <c r="K195" s="154"/>
      <c r="L195" s="154"/>
      <c r="M195" s="154"/>
      <c r="N195" s="252">
        <f t="shared" si="10"/>
        <v>0</v>
      </c>
    </row>
    <row r="196" spans="2:14" s="167" customFormat="1" ht="15" customHeight="1" outlineLevel="1" x14ac:dyDescent="0.2">
      <c r="B196" s="60" t="s">
        <v>3815</v>
      </c>
      <c r="C196" s="506" t="s">
        <v>1620</v>
      </c>
      <c r="D196" s="166" t="s">
        <v>149</v>
      </c>
      <c r="E196" s="154"/>
      <c r="F196" s="154"/>
      <c r="G196" s="154"/>
      <c r="H196" s="154"/>
      <c r="I196" s="251">
        <f t="shared" si="9"/>
        <v>0</v>
      </c>
      <c r="J196" s="154"/>
      <c r="K196" s="154"/>
      <c r="L196" s="154"/>
      <c r="M196" s="154"/>
      <c r="N196" s="252">
        <f t="shared" si="10"/>
        <v>0</v>
      </c>
    </row>
    <row r="197" spans="2:14" s="167" customFormat="1" ht="15" customHeight="1" outlineLevel="1" x14ac:dyDescent="0.2">
      <c r="B197" s="60" t="s">
        <v>3816</v>
      </c>
      <c r="C197" s="506" t="s">
        <v>1621</v>
      </c>
      <c r="D197" s="166" t="s">
        <v>149</v>
      </c>
      <c r="E197" s="154"/>
      <c r="F197" s="154"/>
      <c r="G197" s="154"/>
      <c r="H197" s="154"/>
      <c r="I197" s="251">
        <f t="shared" si="9"/>
        <v>0</v>
      </c>
      <c r="J197" s="154"/>
      <c r="K197" s="154"/>
      <c r="L197" s="154"/>
      <c r="M197" s="154"/>
      <c r="N197" s="252">
        <f t="shared" si="10"/>
        <v>0</v>
      </c>
    </row>
    <row r="198" spans="2:14" s="167" customFormat="1" ht="15" customHeight="1" outlineLevel="1" x14ac:dyDescent="0.2">
      <c r="B198" s="60" t="s">
        <v>3817</v>
      </c>
      <c r="C198" s="506" t="s">
        <v>1622</v>
      </c>
      <c r="D198" s="166" t="s">
        <v>149</v>
      </c>
      <c r="E198" s="154"/>
      <c r="F198" s="154"/>
      <c r="G198" s="154"/>
      <c r="H198" s="154"/>
      <c r="I198" s="251">
        <f t="shared" si="9"/>
        <v>0</v>
      </c>
      <c r="J198" s="154"/>
      <c r="K198" s="154"/>
      <c r="L198" s="154"/>
      <c r="M198" s="154"/>
      <c r="N198" s="252">
        <f t="shared" si="10"/>
        <v>0</v>
      </c>
    </row>
    <row r="199" spans="2:14" s="167" customFormat="1" ht="15" customHeight="1" outlineLevel="1" x14ac:dyDescent="0.2">
      <c r="B199" s="60" t="s">
        <v>3818</v>
      </c>
      <c r="C199" s="506" t="s">
        <v>1623</v>
      </c>
      <c r="D199" s="166" t="s">
        <v>149</v>
      </c>
      <c r="E199" s="154"/>
      <c r="F199" s="154"/>
      <c r="G199" s="154"/>
      <c r="H199" s="154"/>
      <c r="I199" s="251">
        <f t="shared" si="9"/>
        <v>0</v>
      </c>
      <c r="J199" s="154"/>
      <c r="K199" s="154"/>
      <c r="L199" s="154"/>
      <c r="M199" s="154"/>
      <c r="N199" s="252">
        <f t="shared" si="10"/>
        <v>0</v>
      </c>
    </row>
    <row r="200" spans="2:14" s="138" customFormat="1" ht="15" customHeight="1" x14ac:dyDescent="0.2">
      <c r="B200" s="60" t="s">
        <v>3819</v>
      </c>
      <c r="C200" s="499">
        <v>2.4</v>
      </c>
      <c r="D200" s="131" t="s">
        <v>4650</v>
      </c>
      <c r="E200" s="636">
        <f>SUM(E201:E220)</f>
        <v>0</v>
      </c>
      <c r="F200" s="636">
        <f>SUM(F201:F220)</f>
        <v>0</v>
      </c>
      <c r="G200" s="636">
        <f>SUM(G201:G220)</f>
        <v>0</v>
      </c>
      <c r="H200" s="636">
        <f>SUM(H201:H220)</f>
        <v>0</v>
      </c>
      <c r="I200" s="259">
        <f t="shared" si="9"/>
        <v>0</v>
      </c>
      <c r="J200" s="636">
        <f>SUM(J201:J220)</f>
        <v>0</v>
      </c>
      <c r="K200" s="636">
        <f>SUM(K201:K220)</f>
        <v>0</v>
      </c>
      <c r="L200" s="636">
        <f>SUM(L201:L220)</f>
        <v>0</v>
      </c>
      <c r="M200" s="636">
        <f>SUM(M201:M220)</f>
        <v>0</v>
      </c>
      <c r="N200" s="260">
        <f t="shared" si="10"/>
        <v>0</v>
      </c>
    </row>
    <row r="201" spans="2:14" s="167" customFormat="1" ht="15" customHeight="1" outlineLevel="1" x14ac:dyDescent="0.2">
      <c r="B201" s="60" t="s">
        <v>3820</v>
      </c>
      <c r="C201" s="506" t="s">
        <v>1624</v>
      </c>
      <c r="D201" s="166" t="s">
        <v>149</v>
      </c>
      <c r="E201" s="154"/>
      <c r="F201" s="154"/>
      <c r="G201" s="154"/>
      <c r="H201" s="154"/>
      <c r="I201" s="251">
        <f t="shared" ref="I201:I242" si="11">SUM(E201:H201)</f>
        <v>0</v>
      </c>
      <c r="J201" s="154"/>
      <c r="K201" s="154"/>
      <c r="L201" s="154"/>
      <c r="M201" s="154"/>
      <c r="N201" s="252">
        <f t="shared" ref="N201:N242" si="12">SUM(J201:M201)</f>
        <v>0</v>
      </c>
    </row>
    <row r="202" spans="2:14" s="167" customFormat="1" ht="15" customHeight="1" outlineLevel="1" x14ac:dyDescent="0.2">
      <c r="B202" s="60" t="s">
        <v>3821</v>
      </c>
      <c r="C202" s="506" t="s">
        <v>1625</v>
      </c>
      <c r="D202" s="166" t="s">
        <v>149</v>
      </c>
      <c r="E202" s="154"/>
      <c r="F202" s="154"/>
      <c r="G202" s="154"/>
      <c r="H202" s="154"/>
      <c r="I202" s="251">
        <f t="shared" si="11"/>
        <v>0</v>
      </c>
      <c r="J202" s="154"/>
      <c r="K202" s="154"/>
      <c r="L202" s="154"/>
      <c r="M202" s="154"/>
      <c r="N202" s="252">
        <f t="shared" si="12"/>
        <v>0</v>
      </c>
    </row>
    <row r="203" spans="2:14" s="167" customFormat="1" ht="15" customHeight="1" outlineLevel="1" x14ac:dyDescent="0.2">
      <c r="B203" s="60" t="s">
        <v>3822</v>
      </c>
      <c r="C203" s="506" t="s">
        <v>1626</v>
      </c>
      <c r="D203" s="166" t="s">
        <v>149</v>
      </c>
      <c r="E203" s="154"/>
      <c r="F203" s="154"/>
      <c r="G203" s="154"/>
      <c r="H203" s="154"/>
      <c r="I203" s="251">
        <f t="shared" si="11"/>
        <v>0</v>
      </c>
      <c r="J203" s="154"/>
      <c r="K203" s="154"/>
      <c r="L203" s="154"/>
      <c r="M203" s="154"/>
      <c r="N203" s="252">
        <f t="shared" si="12"/>
        <v>0</v>
      </c>
    </row>
    <row r="204" spans="2:14" s="167" customFormat="1" ht="15" customHeight="1" outlineLevel="1" x14ac:dyDescent="0.2">
      <c r="B204" s="60" t="s">
        <v>3823</v>
      </c>
      <c r="C204" s="506" t="s">
        <v>1627</v>
      </c>
      <c r="D204" s="166" t="s">
        <v>149</v>
      </c>
      <c r="E204" s="154"/>
      <c r="F204" s="154"/>
      <c r="G204" s="154"/>
      <c r="H204" s="154"/>
      <c r="I204" s="251">
        <f t="shared" si="11"/>
        <v>0</v>
      </c>
      <c r="J204" s="154"/>
      <c r="K204" s="154"/>
      <c r="L204" s="154"/>
      <c r="M204" s="154"/>
      <c r="N204" s="252">
        <f t="shared" si="12"/>
        <v>0</v>
      </c>
    </row>
    <row r="205" spans="2:14" s="167" customFormat="1" ht="15" customHeight="1" outlineLevel="1" x14ac:dyDescent="0.2">
      <c r="B205" s="60" t="s">
        <v>3824</v>
      </c>
      <c r="C205" s="506" t="s">
        <v>1628</v>
      </c>
      <c r="D205" s="166" t="s">
        <v>149</v>
      </c>
      <c r="E205" s="154"/>
      <c r="F205" s="154"/>
      <c r="G205" s="154"/>
      <c r="H205" s="154"/>
      <c r="I205" s="251">
        <f t="shared" si="11"/>
        <v>0</v>
      </c>
      <c r="J205" s="154"/>
      <c r="K205" s="154"/>
      <c r="L205" s="154"/>
      <c r="M205" s="154"/>
      <c r="N205" s="252">
        <f t="shared" si="12"/>
        <v>0</v>
      </c>
    </row>
    <row r="206" spans="2:14" s="167" customFormat="1" ht="15" customHeight="1" outlineLevel="1" x14ac:dyDescent="0.2">
      <c r="B206" s="60" t="s">
        <v>3825</v>
      </c>
      <c r="C206" s="506" t="s">
        <v>1629</v>
      </c>
      <c r="D206" s="166" t="s">
        <v>149</v>
      </c>
      <c r="E206" s="154"/>
      <c r="F206" s="154"/>
      <c r="G206" s="154"/>
      <c r="H206" s="154"/>
      <c r="I206" s="251">
        <f t="shared" si="11"/>
        <v>0</v>
      </c>
      <c r="J206" s="154"/>
      <c r="K206" s="154"/>
      <c r="L206" s="154"/>
      <c r="M206" s="154"/>
      <c r="N206" s="252">
        <f t="shared" si="12"/>
        <v>0</v>
      </c>
    </row>
    <row r="207" spans="2:14" s="167" customFormat="1" ht="15" customHeight="1" outlineLevel="1" x14ac:dyDescent="0.2">
      <c r="B207" s="60" t="s">
        <v>3826</v>
      </c>
      <c r="C207" s="506" t="s">
        <v>1630</v>
      </c>
      <c r="D207" s="166" t="s">
        <v>149</v>
      </c>
      <c r="E207" s="154"/>
      <c r="F207" s="154"/>
      <c r="G207" s="154"/>
      <c r="H207" s="154"/>
      <c r="I207" s="251">
        <f t="shared" si="11"/>
        <v>0</v>
      </c>
      <c r="J207" s="154"/>
      <c r="K207" s="154"/>
      <c r="L207" s="154"/>
      <c r="M207" s="154"/>
      <c r="N207" s="252">
        <f t="shared" si="12"/>
        <v>0</v>
      </c>
    </row>
    <row r="208" spans="2:14" s="167" customFormat="1" ht="15" customHeight="1" outlineLevel="1" x14ac:dyDescent="0.2">
      <c r="B208" s="60" t="s">
        <v>3827</v>
      </c>
      <c r="C208" s="506" t="s">
        <v>1631</v>
      </c>
      <c r="D208" s="166" t="s">
        <v>149</v>
      </c>
      <c r="E208" s="154"/>
      <c r="F208" s="154"/>
      <c r="G208" s="154"/>
      <c r="H208" s="154"/>
      <c r="I208" s="251">
        <f t="shared" si="11"/>
        <v>0</v>
      </c>
      <c r="J208" s="154"/>
      <c r="K208" s="154"/>
      <c r="L208" s="154"/>
      <c r="M208" s="154"/>
      <c r="N208" s="252">
        <f t="shared" si="12"/>
        <v>0</v>
      </c>
    </row>
    <row r="209" spans="2:14" s="167" customFormat="1" ht="15" customHeight="1" outlineLevel="1" x14ac:dyDescent="0.2">
      <c r="B209" s="60" t="s">
        <v>3828</v>
      </c>
      <c r="C209" s="506" t="s">
        <v>1632</v>
      </c>
      <c r="D209" s="166" t="s">
        <v>149</v>
      </c>
      <c r="E209" s="154"/>
      <c r="F209" s="154"/>
      <c r="G209" s="154"/>
      <c r="H209" s="154"/>
      <c r="I209" s="251">
        <f t="shared" si="11"/>
        <v>0</v>
      </c>
      <c r="J209" s="154"/>
      <c r="K209" s="154"/>
      <c r="L209" s="154"/>
      <c r="M209" s="154"/>
      <c r="N209" s="252">
        <f t="shared" si="12"/>
        <v>0</v>
      </c>
    </row>
    <row r="210" spans="2:14" s="167" customFormat="1" ht="15" customHeight="1" outlineLevel="1" x14ac:dyDescent="0.2">
      <c r="B210" s="60" t="s">
        <v>3829</v>
      </c>
      <c r="C210" s="506" t="s">
        <v>1633</v>
      </c>
      <c r="D210" s="166" t="s">
        <v>149</v>
      </c>
      <c r="E210" s="154"/>
      <c r="F210" s="154"/>
      <c r="G210" s="154"/>
      <c r="H210" s="154"/>
      <c r="I210" s="251">
        <f t="shared" si="11"/>
        <v>0</v>
      </c>
      <c r="J210" s="154"/>
      <c r="K210" s="154"/>
      <c r="L210" s="154"/>
      <c r="M210" s="154"/>
      <c r="N210" s="252">
        <f t="shared" si="12"/>
        <v>0</v>
      </c>
    </row>
    <row r="211" spans="2:14" s="167" customFormat="1" ht="15" customHeight="1" outlineLevel="1" x14ac:dyDescent="0.2">
      <c r="B211" s="60" t="s">
        <v>3830</v>
      </c>
      <c r="C211" s="506" t="s">
        <v>1634</v>
      </c>
      <c r="D211" s="166" t="s">
        <v>149</v>
      </c>
      <c r="E211" s="154"/>
      <c r="F211" s="154"/>
      <c r="G211" s="154"/>
      <c r="H211" s="154"/>
      <c r="I211" s="251">
        <f t="shared" si="11"/>
        <v>0</v>
      </c>
      <c r="J211" s="154"/>
      <c r="K211" s="154"/>
      <c r="L211" s="154"/>
      <c r="M211" s="154"/>
      <c r="N211" s="252">
        <f t="shared" si="12"/>
        <v>0</v>
      </c>
    </row>
    <row r="212" spans="2:14" s="167" customFormat="1" ht="15" customHeight="1" outlineLevel="1" x14ac:dyDescent="0.2">
      <c r="B212" s="60" t="s">
        <v>3831</v>
      </c>
      <c r="C212" s="506" t="s">
        <v>1635</v>
      </c>
      <c r="D212" s="166" t="s">
        <v>149</v>
      </c>
      <c r="E212" s="154"/>
      <c r="F212" s="154"/>
      <c r="G212" s="154"/>
      <c r="H212" s="154"/>
      <c r="I212" s="251">
        <f t="shared" si="11"/>
        <v>0</v>
      </c>
      <c r="J212" s="154"/>
      <c r="K212" s="154"/>
      <c r="L212" s="154"/>
      <c r="M212" s="154"/>
      <c r="N212" s="252">
        <f t="shared" si="12"/>
        <v>0</v>
      </c>
    </row>
    <row r="213" spans="2:14" s="167" customFormat="1" ht="15" customHeight="1" outlineLevel="1" x14ac:dyDescent="0.2">
      <c r="B213" s="60" t="s">
        <v>3832</v>
      </c>
      <c r="C213" s="506" t="s">
        <v>1636</v>
      </c>
      <c r="D213" s="166" t="s">
        <v>149</v>
      </c>
      <c r="E213" s="154"/>
      <c r="F213" s="154"/>
      <c r="G213" s="154"/>
      <c r="H213" s="154"/>
      <c r="I213" s="251">
        <f t="shared" si="11"/>
        <v>0</v>
      </c>
      <c r="J213" s="154"/>
      <c r="K213" s="154"/>
      <c r="L213" s="154"/>
      <c r="M213" s="154"/>
      <c r="N213" s="252">
        <f t="shared" si="12"/>
        <v>0</v>
      </c>
    </row>
    <row r="214" spans="2:14" s="167" customFormat="1" ht="15" customHeight="1" outlineLevel="1" x14ac:dyDescent="0.2">
      <c r="B214" s="60" t="s">
        <v>3833</v>
      </c>
      <c r="C214" s="506" t="s">
        <v>1637</v>
      </c>
      <c r="D214" s="166" t="s">
        <v>149</v>
      </c>
      <c r="E214" s="154"/>
      <c r="F214" s="154"/>
      <c r="G214" s="154"/>
      <c r="H214" s="154"/>
      <c r="I214" s="251">
        <f t="shared" si="11"/>
        <v>0</v>
      </c>
      <c r="J214" s="154"/>
      <c r="K214" s="154"/>
      <c r="L214" s="154"/>
      <c r="M214" s="154"/>
      <c r="N214" s="252">
        <f t="shared" si="12"/>
        <v>0</v>
      </c>
    </row>
    <row r="215" spans="2:14" s="167" customFormat="1" ht="15" customHeight="1" outlineLevel="1" x14ac:dyDescent="0.2">
      <c r="B215" s="60" t="s">
        <v>3834</v>
      </c>
      <c r="C215" s="506" t="s">
        <v>1638</v>
      </c>
      <c r="D215" s="166" t="s">
        <v>149</v>
      </c>
      <c r="E215" s="154"/>
      <c r="F215" s="154"/>
      <c r="G215" s="154"/>
      <c r="H215" s="154"/>
      <c r="I215" s="251">
        <f t="shared" si="11"/>
        <v>0</v>
      </c>
      <c r="J215" s="154"/>
      <c r="K215" s="154"/>
      <c r="L215" s="154"/>
      <c r="M215" s="154"/>
      <c r="N215" s="252">
        <f t="shared" si="12"/>
        <v>0</v>
      </c>
    </row>
    <row r="216" spans="2:14" s="167" customFormat="1" ht="15" customHeight="1" outlineLevel="1" x14ac:dyDescent="0.2">
      <c r="B216" s="60" t="s">
        <v>3835</v>
      </c>
      <c r="C216" s="506" t="s">
        <v>1639</v>
      </c>
      <c r="D216" s="166" t="s">
        <v>149</v>
      </c>
      <c r="E216" s="154"/>
      <c r="F216" s="154"/>
      <c r="G216" s="154"/>
      <c r="H216" s="154"/>
      <c r="I216" s="251">
        <f t="shared" si="11"/>
        <v>0</v>
      </c>
      <c r="J216" s="154"/>
      <c r="K216" s="154"/>
      <c r="L216" s="154"/>
      <c r="M216" s="154"/>
      <c r="N216" s="252">
        <f t="shared" si="12"/>
        <v>0</v>
      </c>
    </row>
    <row r="217" spans="2:14" s="167" customFormat="1" ht="15" customHeight="1" outlineLevel="1" x14ac:dyDescent="0.2">
      <c r="B217" s="60" t="s">
        <v>3836</v>
      </c>
      <c r="C217" s="506" t="s">
        <v>1640</v>
      </c>
      <c r="D217" s="166" t="s">
        <v>149</v>
      </c>
      <c r="E217" s="154"/>
      <c r="F217" s="154"/>
      <c r="G217" s="154"/>
      <c r="H217" s="154"/>
      <c r="I217" s="251">
        <f t="shared" si="11"/>
        <v>0</v>
      </c>
      <c r="J217" s="154"/>
      <c r="K217" s="154"/>
      <c r="L217" s="154"/>
      <c r="M217" s="154"/>
      <c r="N217" s="252">
        <f t="shared" si="12"/>
        <v>0</v>
      </c>
    </row>
    <row r="218" spans="2:14" s="167" customFormat="1" ht="15" customHeight="1" outlineLevel="1" x14ac:dyDescent="0.2">
      <c r="B218" s="60" t="s">
        <v>3837</v>
      </c>
      <c r="C218" s="506" t="s">
        <v>1641</v>
      </c>
      <c r="D218" s="166" t="s">
        <v>149</v>
      </c>
      <c r="E218" s="154"/>
      <c r="F218" s="154"/>
      <c r="G218" s="154"/>
      <c r="H218" s="154"/>
      <c r="I218" s="251">
        <f t="shared" si="11"/>
        <v>0</v>
      </c>
      <c r="J218" s="154"/>
      <c r="K218" s="154"/>
      <c r="L218" s="154"/>
      <c r="M218" s="154"/>
      <c r="N218" s="252">
        <f t="shared" si="12"/>
        <v>0</v>
      </c>
    </row>
    <row r="219" spans="2:14" s="167" customFormat="1" ht="15" customHeight="1" outlineLevel="1" x14ac:dyDescent="0.2">
      <c r="B219" s="60" t="s">
        <v>3838</v>
      </c>
      <c r="C219" s="506" t="s">
        <v>1642</v>
      </c>
      <c r="D219" s="166" t="s">
        <v>149</v>
      </c>
      <c r="E219" s="154"/>
      <c r="F219" s="154"/>
      <c r="G219" s="154"/>
      <c r="H219" s="154"/>
      <c r="I219" s="251">
        <f t="shared" si="11"/>
        <v>0</v>
      </c>
      <c r="J219" s="154"/>
      <c r="K219" s="154"/>
      <c r="L219" s="154"/>
      <c r="M219" s="154"/>
      <c r="N219" s="252">
        <f t="shared" si="12"/>
        <v>0</v>
      </c>
    </row>
    <row r="220" spans="2:14" s="167" customFormat="1" ht="15" customHeight="1" outlineLevel="1" x14ac:dyDescent="0.2">
      <c r="B220" s="60" t="s">
        <v>3839</v>
      </c>
      <c r="C220" s="506" t="s">
        <v>1643</v>
      </c>
      <c r="D220" s="166" t="s">
        <v>149</v>
      </c>
      <c r="E220" s="154"/>
      <c r="F220" s="154"/>
      <c r="G220" s="154"/>
      <c r="H220" s="154"/>
      <c r="I220" s="251">
        <f t="shared" si="11"/>
        <v>0</v>
      </c>
      <c r="J220" s="154"/>
      <c r="K220" s="154"/>
      <c r="L220" s="154"/>
      <c r="M220" s="154"/>
      <c r="N220" s="252">
        <f t="shared" si="12"/>
        <v>0</v>
      </c>
    </row>
    <row r="221" spans="2:14" s="138" customFormat="1" ht="15" customHeight="1" x14ac:dyDescent="0.2">
      <c r="B221" s="60" t="s">
        <v>3840</v>
      </c>
      <c r="C221" s="499">
        <v>2.5</v>
      </c>
      <c r="D221" s="131" t="s">
        <v>151</v>
      </c>
      <c r="E221" s="636">
        <f>SUM(E222:E241)</f>
        <v>0</v>
      </c>
      <c r="F221" s="636">
        <f>SUM(F222:F241)</f>
        <v>0</v>
      </c>
      <c r="G221" s="636">
        <f>SUM(G222:G241)</f>
        <v>0</v>
      </c>
      <c r="H221" s="636">
        <f>SUM(H222:H241)</f>
        <v>0</v>
      </c>
      <c r="I221" s="259">
        <f t="shared" si="11"/>
        <v>0</v>
      </c>
      <c r="J221" s="636">
        <f>SUM(J222:J241)</f>
        <v>0</v>
      </c>
      <c r="K221" s="636">
        <f>SUM(K222:K241)</f>
        <v>0</v>
      </c>
      <c r="L221" s="636">
        <f>SUM(L222:L241)</f>
        <v>0</v>
      </c>
      <c r="M221" s="636">
        <f>SUM(M222:M241)</f>
        <v>0</v>
      </c>
      <c r="N221" s="260">
        <f t="shared" si="12"/>
        <v>0</v>
      </c>
    </row>
    <row r="222" spans="2:14" s="167" customFormat="1" ht="15" customHeight="1" outlineLevel="1" x14ac:dyDescent="0.2">
      <c r="B222" s="60" t="s">
        <v>3841</v>
      </c>
      <c r="C222" s="506" t="s">
        <v>2391</v>
      </c>
      <c r="D222" s="166" t="s">
        <v>149</v>
      </c>
      <c r="E222" s="154"/>
      <c r="F222" s="154"/>
      <c r="G222" s="154"/>
      <c r="H222" s="154"/>
      <c r="I222" s="251">
        <f t="shared" si="11"/>
        <v>0</v>
      </c>
      <c r="J222" s="154"/>
      <c r="K222" s="154"/>
      <c r="L222" s="154"/>
      <c r="M222" s="154"/>
      <c r="N222" s="252">
        <f t="shared" si="12"/>
        <v>0</v>
      </c>
    </row>
    <row r="223" spans="2:14" s="167" customFormat="1" ht="15" customHeight="1" outlineLevel="1" x14ac:dyDescent="0.2">
      <c r="B223" s="60" t="s">
        <v>3842</v>
      </c>
      <c r="C223" s="506" t="s">
        <v>2392</v>
      </c>
      <c r="D223" s="166" t="s">
        <v>149</v>
      </c>
      <c r="E223" s="154"/>
      <c r="F223" s="154"/>
      <c r="G223" s="154"/>
      <c r="H223" s="154"/>
      <c r="I223" s="251">
        <f t="shared" si="11"/>
        <v>0</v>
      </c>
      <c r="J223" s="154"/>
      <c r="K223" s="154"/>
      <c r="L223" s="154"/>
      <c r="M223" s="154"/>
      <c r="N223" s="252">
        <f t="shared" si="12"/>
        <v>0</v>
      </c>
    </row>
    <row r="224" spans="2:14" s="167" customFormat="1" ht="15" customHeight="1" outlineLevel="1" x14ac:dyDescent="0.2">
      <c r="B224" s="60" t="s">
        <v>3843</v>
      </c>
      <c r="C224" s="506" t="s">
        <v>2393</v>
      </c>
      <c r="D224" s="166" t="s">
        <v>149</v>
      </c>
      <c r="E224" s="154"/>
      <c r="F224" s="154"/>
      <c r="G224" s="154"/>
      <c r="H224" s="154"/>
      <c r="I224" s="251">
        <f t="shared" si="11"/>
        <v>0</v>
      </c>
      <c r="J224" s="154"/>
      <c r="K224" s="154"/>
      <c r="L224" s="154"/>
      <c r="M224" s="154"/>
      <c r="N224" s="252">
        <f t="shared" si="12"/>
        <v>0</v>
      </c>
    </row>
    <row r="225" spans="2:14" s="167" customFormat="1" ht="15" customHeight="1" outlineLevel="1" x14ac:dyDescent="0.2">
      <c r="B225" s="60" t="s">
        <v>3844</v>
      </c>
      <c r="C225" s="506" t="s">
        <v>2394</v>
      </c>
      <c r="D225" s="166" t="s">
        <v>149</v>
      </c>
      <c r="E225" s="154"/>
      <c r="F225" s="154"/>
      <c r="G225" s="154"/>
      <c r="H225" s="154"/>
      <c r="I225" s="251">
        <f t="shared" si="11"/>
        <v>0</v>
      </c>
      <c r="J225" s="154"/>
      <c r="K225" s="154"/>
      <c r="L225" s="154"/>
      <c r="M225" s="154"/>
      <c r="N225" s="252">
        <f t="shared" si="12"/>
        <v>0</v>
      </c>
    </row>
    <row r="226" spans="2:14" s="167" customFormat="1" ht="15" customHeight="1" outlineLevel="1" x14ac:dyDescent="0.2">
      <c r="B226" s="60" t="s">
        <v>3845</v>
      </c>
      <c r="C226" s="506" t="s">
        <v>2395</v>
      </c>
      <c r="D226" s="166" t="s">
        <v>149</v>
      </c>
      <c r="E226" s="154"/>
      <c r="F226" s="154"/>
      <c r="G226" s="154"/>
      <c r="H226" s="154"/>
      <c r="I226" s="251">
        <f t="shared" si="11"/>
        <v>0</v>
      </c>
      <c r="J226" s="154"/>
      <c r="K226" s="154"/>
      <c r="L226" s="154"/>
      <c r="M226" s="154"/>
      <c r="N226" s="252">
        <f t="shared" si="12"/>
        <v>0</v>
      </c>
    </row>
    <row r="227" spans="2:14" s="167" customFormat="1" ht="15" customHeight="1" outlineLevel="1" x14ac:dyDescent="0.2">
      <c r="B227" s="60" t="s">
        <v>3846</v>
      </c>
      <c r="C227" s="506" t="s">
        <v>2396</v>
      </c>
      <c r="D227" s="166" t="s">
        <v>149</v>
      </c>
      <c r="E227" s="154"/>
      <c r="F227" s="154"/>
      <c r="G227" s="154"/>
      <c r="H227" s="154"/>
      <c r="I227" s="251">
        <f t="shared" si="11"/>
        <v>0</v>
      </c>
      <c r="J227" s="154"/>
      <c r="K227" s="154"/>
      <c r="L227" s="154"/>
      <c r="M227" s="154"/>
      <c r="N227" s="252">
        <f t="shared" si="12"/>
        <v>0</v>
      </c>
    </row>
    <row r="228" spans="2:14" s="167" customFormat="1" ht="15" customHeight="1" outlineLevel="1" x14ac:dyDescent="0.2">
      <c r="B228" s="60" t="s">
        <v>3847</v>
      </c>
      <c r="C228" s="506" t="s">
        <v>2397</v>
      </c>
      <c r="D228" s="166" t="s">
        <v>149</v>
      </c>
      <c r="E228" s="154"/>
      <c r="F228" s="154"/>
      <c r="G228" s="154"/>
      <c r="H228" s="154"/>
      <c r="I228" s="251">
        <f t="shared" si="11"/>
        <v>0</v>
      </c>
      <c r="J228" s="154"/>
      <c r="K228" s="154"/>
      <c r="L228" s="154"/>
      <c r="M228" s="154"/>
      <c r="N228" s="252">
        <f t="shared" si="12"/>
        <v>0</v>
      </c>
    </row>
    <row r="229" spans="2:14" s="167" customFormat="1" ht="15" customHeight="1" outlineLevel="1" x14ac:dyDescent="0.2">
      <c r="B229" s="60" t="s">
        <v>3848</v>
      </c>
      <c r="C229" s="506" t="s">
        <v>2398</v>
      </c>
      <c r="D229" s="166" t="s">
        <v>149</v>
      </c>
      <c r="E229" s="154"/>
      <c r="F229" s="154"/>
      <c r="G229" s="154"/>
      <c r="H229" s="154"/>
      <c r="I229" s="251">
        <f t="shared" si="11"/>
        <v>0</v>
      </c>
      <c r="J229" s="154"/>
      <c r="K229" s="154"/>
      <c r="L229" s="154"/>
      <c r="M229" s="154"/>
      <c r="N229" s="252">
        <f t="shared" si="12"/>
        <v>0</v>
      </c>
    </row>
    <row r="230" spans="2:14" s="167" customFormat="1" ht="15" customHeight="1" outlineLevel="1" x14ac:dyDescent="0.2">
      <c r="B230" s="60" t="s">
        <v>3849</v>
      </c>
      <c r="C230" s="506" t="s">
        <v>2399</v>
      </c>
      <c r="D230" s="166" t="s">
        <v>149</v>
      </c>
      <c r="E230" s="154"/>
      <c r="F230" s="154"/>
      <c r="G230" s="154"/>
      <c r="H230" s="154"/>
      <c r="I230" s="251">
        <f t="shared" si="11"/>
        <v>0</v>
      </c>
      <c r="J230" s="154"/>
      <c r="K230" s="154"/>
      <c r="L230" s="154"/>
      <c r="M230" s="154"/>
      <c r="N230" s="252">
        <f t="shared" si="12"/>
        <v>0</v>
      </c>
    </row>
    <row r="231" spans="2:14" s="167" customFormat="1" ht="15" customHeight="1" outlineLevel="1" x14ac:dyDescent="0.2">
      <c r="B231" s="60" t="s">
        <v>3850</v>
      </c>
      <c r="C231" s="506" t="s">
        <v>2400</v>
      </c>
      <c r="D231" s="166" t="s">
        <v>149</v>
      </c>
      <c r="E231" s="154"/>
      <c r="F231" s="154"/>
      <c r="G231" s="154"/>
      <c r="H231" s="154"/>
      <c r="I231" s="251">
        <f t="shared" si="11"/>
        <v>0</v>
      </c>
      <c r="J231" s="154"/>
      <c r="K231" s="154"/>
      <c r="L231" s="154"/>
      <c r="M231" s="154"/>
      <c r="N231" s="252">
        <f t="shared" si="12"/>
        <v>0</v>
      </c>
    </row>
    <row r="232" spans="2:14" s="167" customFormat="1" ht="15" customHeight="1" outlineLevel="1" x14ac:dyDescent="0.2">
      <c r="B232" s="60" t="s">
        <v>3851</v>
      </c>
      <c r="C232" s="506" t="s">
        <v>2401</v>
      </c>
      <c r="D232" s="166" t="s">
        <v>149</v>
      </c>
      <c r="E232" s="154"/>
      <c r="F232" s="154"/>
      <c r="G232" s="154"/>
      <c r="H232" s="154"/>
      <c r="I232" s="251">
        <f t="shared" si="11"/>
        <v>0</v>
      </c>
      <c r="J232" s="154"/>
      <c r="K232" s="154"/>
      <c r="L232" s="154"/>
      <c r="M232" s="154"/>
      <c r="N232" s="252">
        <f t="shared" si="12"/>
        <v>0</v>
      </c>
    </row>
    <row r="233" spans="2:14" s="167" customFormat="1" ht="15" customHeight="1" outlineLevel="1" x14ac:dyDescent="0.2">
      <c r="B233" s="60" t="s">
        <v>3852</v>
      </c>
      <c r="C233" s="506" t="s">
        <v>2402</v>
      </c>
      <c r="D233" s="166" t="s">
        <v>149</v>
      </c>
      <c r="E233" s="154"/>
      <c r="F233" s="154"/>
      <c r="G233" s="154"/>
      <c r="H233" s="154"/>
      <c r="I233" s="251">
        <f t="shared" si="11"/>
        <v>0</v>
      </c>
      <c r="J233" s="154"/>
      <c r="K233" s="154"/>
      <c r="L233" s="154"/>
      <c r="M233" s="154"/>
      <c r="N233" s="252">
        <f t="shared" si="12"/>
        <v>0</v>
      </c>
    </row>
    <row r="234" spans="2:14" s="167" customFormat="1" ht="15" customHeight="1" outlineLevel="1" x14ac:dyDescent="0.2">
      <c r="B234" s="60" t="s">
        <v>3853</v>
      </c>
      <c r="C234" s="506" t="s">
        <v>2403</v>
      </c>
      <c r="D234" s="166" t="s">
        <v>149</v>
      </c>
      <c r="E234" s="154"/>
      <c r="F234" s="154"/>
      <c r="G234" s="154"/>
      <c r="H234" s="154"/>
      <c r="I234" s="251">
        <f t="shared" si="11"/>
        <v>0</v>
      </c>
      <c r="J234" s="154"/>
      <c r="K234" s="154"/>
      <c r="L234" s="154"/>
      <c r="M234" s="154"/>
      <c r="N234" s="252">
        <f t="shared" si="12"/>
        <v>0</v>
      </c>
    </row>
    <row r="235" spans="2:14" s="167" customFormat="1" ht="15" customHeight="1" outlineLevel="1" x14ac:dyDescent="0.2">
      <c r="B235" s="60" t="s">
        <v>3854</v>
      </c>
      <c r="C235" s="506" t="s">
        <v>2404</v>
      </c>
      <c r="D235" s="166" t="s">
        <v>149</v>
      </c>
      <c r="E235" s="154"/>
      <c r="F235" s="154"/>
      <c r="G235" s="154"/>
      <c r="H235" s="154"/>
      <c r="I235" s="251">
        <f t="shared" si="11"/>
        <v>0</v>
      </c>
      <c r="J235" s="154"/>
      <c r="K235" s="154"/>
      <c r="L235" s="154"/>
      <c r="M235" s="154"/>
      <c r="N235" s="252">
        <f t="shared" si="12"/>
        <v>0</v>
      </c>
    </row>
    <row r="236" spans="2:14" s="167" customFormat="1" ht="15" customHeight="1" outlineLevel="1" x14ac:dyDescent="0.2">
      <c r="B236" s="60" t="s">
        <v>3855</v>
      </c>
      <c r="C236" s="506" t="s">
        <v>2405</v>
      </c>
      <c r="D236" s="166" t="s">
        <v>149</v>
      </c>
      <c r="E236" s="154"/>
      <c r="F236" s="154"/>
      <c r="G236" s="154"/>
      <c r="H236" s="154"/>
      <c r="I236" s="251">
        <f t="shared" si="11"/>
        <v>0</v>
      </c>
      <c r="J236" s="154"/>
      <c r="K236" s="154"/>
      <c r="L236" s="154"/>
      <c r="M236" s="154"/>
      <c r="N236" s="252">
        <f t="shared" si="12"/>
        <v>0</v>
      </c>
    </row>
    <row r="237" spans="2:14" s="167" customFormat="1" ht="15" customHeight="1" outlineLevel="1" x14ac:dyDescent="0.2">
      <c r="B237" s="60" t="s">
        <v>3856</v>
      </c>
      <c r="C237" s="506" t="s">
        <v>2406</v>
      </c>
      <c r="D237" s="166" t="s">
        <v>149</v>
      </c>
      <c r="E237" s="154"/>
      <c r="F237" s="154"/>
      <c r="G237" s="154"/>
      <c r="H237" s="154"/>
      <c r="I237" s="251">
        <f t="shared" si="11"/>
        <v>0</v>
      </c>
      <c r="J237" s="154"/>
      <c r="K237" s="154"/>
      <c r="L237" s="154"/>
      <c r="M237" s="154"/>
      <c r="N237" s="252">
        <f t="shared" si="12"/>
        <v>0</v>
      </c>
    </row>
    <row r="238" spans="2:14" s="167" customFormat="1" ht="15" customHeight="1" outlineLevel="1" x14ac:dyDescent="0.2">
      <c r="B238" s="60" t="s">
        <v>3857</v>
      </c>
      <c r="C238" s="506" t="s">
        <v>2407</v>
      </c>
      <c r="D238" s="166" t="s">
        <v>149</v>
      </c>
      <c r="E238" s="154"/>
      <c r="F238" s="154"/>
      <c r="G238" s="154"/>
      <c r="H238" s="154"/>
      <c r="I238" s="251">
        <f t="shared" si="11"/>
        <v>0</v>
      </c>
      <c r="J238" s="154"/>
      <c r="K238" s="154"/>
      <c r="L238" s="154"/>
      <c r="M238" s="154"/>
      <c r="N238" s="252">
        <f t="shared" si="12"/>
        <v>0</v>
      </c>
    </row>
    <row r="239" spans="2:14" s="167" customFormat="1" ht="15" customHeight="1" outlineLevel="1" x14ac:dyDescent="0.2">
      <c r="B239" s="60" t="s">
        <v>3858</v>
      </c>
      <c r="C239" s="506" t="s">
        <v>2408</v>
      </c>
      <c r="D239" s="166" t="s">
        <v>149</v>
      </c>
      <c r="E239" s="154"/>
      <c r="F239" s="154"/>
      <c r="G239" s="154"/>
      <c r="H239" s="154"/>
      <c r="I239" s="251">
        <f t="shared" si="11"/>
        <v>0</v>
      </c>
      <c r="J239" s="154"/>
      <c r="K239" s="154"/>
      <c r="L239" s="154"/>
      <c r="M239" s="154"/>
      <c r="N239" s="252">
        <f t="shared" si="12"/>
        <v>0</v>
      </c>
    </row>
    <row r="240" spans="2:14" s="167" customFormat="1" ht="15" customHeight="1" outlineLevel="1" x14ac:dyDescent="0.2">
      <c r="B240" s="60" t="s">
        <v>3859</v>
      </c>
      <c r="C240" s="506" t="s">
        <v>2409</v>
      </c>
      <c r="D240" s="166" t="s">
        <v>149</v>
      </c>
      <c r="E240" s="154"/>
      <c r="F240" s="154"/>
      <c r="G240" s="154"/>
      <c r="H240" s="154"/>
      <c r="I240" s="251">
        <f t="shared" si="11"/>
        <v>0</v>
      </c>
      <c r="J240" s="154"/>
      <c r="K240" s="154"/>
      <c r="L240" s="154"/>
      <c r="M240" s="154"/>
      <c r="N240" s="252">
        <f t="shared" si="12"/>
        <v>0</v>
      </c>
    </row>
    <row r="241" spans="2:14" s="167" customFormat="1" ht="15" customHeight="1" outlineLevel="1" x14ac:dyDescent="0.2">
      <c r="B241" s="60" t="s">
        <v>3860</v>
      </c>
      <c r="C241" s="506" t="s">
        <v>2410</v>
      </c>
      <c r="D241" s="166" t="s">
        <v>149</v>
      </c>
      <c r="E241" s="154"/>
      <c r="F241" s="154"/>
      <c r="G241" s="154"/>
      <c r="H241" s="154"/>
      <c r="I241" s="251">
        <f t="shared" si="11"/>
        <v>0</v>
      </c>
      <c r="J241" s="154"/>
      <c r="K241" s="154"/>
      <c r="L241" s="154"/>
      <c r="M241" s="154"/>
      <c r="N241" s="252">
        <f t="shared" si="12"/>
        <v>0</v>
      </c>
    </row>
    <row r="242" spans="2:14" s="138" customFormat="1" ht="15" customHeight="1" x14ac:dyDescent="0.2">
      <c r="B242" s="60" t="s">
        <v>3861</v>
      </c>
      <c r="C242" s="499">
        <v>2.6</v>
      </c>
      <c r="D242" s="131" t="s">
        <v>4677</v>
      </c>
      <c r="E242" s="636">
        <f>SUM(E243:E262)</f>
        <v>0</v>
      </c>
      <c r="F242" s="636">
        <f>SUM(F243:F262)</f>
        <v>0</v>
      </c>
      <c r="G242" s="636">
        <f>SUM(G243:G262)</f>
        <v>0</v>
      </c>
      <c r="H242" s="636">
        <f>SUM(H243:H262)</f>
        <v>0</v>
      </c>
      <c r="I242" s="259">
        <f t="shared" si="11"/>
        <v>0</v>
      </c>
      <c r="J242" s="636">
        <f>SUM(J243:J262)</f>
        <v>0</v>
      </c>
      <c r="K242" s="636">
        <f>SUM(K243:K262)</f>
        <v>0</v>
      </c>
      <c r="L242" s="636">
        <f>SUM(L243:L262)</f>
        <v>0</v>
      </c>
      <c r="M242" s="636">
        <f>SUM(M243:M262)</f>
        <v>0</v>
      </c>
      <c r="N242" s="260">
        <f t="shared" si="12"/>
        <v>0</v>
      </c>
    </row>
    <row r="243" spans="2:14" s="167" customFormat="1" ht="15" customHeight="1" outlineLevel="1" x14ac:dyDescent="0.2">
      <c r="B243" s="60" t="s">
        <v>3862</v>
      </c>
      <c r="C243" s="506" t="s">
        <v>2411</v>
      </c>
      <c r="D243" s="166" t="s">
        <v>149</v>
      </c>
      <c r="E243" s="154"/>
      <c r="F243" s="154"/>
      <c r="G243" s="154"/>
      <c r="H243" s="154"/>
      <c r="I243" s="251">
        <f t="shared" ref="I243:I262" si="13">SUM(E243:H243)</f>
        <v>0</v>
      </c>
      <c r="J243" s="154"/>
      <c r="K243" s="154"/>
      <c r="L243" s="154"/>
      <c r="M243" s="154"/>
      <c r="N243" s="252">
        <f t="shared" ref="N243:N262" si="14">SUM(J243:M243)</f>
        <v>0</v>
      </c>
    </row>
    <row r="244" spans="2:14" s="167" customFormat="1" ht="15" customHeight="1" outlineLevel="1" x14ac:dyDescent="0.2">
      <c r="B244" s="60" t="s">
        <v>3863</v>
      </c>
      <c r="C244" s="506" t="s">
        <v>2412</v>
      </c>
      <c r="D244" s="166" t="s">
        <v>149</v>
      </c>
      <c r="E244" s="154"/>
      <c r="F244" s="154"/>
      <c r="G244" s="154"/>
      <c r="H244" s="154"/>
      <c r="I244" s="251">
        <f t="shared" si="13"/>
        <v>0</v>
      </c>
      <c r="J244" s="154"/>
      <c r="K244" s="154"/>
      <c r="L244" s="154"/>
      <c r="M244" s="154"/>
      <c r="N244" s="252">
        <f t="shared" si="14"/>
        <v>0</v>
      </c>
    </row>
    <row r="245" spans="2:14" s="167" customFormat="1" ht="15" customHeight="1" outlineLevel="1" x14ac:dyDescent="0.2">
      <c r="B245" s="60" t="s">
        <v>3864</v>
      </c>
      <c r="C245" s="506" t="s">
        <v>2413</v>
      </c>
      <c r="D245" s="166" t="s">
        <v>149</v>
      </c>
      <c r="E245" s="154"/>
      <c r="F245" s="154"/>
      <c r="G245" s="154"/>
      <c r="H245" s="154"/>
      <c r="I245" s="251">
        <f t="shared" si="13"/>
        <v>0</v>
      </c>
      <c r="J245" s="154"/>
      <c r="K245" s="154"/>
      <c r="L245" s="154"/>
      <c r="M245" s="154"/>
      <c r="N245" s="252">
        <f t="shared" si="14"/>
        <v>0</v>
      </c>
    </row>
    <row r="246" spans="2:14" s="167" customFormat="1" ht="15" customHeight="1" outlineLevel="1" x14ac:dyDescent="0.2">
      <c r="B246" s="60" t="s">
        <v>3865</v>
      </c>
      <c r="C246" s="506" t="s">
        <v>2414</v>
      </c>
      <c r="D246" s="166" t="s">
        <v>149</v>
      </c>
      <c r="E246" s="154"/>
      <c r="F246" s="154"/>
      <c r="G246" s="154"/>
      <c r="H246" s="154"/>
      <c r="I246" s="251">
        <f t="shared" si="13"/>
        <v>0</v>
      </c>
      <c r="J246" s="154"/>
      <c r="K246" s="154"/>
      <c r="L246" s="154"/>
      <c r="M246" s="154"/>
      <c r="N246" s="252">
        <f t="shared" si="14"/>
        <v>0</v>
      </c>
    </row>
    <row r="247" spans="2:14" s="167" customFormat="1" ht="15" customHeight="1" outlineLevel="1" x14ac:dyDescent="0.2">
      <c r="B247" s="60" t="s">
        <v>3866</v>
      </c>
      <c r="C247" s="506" t="s">
        <v>2415</v>
      </c>
      <c r="D247" s="166" t="s">
        <v>149</v>
      </c>
      <c r="E247" s="154"/>
      <c r="F247" s="154"/>
      <c r="G247" s="154"/>
      <c r="H247" s="154"/>
      <c r="I247" s="251">
        <f t="shared" si="13"/>
        <v>0</v>
      </c>
      <c r="J247" s="154"/>
      <c r="K247" s="154"/>
      <c r="L247" s="154"/>
      <c r="M247" s="154"/>
      <c r="N247" s="252">
        <f t="shared" si="14"/>
        <v>0</v>
      </c>
    </row>
    <row r="248" spans="2:14" s="167" customFormat="1" ht="15" customHeight="1" outlineLevel="1" x14ac:dyDescent="0.2">
      <c r="B248" s="60" t="s">
        <v>3867</v>
      </c>
      <c r="C248" s="506" t="s">
        <v>2416</v>
      </c>
      <c r="D248" s="166" t="s">
        <v>149</v>
      </c>
      <c r="E248" s="154"/>
      <c r="F248" s="154"/>
      <c r="G248" s="154"/>
      <c r="H248" s="154"/>
      <c r="I248" s="251">
        <f t="shared" si="13"/>
        <v>0</v>
      </c>
      <c r="J248" s="154"/>
      <c r="K248" s="154"/>
      <c r="L248" s="154"/>
      <c r="M248" s="154"/>
      <c r="N248" s="252">
        <f t="shared" si="14"/>
        <v>0</v>
      </c>
    </row>
    <row r="249" spans="2:14" s="167" customFormat="1" ht="15" customHeight="1" outlineLevel="1" x14ac:dyDescent="0.2">
      <c r="B249" s="60" t="s">
        <v>3868</v>
      </c>
      <c r="C249" s="506" t="s">
        <v>2417</v>
      </c>
      <c r="D249" s="166" t="s">
        <v>149</v>
      </c>
      <c r="E249" s="154"/>
      <c r="F249" s="154"/>
      <c r="G249" s="154"/>
      <c r="H249" s="154"/>
      <c r="I249" s="251">
        <f t="shared" si="13"/>
        <v>0</v>
      </c>
      <c r="J249" s="154"/>
      <c r="K249" s="154"/>
      <c r="L249" s="154"/>
      <c r="M249" s="154"/>
      <c r="N249" s="252">
        <f t="shared" si="14"/>
        <v>0</v>
      </c>
    </row>
    <row r="250" spans="2:14" s="167" customFormat="1" ht="15" customHeight="1" outlineLevel="1" x14ac:dyDescent="0.2">
      <c r="B250" s="60" t="s">
        <v>3869</v>
      </c>
      <c r="C250" s="506" t="s">
        <v>2418</v>
      </c>
      <c r="D250" s="166" t="s">
        <v>149</v>
      </c>
      <c r="E250" s="154"/>
      <c r="F250" s="154"/>
      <c r="G250" s="154"/>
      <c r="H250" s="154"/>
      <c r="I250" s="251">
        <f t="shared" si="13"/>
        <v>0</v>
      </c>
      <c r="J250" s="154"/>
      <c r="K250" s="154"/>
      <c r="L250" s="154"/>
      <c r="M250" s="154"/>
      <c r="N250" s="252">
        <f t="shared" si="14"/>
        <v>0</v>
      </c>
    </row>
    <row r="251" spans="2:14" s="167" customFormat="1" ht="15" customHeight="1" outlineLevel="1" x14ac:dyDescent="0.2">
      <c r="B251" s="60" t="s">
        <v>3870</v>
      </c>
      <c r="C251" s="506" t="s">
        <v>2419</v>
      </c>
      <c r="D251" s="166" t="s">
        <v>149</v>
      </c>
      <c r="E251" s="154"/>
      <c r="F251" s="154"/>
      <c r="G251" s="154"/>
      <c r="H251" s="154"/>
      <c r="I251" s="251">
        <f t="shared" si="13"/>
        <v>0</v>
      </c>
      <c r="J251" s="154"/>
      <c r="K251" s="154"/>
      <c r="L251" s="154"/>
      <c r="M251" s="154"/>
      <c r="N251" s="252">
        <f t="shared" si="14"/>
        <v>0</v>
      </c>
    </row>
    <row r="252" spans="2:14" s="167" customFormat="1" ht="15" customHeight="1" outlineLevel="1" x14ac:dyDescent="0.2">
      <c r="B252" s="60" t="s">
        <v>3871</v>
      </c>
      <c r="C252" s="506" t="s">
        <v>2420</v>
      </c>
      <c r="D252" s="166" t="s">
        <v>149</v>
      </c>
      <c r="E252" s="154"/>
      <c r="F252" s="154"/>
      <c r="G252" s="154"/>
      <c r="H252" s="154"/>
      <c r="I252" s="251">
        <f t="shared" si="13"/>
        <v>0</v>
      </c>
      <c r="J252" s="154"/>
      <c r="K252" s="154"/>
      <c r="L252" s="154"/>
      <c r="M252" s="154"/>
      <c r="N252" s="252">
        <f t="shared" si="14"/>
        <v>0</v>
      </c>
    </row>
    <row r="253" spans="2:14" s="167" customFormat="1" ht="15" customHeight="1" outlineLevel="1" x14ac:dyDescent="0.2">
      <c r="B253" s="60" t="s">
        <v>3872</v>
      </c>
      <c r="C253" s="506" t="s">
        <v>2421</v>
      </c>
      <c r="D253" s="166" t="s">
        <v>149</v>
      </c>
      <c r="E253" s="154"/>
      <c r="F253" s="154"/>
      <c r="G253" s="154"/>
      <c r="H253" s="154"/>
      <c r="I253" s="251">
        <f t="shared" si="13"/>
        <v>0</v>
      </c>
      <c r="J253" s="154"/>
      <c r="K253" s="154"/>
      <c r="L253" s="154"/>
      <c r="M253" s="154"/>
      <c r="N253" s="252">
        <f t="shared" si="14"/>
        <v>0</v>
      </c>
    </row>
    <row r="254" spans="2:14" s="167" customFormat="1" ht="15" customHeight="1" outlineLevel="1" x14ac:dyDescent="0.2">
      <c r="B254" s="60" t="s">
        <v>3873</v>
      </c>
      <c r="C254" s="506" t="s">
        <v>2422</v>
      </c>
      <c r="D254" s="166" t="s">
        <v>149</v>
      </c>
      <c r="E254" s="154"/>
      <c r="F254" s="154"/>
      <c r="G254" s="154"/>
      <c r="H254" s="154"/>
      <c r="I254" s="251">
        <f t="shared" si="13"/>
        <v>0</v>
      </c>
      <c r="J254" s="154"/>
      <c r="K254" s="154"/>
      <c r="L254" s="154"/>
      <c r="M254" s="154"/>
      <c r="N254" s="252">
        <f t="shared" si="14"/>
        <v>0</v>
      </c>
    </row>
    <row r="255" spans="2:14" s="167" customFormat="1" ht="15" customHeight="1" outlineLevel="1" x14ac:dyDescent="0.2">
      <c r="B255" s="60" t="s">
        <v>3874</v>
      </c>
      <c r="C255" s="506" t="s">
        <v>2423</v>
      </c>
      <c r="D255" s="166" t="s">
        <v>149</v>
      </c>
      <c r="E255" s="154"/>
      <c r="F255" s="154"/>
      <c r="G255" s="154"/>
      <c r="H255" s="154"/>
      <c r="I255" s="251">
        <f t="shared" si="13"/>
        <v>0</v>
      </c>
      <c r="J255" s="154"/>
      <c r="K255" s="154"/>
      <c r="L255" s="154"/>
      <c r="M255" s="154"/>
      <c r="N255" s="252">
        <f t="shared" si="14"/>
        <v>0</v>
      </c>
    </row>
    <row r="256" spans="2:14" s="167" customFormat="1" ht="15" customHeight="1" outlineLevel="1" x14ac:dyDescent="0.2">
      <c r="B256" s="60" t="s">
        <v>3875</v>
      </c>
      <c r="C256" s="506" t="s">
        <v>2424</v>
      </c>
      <c r="D256" s="166" t="s">
        <v>149</v>
      </c>
      <c r="E256" s="154"/>
      <c r="F256" s="154"/>
      <c r="G256" s="154"/>
      <c r="H256" s="154"/>
      <c r="I256" s="251">
        <f t="shared" si="13"/>
        <v>0</v>
      </c>
      <c r="J256" s="154"/>
      <c r="K256" s="154"/>
      <c r="L256" s="154"/>
      <c r="M256" s="154"/>
      <c r="N256" s="252">
        <f t="shared" si="14"/>
        <v>0</v>
      </c>
    </row>
    <row r="257" spans="2:14" s="167" customFormat="1" ht="15" customHeight="1" outlineLevel="1" x14ac:dyDescent="0.2">
      <c r="B257" s="60" t="s">
        <v>3876</v>
      </c>
      <c r="C257" s="506" t="s">
        <v>2425</v>
      </c>
      <c r="D257" s="166" t="s">
        <v>149</v>
      </c>
      <c r="E257" s="154"/>
      <c r="F257" s="154"/>
      <c r="G257" s="154"/>
      <c r="H257" s="154"/>
      <c r="I257" s="251">
        <f t="shared" si="13"/>
        <v>0</v>
      </c>
      <c r="J257" s="154"/>
      <c r="K257" s="154"/>
      <c r="L257" s="154"/>
      <c r="M257" s="154"/>
      <c r="N257" s="252">
        <f t="shared" si="14"/>
        <v>0</v>
      </c>
    </row>
    <row r="258" spans="2:14" s="167" customFormat="1" ht="15" customHeight="1" outlineLevel="1" x14ac:dyDescent="0.2">
      <c r="B258" s="60" t="s">
        <v>3877</v>
      </c>
      <c r="C258" s="506" t="s">
        <v>2426</v>
      </c>
      <c r="D258" s="166" t="s">
        <v>149</v>
      </c>
      <c r="E258" s="154"/>
      <c r="F258" s="154"/>
      <c r="G258" s="154"/>
      <c r="H258" s="154"/>
      <c r="I258" s="251">
        <f t="shared" si="13"/>
        <v>0</v>
      </c>
      <c r="J258" s="154"/>
      <c r="K258" s="154"/>
      <c r="L258" s="154"/>
      <c r="M258" s="154"/>
      <c r="N258" s="252">
        <f t="shared" si="14"/>
        <v>0</v>
      </c>
    </row>
    <row r="259" spans="2:14" s="167" customFormat="1" ht="15" customHeight="1" outlineLevel="1" x14ac:dyDescent="0.2">
      <c r="B259" s="60" t="s">
        <v>3878</v>
      </c>
      <c r="C259" s="506" t="s">
        <v>2427</v>
      </c>
      <c r="D259" s="166" t="s">
        <v>149</v>
      </c>
      <c r="E259" s="154"/>
      <c r="F259" s="154"/>
      <c r="G259" s="154"/>
      <c r="H259" s="154"/>
      <c r="I259" s="251">
        <f t="shared" si="13"/>
        <v>0</v>
      </c>
      <c r="J259" s="154"/>
      <c r="K259" s="154"/>
      <c r="L259" s="154"/>
      <c r="M259" s="154"/>
      <c r="N259" s="252">
        <f t="shared" si="14"/>
        <v>0</v>
      </c>
    </row>
    <row r="260" spans="2:14" s="167" customFormat="1" ht="15" customHeight="1" outlineLevel="1" x14ac:dyDescent="0.2">
      <c r="B260" s="60" t="s">
        <v>3879</v>
      </c>
      <c r="C260" s="506" t="s">
        <v>2428</v>
      </c>
      <c r="D260" s="166" t="s">
        <v>149</v>
      </c>
      <c r="E260" s="154"/>
      <c r="F260" s="154"/>
      <c r="G260" s="154"/>
      <c r="H260" s="154"/>
      <c r="I260" s="251">
        <f t="shared" si="13"/>
        <v>0</v>
      </c>
      <c r="J260" s="154"/>
      <c r="K260" s="154"/>
      <c r="L260" s="154"/>
      <c r="M260" s="154"/>
      <c r="N260" s="252">
        <f t="shared" si="14"/>
        <v>0</v>
      </c>
    </row>
    <row r="261" spans="2:14" s="167" customFormat="1" ht="15" customHeight="1" outlineLevel="1" x14ac:dyDescent="0.2">
      <c r="B261" s="60" t="s">
        <v>3880</v>
      </c>
      <c r="C261" s="506" t="s">
        <v>2429</v>
      </c>
      <c r="D261" s="166" t="s">
        <v>149</v>
      </c>
      <c r="E261" s="154"/>
      <c r="F261" s="154"/>
      <c r="G261" s="154"/>
      <c r="H261" s="154"/>
      <c r="I261" s="251">
        <f t="shared" si="13"/>
        <v>0</v>
      </c>
      <c r="J261" s="154"/>
      <c r="K261" s="154"/>
      <c r="L261" s="154"/>
      <c r="M261" s="154"/>
      <c r="N261" s="252">
        <f t="shared" si="14"/>
        <v>0</v>
      </c>
    </row>
    <row r="262" spans="2:14" s="167" customFormat="1" ht="15" customHeight="1" outlineLevel="1" x14ac:dyDescent="0.2">
      <c r="B262" s="60" t="s">
        <v>3881</v>
      </c>
      <c r="C262" s="506" t="s">
        <v>2430</v>
      </c>
      <c r="D262" s="166" t="s">
        <v>149</v>
      </c>
      <c r="E262" s="154"/>
      <c r="F262" s="154"/>
      <c r="G262" s="154"/>
      <c r="H262" s="154"/>
      <c r="I262" s="251">
        <f t="shared" si="13"/>
        <v>0</v>
      </c>
      <c r="J262" s="154"/>
      <c r="K262" s="154"/>
      <c r="L262" s="154"/>
      <c r="M262" s="154"/>
      <c r="N262" s="252">
        <f t="shared" si="14"/>
        <v>0</v>
      </c>
    </row>
    <row r="263" spans="2:14" s="143" customFormat="1" ht="15" customHeight="1" x14ac:dyDescent="0.2">
      <c r="B263" s="60" t="s">
        <v>3882</v>
      </c>
      <c r="C263" s="397">
        <v>3</v>
      </c>
      <c r="D263" s="150" t="s">
        <v>152</v>
      </c>
      <c r="E263" s="635">
        <f>E264+E275</f>
        <v>0</v>
      </c>
      <c r="F263" s="635">
        <f t="shared" ref="F263:N263" si="15">F264+F275</f>
        <v>0</v>
      </c>
      <c r="G263" s="635">
        <f t="shared" si="15"/>
        <v>0</v>
      </c>
      <c r="H263" s="635">
        <f t="shared" si="15"/>
        <v>0</v>
      </c>
      <c r="I263" s="239">
        <f t="shared" si="15"/>
        <v>0</v>
      </c>
      <c r="J263" s="635">
        <f t="shared" si="15"/>
        <v>0</v>
      </c>
      <c r="K263" s="635">
        <f t="shared" si="15"/>
        <v>0</v>
      </c>
      <c r="L263" s="635">
        <f t="shared" si="15"/>
        <v>0</v>
      </c>
      <c r="M263" s="635">
        <f t="shared" si="15"/>
        <v>0</v>
      </c>
      <c r="N263" s="240">
        <f t="shared" si="15"/>
        <v>0</v>
      </c>
    </row>
    <row r="264" spans="2:14" s="138" customFormat="1" ht="15" customHeight="1" x14ac:dyDescent="0.2">
      <c r="B264" s="60" t="s">
        <v>3883</v>
      </c>
      <c r="C264" s="499">
        <v>3.1</v>
      </c>
      <c r="D264" s="131" t="s">
        <v>152</v>
      </c>
      <c r="E264" s="636">
        <f>SUM(E265:E274)</f>
        <v>0</v>
      </c>
      <c r="F264" s="636">
        <f t="shared" ref="F264:M264" si="16">SUM(F265:F274)</f>
        <v>0</v>
      </c>
      <c r="G264" s="636">
        <f t="shared" si="16"/>
        <v>0</v>
      </c>
      <c r="H264" s="636">
        <f t="shared" si="16"/>
        <v>0</v>
      </c>
      <c r="I264" s="259">
        <f>SUM(E264:H264)</f>
        <v>0</v>
      </c>
      <c r="J264" s="636">
        <f t="shared" si="16"/>
        <v>0</v>
      </c>
      <c r="K264" s="636">
        <f t="shared" si="16"/>
        <v>0</v>
      </c>
      <c r="L264" s="636">
        <f t="shared" si="16"/>
        <v>0</v>
      </c>
      <c r="M264" s="636">
        <f t="shared" si="16"/>
        <v>0</v>
      </c>
      <c r="N264" s="260">
        <f>SUM(J264:M264)</f>
        <v>0</v>
      </c>
    </row>
    <row r="265" spans="2:14" s="167" customFormat="1" ht="15" customHeight="1" outlineLevel="1" x14ac:dyDescent="0.2">
      <c r="B265" s="60" t="s">
        <v>3884</v>
      </c>
      <c r="C265" s="506" t="s">
        <v>450</v>
      </c>
      <c r="D265" s="166" t="s">
        <v>153</v>
      </c>
      <c r="E265" s="154"/>
      <c r="F265" s="154"/>
      <c r="G265" s="154"/>
      <c r="H265" s="154"/>
      <c r="I265" s="251">
        <f t="shared" ref="I265:I285" si="17">SUM(E265:H265)</f>
        <v>0</v>
      </c>
      <c r="J265" s="154"/>
      <c r="K265" s="154"/>
      <c r="L265" s="154"/>
      <c r="M265" s="154"/>
      <c r="N265" s="252">
        <f t="shared" ref="N265:N285" si="18">SUM(J265:M265)</f>
        <v>0</v>
      </c>
    </row>
    <row r="266" spans="2:14" s="167" customFormat="1" ht="15" customHeight="1" outlineLevel="1" x14ac:dyDescent="0.2">
      <c r="B266" s="60" t="s">
        <v>3885</v>
      </c>
      <c r="C266" s="506" t="s">
        <v>451</v>
      </c>
      <c r="D266" s="166" t="s">
        <v>153</v>
      </c>
      <c r="E266" s="154"/>
      <c r="F266" s="154"/>
      <c r="G266" s="154"/>
      <c r="H266" s="154"/>
      <c r="I266" s="251">
        <f t="shared" si="17"/>
        <v>0</v>
      </c>
      <c r="J266" s="154"/>
      <c r="K266" s="154"/>
      <c r="L266" s="154"/>
      <c r="M266" s="154"/>
      <c r="N266" s="252">
        <f t="shared" si="18"/>
        <v>0</v>
      </c>
    </row>
    <row r="267" spans="2:14" s="167" customFormat="1" ht="15" customHeight="1" outlineLevel="1" x14ac:dyDescent="0.2">
      <c r="B267" s="60" t="s">
        <v>3886</v>
      </c>
      <c r="C267" s="506" t="s">
        <v>458</v>
      </c>
      <c r="D267" s="166" t="s">
        <v>153</v>
      </c>
      <c r="E267" s="154"/>
      <c r="F267" s="154"/>
      <c r="G267" s="154"/>
      <c r="H267" s="154"/>
      <c r="I267" s="251">
        <f t="shared" si="17"/>
        <v>0</v>
      </c>
      <c r="J267" s="154"/>
      <c r="K267" s="154"/>
      <c r="L267" s="154"/>
      <c r="M267" s="154"/>
      <c r="N267" s="252">
        <f t="shared" si="18"/>
        <v>0</v>
      </c>
    </row>
    <row r="268" spans="2:14" s="167" customFormat="1" ht="15" customHeight="1" outlineLevel="1" x14ac:dyDescent="0.2">
      <c r="B268" s="60" t="s">
        <v>3887</v>
      </c>
      <c r="C268" s="506" t="s">
        <v>600</v>
      </c>
      <c r="D268" s="166" t="s">
        <v>153</v>
      </c>
      <c r="E268" s="154"/>
      <c r="F268" s="154"/>
      <c r="G268" s="154"/>
      <c r="H268" s="154"/>
      <c r="I268" s="251">
        <f t="shared" si="17"/>
        <v>0</v>
      </c>
      <c r="J268" s="154"/>
      <c r="K268" s="154"/>
      <c r="L268" s="154"/>
      <c r="M268" s="154"/>
      <c r="N268" s="252">
        <f t="shared" si="18"/>
        <v>0</v>
      </c>
    </row>
    <row r="269" spans="2:14" s="167" customFormat="1" ht="15" customHeight="1" outlineLevel="1" x14ac:dyDescent="0.2">
      <c r="B269" s="60" t="s">
        <v>3888</v>
      </c>
      <c r="C269" s="506" t="s">
        <v>601</v>
      </c>
      <c r="D269" s="166" t="s">
        <v>153</v>
      </c>
      <c r="E269" s="154"/>
      <c r="F269" s="154"/>
      <c r="G269" s="154"/>
      <c r="H269" s="154"/>
      <c r="I269" s="251">
        <f t="shared" si="17"/>
        <v>0</v>
      </c>
      <c r="J269" s="154"/>
      <c r="K269" s="154"/>
      <c r="L269" s="154"/>
      <c r="M269" s="154"/>
      <c r="N269" s="252">
        <f t="shared" si="18"/>
        <v>0</v>
      </c>
    </row>
    <row r="270" spans="2:14" s="167" customFormat="1" ht="15" customHeight="1" outlineLevel="1" x14ac:dyDescent="0.2">
      <c r="B270" s="60" t="s">
        <v>3889</v>
      </c>
      <c r="C270" s="506" t="s">
        <v>602</v>
      </c>
      <c r="D270" s="166" t="s">
        <v>153</v>
      </c>
      <c r="E270" s="154"/>
      <c r="F270" s="154"/>
      <c r="G270" s="154"/>
      <c r="H270" s="154"/>
      <c r="I270" s="251">
        <f t="shared" si="17"/>
        <v>0</v>
      </c>
      <c r="J270" s="154"/>
      <c r="K270" s="154"/>
      <c r="L270" s="154"/>
      <c r="M270" s="154"/>
      <c r="N270" s="252">
        <f t="shared" si="18"/>
        <v>0</v>
      </c>
    </row>
    <row r="271" spans="2:14" s="167" customFormat="1" ht="15" customHeight="1" outlineLevel="1" x14ac:dyDescent="0.2">
      <c r="B271" s="60" t="s">
        <v>3890</v>
      </c>
      <c r="C271" s="506" t="s">
        <v>603</v>
      </c>
      <c r="D271" s="166" t="s">
        <v>153</v>
      </c>
      <c r="E271" s="154"/>
      <c r="F271" s="154"/>
      <c r="G271" s="154"/>
      <c r="H271" s="154"/>
      <c r="I271" s="251">
        <f t="shared" si="17"/>
        <v>0</v>
      </c>
      <c r="J271" s="154"/>
      <c r="K271" s="154"/>
      <c r="L271" s="154"/>
      <c r="M271" s="154"/>
      <c r="N271" s="252">
        <f t="shared" si="18"/>
        <v>0</v>
      </c>
    </row>
    <row r="272" spans="2:14" s="167" customFormat="1" ht="15" customHeight="1" outlineLevel="1" x14ac:dyDescent="0.2">
      <c r="B272" s="60" t="s">
        <v>3891</v>
      </c>
      <c r="C272" s="506" t="s">
        <v>604</v>
      </c>
      <c r="D272" s="166" t="s">
        <v>153</v>
      </c>
      <c r="E272" s="154"/>
      <c r="F272" s="154"/>
      <c r="G272" s="154"/>
      <c r="H272" s="154"/>
      <c r="I272" s="251">
        <f t="shared" si="17"/>
        <v>0</v>
      </c>
      <c r="J272" s="154"/>
      <c r="K272" s="154"/>
      <c r="L272" s="154"/>
      <c r="M272" s="154"/>
      <c r="N272" s="252">
        <f t="shared" si="18"/>
        <v>0</v>
      </c>
    </row>
    <row r="273" spans="2:14" s="167" customFormat="1" ht="15" customHeight="1" outlineLevel="1" x14ac:dyDescent="0.2">
      <c r="B273" s="60" t="s">
        <v>3892</v>
      </c>
      <c r="C273" s="506" t="s">
        <v>605</v>
      </c>
      <c r="D273" s="166" t="s">
        <v>153</v>
      </c>
      <c r="E273" s="154"/>
      <c r="F273" s="154"/>
      <c r="G273" s="154"/>
      <c r="H273" s="154"/>
      <c r="I273" s="251">
        <f t="shared" si="17"/>
        <v>0</v>
      </c>
      <c r="J273" s="154"/>
      <c r="K273" s="154"/>
      <c r="L273" s="154"/>
      <c r="M273" s="154"/>
      <c r="N273" s="252">
        <f t="shared" si="18"/>
        <v>0</v>
      </c>
    </row>
    <row r="274" spans="2:14" s="167" customFormat="1" ht="15" customHeight="1" outlineLevel="1" x14ac:dyDescent="0.2">
      <c r="B274" s="60" t="s">
        <v>3893</v>
      </c>
      <c r="C274" s="506" t="s">
        <v>606</v>
      </c>
      <c r="D274" s="166" t="s">
        <v>153</v>
      </c>
      <c r="E274" s="154"/>
      <c r="F274" s="154"/>
      <c r="G274" s="154"/>
      <c r="H274" s="154"/>
      <c r="I274" s="251">
        <f t="shared" si="17"/>
        <v>0</v>
      </c>
      <c r="J274" s="154"/>
      <c r="K274" s="154"/>
      <c r="L274" s="154"/>
      <c r="M274" s="154"/>
      <c r="N274" s="252">
        <f t="shared" si="18"/>
        <v>0</v>
      </c>
    </row>
    <row r="275" spans="2:14" s="138" customFormat="1" ht="15" customHeight="1" x14ac:dyDescent="0.2">
      <c r="B275" s="60" t="s">
        <v>3894</v>
      </c>
      <c r="C275" s="499">
        <v>3.2</v>
      </c>
      <c r="D275" s="131" t="s">
        <v>4664</v>
      </c>
      <c r="E275" s="636">
        <f>SUM(E276:E285)</f>
        <v>0</v>
      </c>
      <c r="F275" s="636">
        <f t="shared" ref="F275:M275" si="19">SUM(F276:F285)</f>
        <v>0</v>
      </c>
      <c r="G275" s="636">
        <f t="shared" si="19"/>
        <v>0</v>
      </c>
      <c r="H275" s="636">
        <f t="shared" si="19"/>
        <v>0</v>
      </c>
      <c r="I275" s="259">
        <f t="shared" si="17"/>
        <v>0</v>
      </c>
      <c r="J275" s="636">
        <f t="shared" si="19"/>
        <v>0</v>
      </c>
      <c r="K275" s="636">
        <f t="shared" si="19"/>
        <v>0</v>
      </c>
      <c r="L275" s="636">
        <f t="shared" si="19"/>
        <v>0</v>
      </c>
      <c r="M275" s="636">
        <f t="shared" si="19"/>
        <v>0</v>
      </c>
      <c r="N275" s="260">
        <f t="shared" si="18"/>
        <v>0</v>
      </c>
    </row>
    <row r="276" spans="2:14" s="167" customFormat="1" ht="15" customHeight="1" outlineLevel="1" x14ac:dyDescent="0.2">
      <c r="B276" s="60" t="s">
        <v>3895</v>
      </c>
      <c r="C276" s="506" t="s">
        <v>454</v>
      </c>
      <c r="D276" s="166" t="s">
        <v>153</v>
      </c>
      <c r="E276" s="154"/>
      <c r="F276" s="154"/>
      <c r="G276" s="154"/>
      <c r="H276" s="154"/>
      <c r="I276" s="251">
        <f t="shared" si="17"/>
        <v>0</v>
      </c>
      <c r="J276" s="154"/>
      <c r="K276" s="154"/>
      <c r="L276" s="154"/>
      <c r="M276" s="154"/>
      <c r="N276" s="252">
        <f t="shared" si="18"/>
        <v>0</v>
      </c>
    </row>
    <row r="277" spans="2:14" s="167" customFormat="1" ht="15" customHeight="1" outlineLevel="1" x14ac:dyDescent="0.2">
      <c r="B277" s="60" t="s">
        <v>3896</v>
      </c>
      <c r="C277" s="506" t="s">
        <v>455</v>
      </c>
      <c r="D277" s="166" t="s">
        <v>153</v>
      </c>
      <c r="E277" s="154"/>
      <c r="F277" s="154"/>
      <c r="G277" s="154"/>
      <c r="H277" s="154"/>
      <c r="I277" s="251">
        <f t="shared" si="17"/>
        <v>0</v>
      </c>
      <c r="J277" s="154"/>
      <c r="K277" s="154"/>
      <c r="L277" s="154"/>
      <c r="M277" s="154"/>
      <c r="N277" s="252">
        <f t="shared" si="18"/>
        <v>0</v>
      </c>
    </row>
    <row r="278" spans="2:14" s="167" customFormat="1" ht="15" customHeight="1" outlineLevel="1" x14ac:dyDescent="0.2">
      <c r="B278" s="60" t="s">
        <v>3897</v>
      </c>
      <c r="C278" s="506" t="s">
        <v>459</v>
      </c>
      <c r="D278" s="166" t="s">
        <v>153</v>
      </c>
      <c r="E278" s="154"/>
      <c r="F278" s="154"/>
      <c r="G278" s="154"/>
      <c r="H278" s="154"/>
      <c r="I278" s="251">
        <f t="shared" si="17"/>
        <v>0</v>
      </c>
      <c r="J278" s="154"/>
      <c r="K278" s="154"/>
      <c r="L278" s="154"/>
      <c r="M278" s="154"/>
      <c r="N278" s="252">
        <f t="shared" si="18"/>
        <v>0</v>
      </c>
    </row>
    <row r="279" spans="2:14" s="167" customFormat="1" ht="15" customHeight="1" outlineLevel="1" x14ac:dyDescent="0.2">
      <c r="B279" s="60" t="s">
        <v>3898</v>
      </c>
      <c r="C279" s="506" t="s">
        <v>617</v>
      </c>
      <c r="D279" s="166" t="s">
        <v>153</v>
      </c>
      <c r="E279" s="154"/>
      <c r="F279" s="154"/>
      <c r="G279" s="154"/>
      <c r="H279" s="154"/>
      <c r="I279" s="251">
        <f t="shared" si="17"/>
        <v>0</v>
      </c>
      <c r="J279" s="154"/>
      <c r="K279" s="154"/>
      <c r="L279" s="154"/>
      <c r="M279" s="154"/>
      <c r="N279" s="252">
        <f t="shared" si="18"/>
        <v>0</v>
      </c>
    </row>
    <row r="280" spans="2:14" s="167" customFormat="1" ht="15" customHeight="1" outlineLevel="1" x14ac:dyDescent="0.2">
      <c r="B280" s="60" t="s">
        <v>3899</v>
      </c>
      <c r="C280" s="506" t="s">
        <v>618</v>
      </c>
      <c r="D280" s="166" t="s">
        <v>153</v>
      </c>
      <c r="E280" s="154"/>
      <c r="F280" s="154"/>
      <c r="G280" s="154"/>
      <c r="H280" s="154"/>
      <c r="I280" s="251">
        <f t="shared" si="17"/>
        <v>0</v>
      </c>
      <c r="J280" s="154"/>
      <c r="K280" s="154"/>
      <c r="L280" s="154"/>
      <c r="M280" s="154"/>
      <c r="N280" s="252">
        <f t="shared" si="18"/>
        <v>0</v>
      </c>
    </row>
    <row r="281" spans="2:14" s="167" customFormat="1" ht="15" customHeight="1" outlineLevel="1" x14ac:dyDescent="0.2">
      <c r="B281" s="60" t="s">
        <v>3900</v>
      </c>
      <c r="C281" s="506" t="s">
        <v>619</v>
      </c>
      <c r="D281" s="166" t="s">
        <v>153</v>
      </c>
      <c r="E281" s="154"/>
      <c r="F281" s="154"/>
      <c r="G281" s="154"/>
      <c r="H281" s="154"/>
      <c r="I281" s="251">
        <f t="shared" si="17"/>
        <v>0</v>
      </c>
      <c r="J281" s="154"/>
      <c r="K281" s="154"/>
      <c r="L281" s="154"/>
      <c r="M281" s="154"/>
      <c r="N281" s="252">
        <f t="shared" si="18"/>
        <v>0</v>
      </c>
    </row>
    <row r="282" spans="2:14" s="167" customFormat="1" ht="15" customHeight="1" outlineLevel="1" x14ac:dyDescent="0.2">
      <c r="B282" s="60" t="s">
        <v>3901</v>
      </c>
      <c r="C282" s="506" t="s">
        <v>620</v>
      </c>
      <c r="D282" s="166" t="s">
        <v>153</v>
      </c>
      <c r="E282" s="154"/>
      <c r="F282" s="154"/>
      <c r="G282" s="154"/>
      <c r="H282" s="154"/>
      <c r="I282" s="251">
        <f t="shared" si="17"/>
        <v>0</v>
      </c>
      <c r="J282" s="154"/>
      <c r="K282" s="154"/>
      <c r="L282" s="154"/>
      <c r="M282" s="154"/>
      <c r="N282" s="252">
        <f t="shared" si="18"/>
        <v>0</v>
      </c>
    </row>
    <row r="283" spans="2:14" s="167" customFormat="1" ht="15" customHeight="1" outlineLevel="1" x14ac:dyDescent="0.2">
      <c r="B283" s="60" t="s">
        <v>3902</v>
      </c>
      <c r="C283" s="506" t="s">
        <v>621</v>
      </c>
      <c r="D283" s="166" t="s">
        <v>153</v>
      </c>
      <c r="E283" s="154"/>
      <c r="F283" s="154"/>
      <c r="G283" s="154"/>
      <c r="H283" s="154"/>
      <c r="I283" s="251">
        <f t="shared" si="17"/>
        <v>0</v>
      </c>
      <c r="J283" s="154"/>
      <c r="K283" s="154"/>
      <c r="L283" s="154"/>
      <c r="M283" s="154"/>
      <c r="N283" s="252">
        <f t="shared" si="18"/>
        <v>0</v>
      </c>
    </row>
    <row r="284" spans="2:14" s="167" customFormat="1" ht="15" customHeight="1" outlineLevel="1" x14ac:dyDescent="0.2">
      <c r="B284" s="60" t="s">
        <v>3903</v>
      </c>
      <c r="C284" s="506" t="s">
        <v>622</v>
      </c>
      <c r="D284" s="166" t="s">
        <v>153</v>
      </c>
      <c r="E284" s="154"/>
      <c r="F284" s="154"/>
      <c r="G284" s="154"/>
      <c r="H284" s="154"/>
      <c r="I284" s="251">
        <f t="shared" si="17"/>
        <v>0</v>
      </c>
      <c r="J284" s="154"/>
      <c r="K284" s="154"/>
      <c r="L284" s="154"/>
      <c r="M284" s="154"/>
      <c r="N284" s="252">
        <f t="shared" si="18"/>
        <v>0</v>
      </c>
    </row>
    <row r="285" spans="2:14" s="167" customFormat="1" ht="15" customHeight="1" outlineLevel="1" x14ac:dyDescent="0.2">
      <c r="B285" s="60" t="s">
        <v>3904</v>
      </c>
      <c r="C285" s="506" t="s">
        <v>623</v>
      </c>
      <c r="D285" s="166" t="s">
        <v>153</v>
      </c>
      <c r="E285" s="154"/>
      <c r="F285" s="154"/>
      <c r="G285" s="154"/>
      <c r="H285" s="154"/>
      <c r="I285" s="251">
        <f t="shared" si="17"/>
        <v>0</v>
      </c>
      <c r="J285" s="154"/>
      <c r="K285" s="154"/>
      <c r="L285" s="154"/>
      <c r="M285" s="154"/>
      <c r="N285" s="252">
        <f t="shared" si="18"/>
        <v>0</v>
      </c>
    </row>
    <row r="286" spans="2:14" s="142" customFormat="1" ht="15" customHeight="1" thickBot="1" x14ac:dyDescent="0.25">
      <c r="B286" s="491" t="s">
        <v>3905</v>
      </c>
      <c r="C286" s="812" t="s">
        <v>1226</v>
      </c>
      <c r="D286" s="813"/>
      <c r="E286" s="241">
        <f>E9+E136+E263</f>
        <v>0</v>
      </c>
      <c r="F286" s="241">
        <f t="shared" ref="F286:N286" si="20">F9+F136+F263</f>
        <v>0</v>
      </c>
      <c r="G286" s="241">
        <f t="shared" si="20"/>
        <v>0</v>
      </c>
      <c r="H286" s="241">
        <f t="shared" si="20"/>
        <v>0</v>
      </c>
      <c r="I286" s="241">
        <f t="shared" si="20"/>
        <v>0</v>
      </c>
      <c r="J286" s="241">
        <f t="shared" si="20"/>
        <v>0</v>
      </c>
      <c r="K286" s="241">
        <f t="shared" si="20"/>
        <v>0</v>
      </c>
      <c r="L286" s="241">
        <f t="shared" si="20"/>
        <v>0</v>
      </c>
      <c r="M286" s="241">
        <f t="shared" si="20"/>
        <v>0</v>
      </c>
      <c r="N286" s="242">
        <f t="shared" si="20"/>
        <v>0</v>
      </c>
    </row>
    <row r="287" spans="2:14" s="134" customFormat="1" ht="15" customHeight="1" x14ac:dyDescent="0.2">
      <c r="C287" s="20"/>
    </row>
    <row r="288" spans="2:14" s="134" customFormat="1" ht="15" customHeight="1" x14ac:dyDescent="0.2">
      <c r="C288" s="20"/>
    </row>
    <row r="289" spans="3:15" s="134" customFormat="1" x14ac:dyDescent="0.3">
      <c r="C289" s="782"/>
      <c r="D289" s="782"/>
      <c r="E289" s="782"/>
      <c r="F289" s="782"/>
      <c r="O289" s="30"/>
    </row>
    <row r="290" spans="3:15" s="134" customFormat="1" x14ac:dyDescent="0.2">
      <c r="C290" s="785"/>
      <c r="D290" s="785"/>
      <c r="E290" s="785"/>
      <c r="F290" s="785"/>
    </row>
    <row r="291" spans="3:15" s="134" customFormat="1" x14ac:dyDescent="0.3">
      <c r="C291" s="782"/>
      <c r="D291" s="782"/>
      <c r="E291" s="782"/>
      <c r="F291" s="782"/>
    </row>
    <row r="292" spans="3:15" s="134" customFormat="1" x14ac:dyDescent="0.2">
      <c r="C292" s="785"/>
      <c r="D292" s="785"/>
      <c r="E292" s="785"/>
      <c r="F292" s="785"/>
    </row>
    <row r="293" spans="3:15" s="134" customFormat="1" x14ac:dyDescent="0.3">
      <c r="C293" s="782"/>
      <c r="D293" s="782"/>
      <c r="E293" s="782"/>
      <c r="F293" s="782"/>
    </row>
    <row r="294" spans="3:15" s="134" customFormat="1" x14ac:dyDescent="0.2">
      <c r="C294" s="785"/>
      <c r="D294" s="785"/>
      <c r="E294" s="785"/>
      <c r="F294" s="785"/>
    </row>
    <row r="295" spans="3:15" x14ac:dyDescent="0.3">
      <c r="C295" s="5"/>
      <c r="D295" s="11"/>
      <c r="F295" s="11"/>
      <c r="G295" s="11"/>
      <c r="H295" s="11"/>
      <c r="I295" s="11"/>
      <c r="J295" s="11"/>
      <c r="K295" s="11"/>
      <c r="L295" s="11"/>
    </row>
  </sheetData>
  <customSheetViews>
    <customSheetView guid="{F18E25A1-ACAC-4BA2-9084-15C64EADD71F}" topLeftCell="A4">
      <selection activeCell="B28" sqref="B28"/>
      <pageMargins left="0.44" right="0.32" top="0.33" bottom="0.4" header="0.33" footer="0.4"/>
      <pageSetup paperSize="9" scale="69" fitToWidth="2" orientation="landscape" horizontalDpi="300" verticalDpi="300" r:id="rId1"/>
      <headerFooter alignWithMargins="0"/>
    </customSheetView>
    <customSheetView guid="{42441662-3193-455A-AAAC-E0697E2ED236}" showPageBreaks="1">
      <selection activeCell="C48" sqref="C48"/>
      <pageMargins left="0.44" right="0.32" top="0.33" bottom="0.4" header="0.33" footer="0.4"/>
      <pageSetup paperSize="9" scale="69" fitToWidth="2" orientation="landscape" horizontalDpi="300" verticalDpi="300" r:id="rId2"/>
      <headerFooter alignWithMargins="0"/>
    </customSheetView>
    <customSheetView guid="{AB1DC9E9-A3E4-4BE0-8A49-B02D340E9D12}" topLeftCell="C1">
      <selection activeCell="B5" sqref="B5"/>
      <pageMargins left="0.44" right="0.32" top="0.33" bottom="0.4" header="0.33" footer="0.4"/>
      <pageSetup paperSize="9" scale="69" fitToWidth="2" orientation="landscape" horizontalDpi="300" verticalDpi="300" r:id="rId3"/>
      <headerFooter alignWithMargins="0"/>
    </customSheetView>
    <customSheetView guid="{BC7A4191-54CC-4009-AB21-42ED557A5091}" showPageBreaks="1" showRuler="0" topLeftCell="C1">
      <selection activeCell="C1" sqref="C1"/>
      <pageMargins left="0.44" right="0.32" top="0.33" bottom="0.4" header="0.33" footer="0.4"/>
      <pageSetup paperSize="9" scale="69" fitToWidth="2" orientation="landscape" horizontalDpi="300" verticalDpi="300" r:id="rId4"/>
      <headerFooter alignWithMargins="0"/>
    </customSheetView>
  </customSheetViews>
  <mergeCells count="17">
    <mergeCell ref="C292:F292"/>
    <mergeCell ref="C293:F293"/>
    <mergeCell ref="C294:F294"/>
    <mergeCell ref="D4:N4"/>
    <mergeCell ref="J6:N6"/>
    <mergeCell ref="C289:F289"/>
    <mergeCell ref="C286:D286"/>
    <mergeCell ref="C290:F290"/>
    <mergeCell ref="C291:F291"/>
    <mergeCell ref="B1:C1"/>
    <mergeCell ref="M5:N5"/>
    <mergeCell ref="M1:N1"/>
    <mergeCell ref="B2:N2"/>
    <mergeCell ref="B6:B7"/>
    <mergeCell ref="E6:I6"/>
    <mergeCell ref="C6:C7"/>
    <mergeCell ref="D6:D7"/>
  </mergeCells>
  <phoneticPr fontId="3" type="noConversion"/>
  <pageMargins left="0.23" right="0.16" top="0.26" bottom="0.2" header="0.17" footer="0.17"/>
  <pageSetup paperSize="9" scale="81" fitToWidth="2" orientation="landscape" horizontalDpi="300" verticalDpi="300" r:id="rId5"/>
  <headerFooter alignWithMargins="0"/>
  <ignoredErrors>
    <ignoredError sqref="I10:N275 J276:M285" formula="1"/>
    <ignoredError sqref="B9:B286"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B1:M35"/>
  <sheetViews>
    <sheetView showGridLines="0" zoomScale="90" zoomScaleNormal="90" workbookViewId="0">
      <pane ySplit="6" topLeftCell="A7" activePane="bottomLeft" state="frozen"/>
      <selection activeCell="C120" sqref="C120"/>
      <selection pane="bottomLeft" activeCell="K17" sqref="K17"/>
    </sheetView>
  </sheetViews>
  <sheetFormatPr defaultColWidth="9.140625" defaultRowHeight="15" x14ac:dyDescent="0.3"/>
  <cols>
    <col min="1" max="1" width="2" style="5" customWidth="1"/>
    <col min="2" max="2" width="11.28515625" style="5" customWidth="1"/>
    <col min="3" max="3" width="5.85546875" style="5" customWidth="1"/>
    <col min="4" max="4" width="62.7109375" style="5" customWidth="1"/>
    <col min="5" max="6" width="16.140625" style="5" customWidth="1"/>
    <col min="7" max="16384" width="9.140625" style="5"/>
  </cols>
  <sheetData>
    <row r="1" spans="2:13" ht="15" customHeight="1" x14ac:dyDescent="0.3">
      <c r="B1" s="799" t="s">
        <v>315</v>
      </c>
      <c r="C1" s="799"/>
      <c r="D1" s="42"/>
      <c r="E1" s="791" t="s">
        <v>1228</v>
      </c>
      <c r="F1" s="791"/>
      <c r="G1" s="18"/>
      <c r="H1" s="18"/>
    </row>
    <row r="2" spans="2:13" ht="15" customHeight="1" x14ac:dyDescent="0.3">
      <c r="B2" s="799" t="s">
        <v>1209</v>
      </c>
      <c r="C2" s="799"/>
      <c r="D2" s="799"/>
      <c r="E2" s="799"/>
      <c r="F2" s="799"/>
    </row>
    <row r="3" spans="2:13" ht="15" customHeight="1" x14ac:dyDescent="0.3">
      <c r="C3" s="6"/>
    </row>
    <row r="4" spans="2:13" s="76" customFormat="1" ht="15" customHeight="1" x14ac:dyDescent="0.35">
      <c r="B4" s="90"/>
      <c r="D4" s="815" t="s">
        <v>129</v>
      </c>
      <c r="E4" s="815"/>
      <c r="F4" s="815"/>
    </row>
    <row r="5" spans="2:13" ht="15" customHeight="1" thickBot="1" x14ac:dyDescent="0.35">
      <c r="E5" s="802" t="s">
        <v>323</v>
      </c>
      <c r="F5" s="802"/>
    </row>
    <row r="6" spans="2:13" s="54" customFormat="1" ht="45.75" thickBot="1" x14ac:dyDescent="0.25">
      <c r="B6" s="481" t="s">
        <v>4627</v>
      </c>
      <c r="C6" s="492" t="s">
        <v>1211</v>
      </c>
      <c r="D6" s="415"/>
      <c r="E6" s="416" t="s">
        <v>322</v>
      </c>
      <c r="F6" s="417" t="s">
        <v>333</v>
      </c>
    </row>
    <row r="7" spans="2:13" s="4" customFormat="1" ht="9" customHeight="1" x14ac:dyDescent="0.3">
      <c r="C7" s="139"/>
      <c r="D7" s="79"/>
      <c r="E7" s="53"/>
      <c r="F7" s="53"/>
    </row>
    <row r="8" spans="2:13" s="30" customFormat="1" ht="15" customHeight="1" x14ac:dyDescent="0.2">
      <c r="C8" s="870" t="s">
        <v>1198</v>
      </c>
      <c r="D8" s="870"/>
      <c r="E8" s="870"/>
      <c r="F8" s="870"/>
    </row>
    <row r="9" spans="2:13" s="4" customFormat="1" ht="9" customHeight="1" thickBot="1" x14ac:dyDescent="0.35">
      <c r="C9" s="139"/>
      <c r="D9" s="79"/>
      <c r="E9" s="53"/>
      <c r="F9" s="53"/>
    </row>
    <row r="10" spans="2:13" s="10" customFormat="1" ht="15" customHeight="1" x14ac:dyDescent="0.3">
      <c r="B10" s="418" t="s">
        <v>3628</v>
      </c>
      <c r="C10" s="542">
        <v>1</v>
      </c>
      <c r="D10" s="493" t="s">
        <v>134</v>
      </c>
      <c r="E10" s="528"/>
      <c r="F10" s="529"/>
      <c r="H10" s="4"/>
    </row>
    <row r="11" spans="2:13" s="10" customFormat="1" ht="15" customHeight="1" x14ac:dyDescent="0.3">
      <c r="B11" s="60" t="s">
        <v>3629</v>
      </c>
      <c r="C11" s="499">
        <v>2</v>
      </c>
      <c r="D11" s="131" t="s">
        <v>131</v>
      </c>
      <c r="E11" s="191"/>
      <c r="F11" s="192"/>
      <c r="H11" s="4"/>
    </row>
    <row r="12" spans="2:13" s="10" customFormat="1" ht="15" customHeight="1" x14ac:dyDescent="0.3">
      <c r="B12" s="60" t="s">
        <v>3630</v>
      </c>
      <c r="C12" s="499">
        <v>3</v>
      </c>
      <c r="D12" s="131" t="s">
        <v>136</v>
      </c>
      <c r="E12" s="191"/>
      <c r="F12" s="192"/>
      <c r="H12" s="4"/>
    </row>
    <row r="13" spans="2:13" s="10" customFormat="1" ht="15" customHeight="1" x14ac:dyDescent="0.3">
      <c r="B13" s="60" t="s">
        <v>3631</v>
      </c>
      <c r="C13" s="499">
        <v>4</v>
      </c>
      <c r="D13" s="195" t="s">
        <v>137</v>
      </c>
      <c r="E13" s="191"/>
      <c r="F13" s="192"/>
      <c r="H13" s="4"/>
    </row>
    <row r="14" spans="2:13" s="10" customFormat="1" ht="15" customHeight="1" x14ac:dyDescent="0.3">
      <c r="B14" s="60" t="s">
        <v>3632</v>
      </c>
      <c r="C14" s="499">
        <v>5</v>
      </c>
      <c r="D14" s="195" t="s">
        <v>132</v>
      </c>
      <c r="E14" s="191"/>
      <c r="F14" s="192"/>
      <c r="H14" s="4"/>
    </row>
    <row r="15" spans="2:13" s="146" customFormat="1" ht="29.25" customHeight="1" x14ac:dyDescent="0.2">
      <c r="B15" s="60" t="s">
        <v>3633</v>
      </c>
      <c r="C15" s="545">
        <v>6</v>
      </c>
      <c r="D15" s="646" t="s">
        <v>4679</v>
      </c>
      <c r="E15" s="647">
        <f>E10+E11+E12-E13-E14</f>
        <v>0</v>
      </c>
      <c r="F15" s="648">
        <f>F10+F11+F12-F13-F14</f>
        <v>0</v>
      </c>
      <c r="G15" s="93"/>
      <c r="H15" s="93"/>
      <c r="I15" s="93"/>
      <c r="J15" s="93"/>
      <c r="K15" s="93"/>
      <c r="L15" s="93"/>
      <c r="M15" s="93"/>
    </row>
    <row r="16" spans="2:13" s="10" customFormat="1" ht="15" customHeight="1" x14ac:dyDescent="0.3">
      <c r="B16" s="60" t="s">
        <v>3634</v>
      </c>
      <c r="C16" s="499">
        <v>7</v>
      </c>
      <c r="D16" s="195" t="s">
        <v>3320</v>
      </c>
      <c r="E16" s="191"/>
      <c r="F16" s="192"/>
      <c r="G16" s="4"/>
      <c r="H16" s="4"/>
      <c r="I16" s="4"/>
      <c r="J16" s="4"/>
      <c r="K16" s="4"/>
      <c r="L16" s="4"/>
      <c r="M16" s="4"/>
    </row>
    <row r="17" spans="2:11" s="10" customFormat="1" ht="15" customHeight="1" x14ac:dyDescent="0.3">
      <c r="B17" s="60" t="s">
        <v>3635</v>
      </c>
      <c r="C17" s="499">
        <v>8</v>
      </c>
      <c r="D17" s="195" t="s">
        <v>135</v>
      </c>
      <c r="E17" s="191"/>
      <c r="F17" s="192"/>
      <c r="G17" s="4"/>
      <c r="H17" s="4"/>
    </row>
    <row r="18" spans="2:11" s="10" customFormat="1" ht="15" customHeight="1" x14ac:dyDescent="0.3">
      <c r="B18" s="60" t="s">
        <v>3636</v>
      </c>
      <c r="C18" s="499">
        <v>9</v>
      </c>
      <c r="D18" s="195" t="s">
        <v>133</v>
      </c>
      <c r="E18" s="191"/>
      <c r="F18" s="192"/>
      <c r="H18" s="4"/>
    </row>
    <row r="19" spans="2:11" s="10" customFormat="1" ht="15" customHeight="1" x14ac:dyDescent="0.3">
      <c r="B19" s="60" t="s">
        <v>3637</v>
      </c>
      <c r="C19" s="499">
        <v>10</v>
      </c>
      <c r="D19" s="195" t="s">
        <v>130</v>
      </c>
      <c r="E19" s="191"/>
      <c r="F19" s="192"/>
      <c r="H19" s="4"/>
    </row>
    <row r="20" spans="2:11" s="4" customFormat="1" ht="15" customHeight="1" x14ac:dyDescent="0.3">
      <c r="B20" s="60" t="s">
        <v>3638</v>
      </c>
      <c r="C20" s="499">
        <v>11</v>
      </c>
      <c r="D20" s="195" t="s">
        <v>139</v>
      </c>
      <c r="E20" s="191"/>
      <c r="F20" s="192"/>
    </row>
    <row r="21" spans="2:11" s="4" customFormat="1" ht="15" customHeight="1" x14ac:dyDescent="0.3">
      <c r="B21" s="60" t="s">
        <v>3639</v>
      </c>
      <c r="C21" s="546">
        <v>12</v>
      </c>
      <c r="D21" s="195" t="s">
        <v>138</v>
      </c>
      <c r="E21" s="191"/>
      <c r="F21" s="192"/>
    </row>
    <row r="22" spans="2:11" s="145" customFormat="1" ht="31.5" customHeight="1" thickBot="1" x14ac:dyDescent="0.25">
      <c r="B22" s="491" t="s">
        <v>3640</v>
      </c>
      <c r="C22" s="547">
        <v>13</v>
      </c>
      <c r="D22" s="626" t="s">
        <v>4651</v>
      </c>
      <c r="E22" s="241">
        <f>E15+E16-E17-E18-E19-E20+E21</f>
        <v>0</v>
      </c>
      <c r="F22" s="242">
        <f>F15+F16-F17-F18-F19-F20+F21</f>
        <v>0</v>
      </c>
      <c r="G22" s="132"/>
      <c r="H22" s="132"/>
    </row>
    <row r="23" spans="2:11" s="11" customFormat="1" x14ac:dyDescent="0.3"/>
    <row r="24" spans="2:11" s="30" customFormat="1" ht="15" customHeight="1" x14ac:dyDescent="0.2">
      <c r="C24" s="870" t="s">
        <v>1199</v>
      </c>
      <c r="D24" s="870"/>
      <c r="E24" s="870"/>
      <c r="F24" s="870"/>
    </row>
    <row r="25" spans="2:11" ht="15.75" thickBot="1" x14ac:dyDescent="0.35"/>
    <row r="26" spans="2:11" s="10" customFormat="1" ht="15" customHeight="1" x14ac:dyDescent="0.3">
      <c r="B26" s="418" t="s">
        <v>3641</v>
      </c>
      <c r="C26" s="548">
        <v>14</v>
      </c>
      <c r="D26" s="493" t="s">
        <v>134</v>
      </c>
      <c r="E26" s="528"/>
      <c r="F26" s="529"/>
      <c r="H26" s="4"/>
    </row>
    <row r="27" spans="2:11" s="145" customFormat="1" ht="15" customHeight="1" thickBot="1" x14ac:dyDescent="0.25">
      <c r="B27" s="491" t="s">
        <v>3642</v>
      </c>
      <c r="C27" s="547">
        <v>15</v>
      </c>
      <c r="D27" s="313" t="s">
        <v>2851</v>
      </c>
      <c r="E27" s="241"/>
      <c r="F27" s="242"/>
      <c r="G27" s="132"/>
      <c r="H27" s="132"/>
    </row>
    <row r="28" spans="2:11" s="132" customFormat="1" ht="15" customHeight="1" x14ac:dyDescent="0.2">
      <c r="C28" s="17"/>
      <c r="D28" s="17"/>
      <c r="E28" s="203"/>
      <c r="F28" s="203"/>
    </row>
    <row r="29" spans="2:11" s="132" customFormat="1" ht="15" customHeight="1" x14ac:dyDescent="0.2">
      <c r="C29" s="17"/>
      <c r="D29" s="17"/>
      <c r="E29" s="203"/>
      <c r="F29" s="203"/>
    </row>
    <row r="30" spans="2:11" x14ac:dyDescent="0.3">
      <c r="C30" s="782"/>
      <c r="D30" s="782"/>
      <c r="E30" s="782"/>
      <c r="F30" s="782"/>
      <c r="G30" s="11"/>
      <c r="H30" s="11"/>
      <c r="I30" s="11"/>
      <c r="J30" s="11"/>
      <c r="K30" s="11"/>
    </row>
    <row r="31" spans="2:11" x14ac:dyDescent="0.3">
      <c r="C31" s="785"/>
      <c r="D31" s="785"/>
      <c r="E31" s="785"/>
      <c r="F31" s="785"/>
    </row>
    <row r="32" spans="2:11" x14ac:dyDescent="0.3">
      <c r="C32" s="782"/>
      <c r="D32" s="782"/>
      <c r="E32" s="782"/>
      <c r="F32" s="782"/>
    </row>
    <row r="33" spans="3:6" x14ac:dyDescent="0.3">
      <c r="C33" s="785"/>
      <c r="D33" s="785"/>
      <c r="E33" s="785"/>
      <c r="F33" s="785"/>
    </row>
    <row r="34" spans="3:6" x14ac:dyDescent="0.3">
      <c r="C34" s="782"/>
      <c r="D34" s="782"/>
      <c r="E34" s="782"/>
      <c r="F34" s="782"/>
    </row>
    <row r="35" spans="3:6" x14ac:dyDescent="0.3">
      <c r="C35" s="785"/>
      <c r="D35" s="785"/>
      <c r="E35" s="785"/>
      <c r="F35" s="785"/>
    </row>
  </sheetData>
  <customSheetViews>
    <customSheetView guid="{F18E25A1-ACAC-4BA2-9084-15C64EADD71F}" fitToPage="1">
      <selection activeCell="B10" sqref="B10"/>
      <pageMargins left="0.33" right="0.39" top="0.64" bottom="1" header="0.5" footer="0.5"/>
      <pageSetup paperSize="9" scale="93" fitToHeight="2" orientation="portrait" horizontalDpi="300" verticalDpi="300" r:id="rId1"/>
      <headerFooter alignWithMargins="0"/>
    </customSheetView>
    <customSheetView guid="{42441662-3193-455A-AAAC-E0697E2ED236}" showPageBreaks="1" fitToPage="1">
      <selection activeCell="C1" sqref="C1"/>
      <pageMargins left="0.33" right="0.39" top="0.64" bottom="1" header="0.5" footer="0.5"/>
      <pageSetup paperSize="9" scale="93" fitToHeight="2" orientation="portrait" horizontalDpi="300" verticalDpi="300" r:id="rId2"/>
      <headerFooter alignWithMargins="0"/>
    </customSheetView>
    <customSheetView guid="{AB1DC9E9-A3E4-4BE0-8A49-B02D340E9D12}" fitToPage="1" topLeftCell="A7">
      <selection activeCell="B5" sqref="B5"/>
      <pageMargins left="0.33" right="0.39" top="0.64" bottom="1" header="0.5" footer="0.5"/>
      <pageSetup paperSize="9" scale="93" fitToHeight="2" orientation="portrait" horizontalDpi="300" verticalDpi="300" r:id="rId3"/>
      <headerFooter alignWithMargins="0"/>
    </customSheetView>
    <customSheetView guid="{BC7A4191-54CC-4009-AB21-42ED557A5091}" showPageBreaks="1" fitToPage="1" showRuler="0" topLeftCell="A7">
      <selection activeCell="C1" sqref="C1"/>
      <pageMargins left="0.33" right="0.39" top="0.64" bottom="1" header="0.5" footer="0.5"/>
      <pageSetup paperSize="9" scale="93" fitToHeight="2" orientation="portrait" horizontalDpi="300" verticalDpi="300" r:id="rId4"/>
      <headerFooter alignWithMargins="0"/>
    </customSheetView>
  </customSheetViews>
  <mergeCells count="13">
    <mergeCell ref="C35:F35"/>
    <mergeCell ref="B1:C1"/>
    <mergeCell ref="E1:F1"/>
    <mergeCell ref="E5:F5"/>
    <mergeCell ref="D4:F4"/>
    <mergeCell ref="C8:F8"/>
    <mergeCell ref="C24:F24"/>
    <mergeCell ref="B2:F2"/>
    <mergeCell ref="C30:F30"/>
    <mergeCell ref="C31:F31"/>
    <mergeCell ref="C32:F32"/>
    <mergeCell ref="C33:F33"/>
    <mergeCell ref="C34:F34"/>
  </mergeCells>
  <phoneticPr fontId="3" type="noConversion"/>
  <printOptions horizontalCentered="1"/>
  <pageMargins left="0.2" right="0.2" top="0.26" bottom="0.2" header="0.17" footer="0.17"/>
  <pageSetup paperSize="9" scale="91" fitToHeight="2" orientation="portrait" horizontalDpi="300" verticalDpi="300" r:id="rId5"/>
  <headerFooter alignWithMargins="0"/>
  <ignoredErrors>
    <ignoredError sqref="B10:B22"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ummaryRight="0"/>
  </sheetPr>
  <dimension ref="B1:G658"/>
  <sheetViews>
    <sheetView showGridLines="0" zoomScale="90" zoomScaleNormal="90" workbookViewId="0">
      <pane ySplit="6" topLeftCell="A7" activePane="bottomLeft" state="frozen"/>
      <selection activeCell="C120" sqref="C120"/>
      <selection pane="bottomLeft" activeCell="J14" sqref="J14"/>
    </sheetView>
  </sheetViews>
  <sheetFormatPr defaultColWidth="9.140625" defaultRowHeight="15" outlineLevelRow="1" x14ac:dyDescent="0.2"/>
  <cols>
    <col min="1" max="1" width="2.140625" style="134" customWidth="1"/>
    <col min="2" max="2" width="8" style="134" customWidth="1"/>
    <col min="3" max="3" width="5.7109375" style="20" customWidth="1"/>
    <col min="4" max="4" width="71" style="134" customWidth="1"/>
    <col min="5" max="6" width="14.85546875" style="134" customWidth="1"/>
    <col min="7" max="16384" width="9.140625" style="134"/>
  </cols>
  <sheetData>
    <row r="1" spans="2:6" x14ac:dyDescent="0.2">
      <c r="B1" s="831" t="s">
        <v>315</v>
      </c>
      <c r="C1" s="831"/>
      <c r="D1" s="157"/>
      <c r="E1" s="832" t="s">
        <v>1231</v>
      </c>
      <c r="F1" s="832"/>
    </row>
    <row r="2" spans="2:6" x14ac:dyDescent="0.2">
      <c r="B2" s="831" t="s">
        <v>1209</v>
      </c>
      <c r="C2" s="831"/>
      <c r="D2" s="831"/>
      <c r="E2" s="831"/>
      <c r="F2" s="831"/>
    </row>
    <row r="3" spans="2:6" x14ac:dyDescent="0.2">
      <c r="C3" s="19"/>
      <c r="E3" s="200"/>
      <c r="F3" s="200"/>
    </row>
    <row r="4" spans="2:6" s="51" customFormat="1" ht="15" customHeight="1" x14ac:dyDescent="0.2">
      <c r="B4" s="90"/>
      <c r="D4" s="871" t="s">
        <v>3339</v>
      </c>
      <c r="E4" s="871"/>
      <c r="F4" s="871"/>
    </row>
    <row r="5" spans="2:6" ht="14.25" customHeight="1" thickBot="1" x14ac:dyDescent="0.25">
      <c r="C5" s="26"/>
      <c r="D5" s="145"/>
      <c r="E5" s="844" t="s">
        <v>323</v>
      </c>
      <c r="F5" s="844"/>
    </row>
    <row r="6" spans="2:6" s="54" customFormat="1" ht="45" customHeight="1" thickBot="1" x14ac:dyDescent="0.25">
      <c r="B6" s="481" t="s">
        <v>4627</v>
      </c>
      <c r="C6" s="492" t="s">
        <v>1211</v>
      </c>
      <c r="D6" s="415"/>
      <c r="E6" s="416" t="s">
        <v>322</v>
      </c>
      <c r="F6" s="417" t="s">
        <v>333</v>
      </c>
    </row>
    <row r="7" spans="2:6" s="30" customFormat="1" ht="9" customHeight="1" x14ac:dyDescent="0.2">
      <c r="C7" s="78"/>
      <c r="D7" s="79"/>
      <c r="E7" s="53"/>
      <c r="F7" s="53"/>
    </row>
    <row r="8" spans="2:6" s="30" customFormat="1" ht="15" customHeight="1" x14ac:dyDescent="0.2">
      <c r="C8" s="814" t="s">
        <v>3333</v>
      </c>
      <c r="D8" s="814"/>
      <c r="E8" s="814"/>
      <c r="F8" s="814"/>
    </row>
    <row r="9" spans="2:6" s="30" customFormat="1" ht="9" customHeight="1" thickBot="1" x14ac:dyDescent="0.25">
      <c r="C9" s="78"/>
      <c r="D9" s="79"/>
      <c r="E9" s="53"/>
      <c r="F9" s="53"/>
    </row>
    <row r="10" spans="2:6" s="132" customFormat="1" ht="15" customHeight="1" collapsed="1" x14ac:dyDescent="0.2">
      <c r="B10" s="418" t="s">
        <v>3628</v>
      </c>
      <c r="C10" s="406">
        <v>1</v>
      </c>
      <c r="D10" s="503" t="s">
        <v>120</v>
      </c>
      <c r="E10" s="504">
        <f>E11+E32+E53+E74+E95+E116</f>
        <v>0</v>
      </c>
      <c r="F10" s="508">
        <f>F11+F32+F53+F74+F95+F116</f>
        <v>0</v>
      </c>
    </row>
    <row r="11" spans="2:6" s="79" customFormat="1" ht="15" customHeight="1" x14ac:dyDescent="0.2">
      <c r="B11" s="60" t="s">
        <v>3629</v>
      </c>
      <c r="C11" s="425">
        <v>1.1000000000000001</v>
      </c>
      <c r="D11" s="131" t="s">
        <v>121</v>
      </c>
      <c r="E11" s="91">
        <f>SUM(E12:E31)</f>
        <v>0</v>
      </c>
      <c r="F11" s="92">
        <f>SUM(F12:F31)</f>
        <v>0</v>
      </c>
    </row>
    <row r="12" spans="2:6" s="148" customFormat="1" ht="15" customHeight="1" outlineLevel="1" x14ac:dyDescent="0.2">
      <c r="B12" s="60" t="s">
        <v>3630</v>
      </c>
      <c r="C12" s="549" t="s">
        <v>446</v>
      </c>
      <c r="D12" s="151" t="s">
        <v>4693</v>
      </c>
      <c r="E12" s="154"/>
      <c r="F12" s="175"/>
    </row>
    <row r="13" spans="2:6" s="148" customFormat="1" ht="15" customHeight="1" outlineLevel="1" x14ac:dyDescent="0.2">
      <c r="B13" s="60" t="s">
        <v>3631</v>
      </c>
      <c r="C13" s="549" t="s">
        <v>447</v>
      </c>
      <c r="D13" s="151" t="s">
        <v>4693</v>
      </c>
      <c r="E13" s="154"/>
      <c r="F13" s="175"/>
    </row>
    <row r="14" spans="2:6" s="148" customFormat="1" ht="15" customHeight="1" outlineLevel="1" x14ac:dyDescent="0.2">
      <c r="B14" s="60" t="s">
        <v>3632</v>
      </c>
      <c r="C14" s="549" t="s">
        <v>456</v>
      </c>
      <c r="D14" s="151" t="s">
        <v>4693</v>
      </c>
      <c r="E14" s="154"/>
      <c r="F14" s="175"/>
    </row>
    <row r="15" spans="2:6" s="148" customFormat="1" ht="15" customHeight="1" outlineLevel="1" x14ac:dyDescent="0.2">
      <c r="B15" s="60" t="s">
        <v>3633</v>
      </c>
      <c r="C15" s="549" t="s">
        <v>528</v>
      </c>
      <c r="D15" s="151" t="s">
        <v>4693</v>
      </c>
      <c r="E15" s="154"/>
      <c r="F15" s="175"/>
    </row>
    <row r="16" spans="2:6" s="148" customFormat="1" ht="15" customHeight="1" outlineLevel="1" x14ac:dyDescent="0.2">
      <c r="B16" s="60" t="s">
        <v>3634</v>
      </c>
      <c r="C16" s="549" t="s">
        <v>529</v>
      </c>
      <c r="D16" s="151" t="s">
        <v>4693</v>
      </c>
      <c r="E16" s="154"/>
      <c r="F16" s="175"/>
    </row>
    <row r="17" spans="2:6" s="148" customFormat="1" ht="15" customHeight="1" outlineLevel="1" x14ac:dyDescent="0.2">
      <c r="B17" s="60" t="s">
        <v>3635</v>
      </c>
      <c r="C17" s="549" t="s">
        <v>530</v>
      </c>
      <c r="D17" s="151" t="s">
        <v>4693</v>
      </c>
      <c r="E17" s="154"/>
      <c r="F17" s="175"/>
    </row>
    <row r="18" spans="2:6" s="148" customFormat="1" ht="15" customHeight="1" outlineLevel="1" x14ac:dyDescent="0.2">
      <c r="B18" s="60" t="s">
        <v>3636</v>
      </c>
      <c r="C18" s="549" t="s">
        <v>531</v>
      </c>
      <c r="D18" s="151" t="s">
        <v>4693</v>
      </c>
      <c r="E18" s="154"/>
      <c r="F18" s="175"/>
    </row>
    <row r="19" spans="2:6" s="148" customFormat="1" ht="15" customHeight="1" outlineLevel="1" x14ac:dyDescent="0.2">
      <c r="B19" s="60" t="s">
        <v>3637</v>
      </c>
      <c r="C19" s="549" t="s">
        <v>532</v>
      </c>
      <c r="D19" s="151" t="s">
        <v>4693</v>
      </c>
      <c r="E19" s="154"/>
      <c r="F19" s="175"/>
    </row>
    <row r="20" spans="2:6" s="148" customFormat="1" ht="15" customHeight="1" outlineLevel="1" x14ac:dyDescent="0.2">
      <c r="B20" s="60" t="s">
        <v>3638</v>
      </c>
      <c r="C20" s="549" t="s">
        <v>533</v>
      </c>
      <c r="D20" s="151" t="s">
        <v>4693</v>
      </c>
      <c r="E20" s="154"/>
      <c r="F20" s="175"/>
    </row>
    <row r="21" spans="2:6" s="148" customFormat="1" ht="15" customHeight="1" outlineLevel="1" x14ac:dyDescent="0.2">
      <c r="B21" s="60" t="s">
        <v>3639</v>
      </c>
      <c r="C21" s="549" t="s">
        <v>534</v>
      </c>
      <c r="D21" s="151" t="s">
        <v>4693</v>
      </c>
      <c r="E21" s="154"/>
      <c r="F21" s="175"/>
    </row>
    <row r="22" spans="2:6" s="148" customFormat="1" ht="15" customHeight="1" outlineLevel="1" x14ac:dyDescent="0.2">
      <c r="B22" s="60" t="s">
        <v>3640</v>
      </c>
      <c r="C22" s="549" t="s">
        <v>535</v>
      </c>
      <c r="D22" s="151" t="s">
        <v>4693</v>
      </c>
      <c r="E22" s="154"/>
      <c r="F22" s="175"/>
    </row>
    <row r="23" spans="2:6" s="148" customFormat="1" ht="15" customHeight="1" outlineLevel="1" x14ac:dyDescent="0.2">
      <c r="B23" s="60" t="s">
        <v>3641</v>
      </c>
      <c r="C23" s="549" t="s">
        <v>536</v>
      </c>
      <c r="D23" s="151" t="s">
        <v>4693</v>
      </c>
      <c r="E23" s="154"/>
      <c r="F23" s="175"/>
    </row>
    <row r="24" spans="2:6" s="148" customFormat="1" ht="15" customHeight="1" outlineLevel="1" x14ac:dyDescent="0.2">
      <c r="B24" s="60" t="s">
        <v>3642</v>
      </c>
      <c r="C24" s="549" t="s">
        <v>537</v>
      </c>
      <c r="D24" s="151" t="s">
        <v>4693</v>
      </c>
      <c r="E24" s="154"/>
      <c r="F24" s="175"/>
    </row>
    <row r="25" spans="2:6" s="148" customFormat="1" ht="15" customHeight="1" outlineLevel="1" x14ac:dyDescent="0.2">
      <c r="B25" s="60" t="s">
        <v>3643</v>
      </c>
      <c r="C25" s="549" t="s">
        <v>538</v>
      </c>
      <c r="D25" s="151" t="s">
        <v>4693</v>
      </c>
      <c r="E25" s="154"/>
      <c r="F25" s="175"/>
    </row>
    <row r="26" spans="2:6" s="148" customFormat="1" ht="15" customHeight="1" outlineLevel="1" x14ac:dyDescent="0.2">
      <c r="B26" s="60" t="s">
        <v>3644</v>
      </c>
      <c r="C26" s="549" t="s">
        <v>539</v>
      </c>
      <c r="D26" s="151" t="s">
        <v>4693</v>
      </c>
      <c r="E26" s="154"/>
      <c r="F26" s="175"/>
    </row>
    <row r="27" spans="2:6" s="148" customFormat="1" ht="15" customHeight="1" outlineLevel="1" x14ac:dyDescent="0.2">
      <c r="B27" s="60" t="s">
        <v>3645</v>
      </c>
      <c r="C27" s="549" t="s">
        <v>540</v>
      </c>
      <c r="D27" s="151" t="s">
        <v>4693</v>
      </c>
      <c r="E27" s="154"/>
      <c r="F27" s="175"/>
    </row>
    <row r="28" spans="2:6" s="148" customFormat="1" ht="15" customHeight="1" outlineLevel="1" x14ac:dyDescent="0.2">
      <c r="B28" s="60" t="s">
        <v>3646</v>
      </c>
      <c r="C28" s="549" t="s">
        <v>541</v>
      </c>
      <c r="D28" s="151" t="s">
        <v>4693</v>
      </c>
      <c r="E28" s="154"/>
      <c r="F28" s="175"/>
    </row>
    <row r="29" spans="2:6" s="148" customFormat="1" ht="15" customHeight="1" outlineLevel="1" x14ac:dyDescent="0.2">
      <c r="B29" s="60" t="s">
        <v>3647</v>
      </c>
      <c r="C29" s="549" t="s">
        <v>542</v>
      </c>
      <c r="D29" s="151" t="s">
        <v>4693</v>
      </c>
      <c r="E29" s="154"/>
      <c r="F29" s="175"/>
    </row>
    <row r="30" spans="2:6" s="148" customFormat="1" ht="15" customHeight="1" outlineLevel="1" x14ac:dyDescent="0.2">
      <c r="B30" s="60" t="s">
        <v>3648</v>
      </c>
      <c r="C30" s="549" t="s">
        <v>543</v>
      </c>
      <c r="D30" s="151" t="s">
        <v>4693</v>
      </c>
      <c r="E30" s="154"/>
      <c r="F30" s="175"/>
    </row>
    <row r="31" spans="2:6" s="148" customFormat="1" ht="15" customHeight="1" outlineLevel="1" x14ac:dyDescent="0.2">
      <c r="B31" s="60" t="s">
        <v>3649</v>
      </c>
      <c r="C31" s="549" t="s">
        <v>544</v>
      </c>
      <c r="D31" s="151" t="s">
        <v>4693</v>
      </c>
      <c r="E31" s="154"/>
      <c r="F31" s="175"/>
    </row>
    <row r="32" spans="2:6" s="79" customFormat="1" ht="15" customHeight="1" x14ac:dyDescent="0.2">
      <c r="B32" s="60" t="s">
        <v>3650</v>
      </c>
      <c r="C32" s="425">
        <v>1.2</v>
      </c>
      <c r="D32" s="131" t="s">
        <v>4695</v>
      </c>
      <c r="E32" s="628">
        <f>SUM(E33:E52)</f>
        <v>0</v>
      </c>
      <c r="F32" s="92">
        <f>SUM(F33:F52)</f>
        <v>0</v>
      </c>
    </row>
    <row r="33" spans="2:6" s="148" customFormat="1" ht="15" customHeight="1" outlineLevel="1" x14ac:dyDescent="0.2">
      <c r="B33" s="60" t="s">
        <v>3651</v>
      </c>
      <c r="C33" s="549" t="s">
        <v>452</v>
      </c>
      <c r="D33" s="151" t="s">
        <v>4693</v>
      </c>
      <c r="E33" s="154"/>
      <c r="F33" s="175"/>
    </row>
    <row r="34" spans="2:6" s="148" customFormat="1" ht="15" customHeight="1" outlineLevel="1" x14ac:dyDescent="0.2">
      <c r="B34" s="60" t="s">
        <v>3652</v>
      </c>
      <c r="C34" s="549" t="s">
        <v>453</v>
      </c>
      <c r="D34" s="151" t="s">
        <v>4693</v>
      </c>
      <c r="E34" s="154"/>
      <c r="F34" s="175"/>
    </row>
    <row r="35" spans="2:6" s="148" customFormat="1" ht="15" customHeight="1" outlineLevel="1" x14ac:dyDescent="0.2">
      <c r="B35" s="60" t="s">
        <v>3653</v>
      </c>
      <c r="C35" s="549" t="s">
        <v>457</v>
      </c>
      <c r="D35" s="151" t="s">
        <v>4693</v>
      </c>
      <c r="E35" s="154"/>
      <c r="F35" s="175"/>
    </row>
    <row r="36" spans="2:6" s="148" customFormat="1" ht="15" customHeight="1" outlineLevel="1" x14ac:dyDescent="0.2">
      <c r="B36" s="60" t="s">
        <v>3654</v>
      </c>
      <c r="C36" s="549" t="s">
        <v>545</v>
      </c>
      <c r="D36" s="151" t="s">
        <v>4693</v>
      </c>
      <c r="E36" s="154"/>
      <c r="F36" s="175"/>
    </row>
    <row r="37" spans="2:6" s="148" customFormat="1" ht="15" customHeight="1" outlineLevel="1" x14ac:dyDescent="0.2">
      <c r="B37" s="60" t="s">
        <v>3655</v>
      </c>
      <c r="C37" s="549" t="s">
        <v>546</v>
      </c>
      <c r="D37" s="151" t="s">
        <v>4693</v>
      </c>
      <c r="E37" s="154"/>
      <c r="F37" s="175"/>
    </row>
    <row r="38" spans="2:6" s="148" customFormat="1" ht="15" customHeight="1" outlineLevel="1" x14ac:dyDescent="0.2">
      <c r="B38" s="60" t="s">
        <v>3656</v>
      </c>
      <c r="C38" s="549" t="s">
        <v>547</v>
      </c>
      <c r="D38" s="151" t="s">
        <v>4693</v>
      </c>
      <c r="E38" s="154"/>
      <c r="F38" s="175"/>
    </row>
    <row r="39" spans="2:6" s="148" customFormat="1" ht="15" customHeight="1" outlineLevel="1" x14ac:dyDescent="0.2">
      <c r="B39" s="60" t="s">
        <v>3657</v>
      </c>
      <c r="C39" s="549" t="s">
        <v>548</v>
      </c>
      <c r="D39" s="151" t="s">
        <v>4693</v>
      </c>
      <c r="E39" s="154"/>
      <c r="F39" s="175"/>
    </row>
    <row r="40" spans="2:6" s="148" customFormat="1" ht="15" customHeight="1" outlineLevel="1" x14ac:dyDescent="0.2">
      <c r="B40" s="60" t="s">
        <v>3658</v>
      </c>
      <c r="C40" s="549" t="s">
        <v>549</v>
      </c>
      <c r="D40" s="151" t="s">
        <v>4693</v>
      </c>
      <c r="E40" s="154"/>
      <c r="F40" s="175"/>
    </row>
    <row r="41" spans="2:6" s="148" customFormat="1" ht="15" customHeight="1" outlineLevel="1" x14ac:dyDescent="0.2">
      <c r="B41" s="60" t="s">
        <v>3659</v>
      </c>
      <c r="C41" s="549" t="s">
        <v>550</v>
      </c>
      <c r="D41" s="151" t="s">
        <v>4693</v>
      </c>
      <c r="E41" s="154"/>
      <c r="F41" s="175"/>
    </row>
    <row r="42" spans="2:6" s="148" customFormat="1" ht="15" customHeight="1" outlineLevel="1" x14ac:dyDescent="0.2">
      <c r="B42" s="60" t="s">
        <v>3660</v>
      </c>
      <c r="C42" s="549" t="s">
        <v>551</v>
      </c>
      <c r="D42" s="151" t="s">
        <v>4693</v>
      </c>
      <c r="E42" s="154"/>
      <c r="F42" s="175"/>
    </row>
    <row r="43" spans="2:6" s="148" customFormat="1" ht="15" customHeight="1" outlineLevel="1" x14ac:dyDescent="0.2">
      <c r="B43" s="60" t="s">
        <v>3661</v>
      </c>
      <c r="C43" s="549" t="s">
        <v>552</v>
      </c>
      <c r="D43" s="151" t="s">
        <v>4693</v>
      </c>
      <c r="E43" s="154"/>
      <c r="F43" s="175"/>
    </row>
    <row r="44" spans="2:6" s="148" customFormat="1" ht="15" customHeight="1" outlineLevel="1" x14ac:dyDescent="0.2">
      <c r="B44" s="60" t="s">
        <v>3662</v>
      </c>
      <c r="C44" s="549" t="s">
        <v>553</v>
      </c>
      <c r="D44" s="151" t="s">
        <v>4693</v>
      </c>
      <c r="E44" s="154"/>
      <c r="F44" s="175"/>
    </row>
    <row r="45" spans="2:6" s="148" customFormat="1" ht="15" customHeight="1" outlineLevel="1" x14ac:dyDescent="0.2">
      <c r="B45" s="60" t="s">
        <v>3663</v>
      </c>
      <c r="C45" s="549" t="s">
        <v>554</v>
      </c>
      <c r="D45" s="151" t="s">
        <v>4693</v>
      </c>
      <c r="E45" s="154"/>
      <c r="F45" s="175"/>
    </row>
    <row r="46" spans="2:6" s="148" customFormat="1" ht="15" customHeight="1" outlineLevel="1" x14ac:dyDescent="0.2">
      <c r="B46" s="60" t="s">
        <v>3664</v>
      </c>
      <c r="C46" s="549" t="s">
        <v>555</v>
      </c>
      <c r="D46" s="151" t="s">
        <v>4693</v>
      </c>
      <c r="E46" s="154"/>
      <c r="F46" s="175"/>
    </row>
    <row r="47" spans="2:6" s="148" customFormat="1" ht="15" customHeight="1" outlineLevel="1" x14ac:dyDescent="0.2">
      <c r="B47" s="60" t="s">
        <v>3665</v>
      </c>
      <c r="C47" s="549" t="s">
        <v>556</v>
      </c>
      <c r="D47" s="151" t="s">
        <v>4693</v>
      </c>
      <c r="E47" s="154"/>
      <c r="F47" s="175"/>
    </row>
    <row r="48" spans="2:6" s="148" customFormat="1" ht="15" customHeight="1" outlineLevel="1" x14ac:dyDescent="0.2">
      <c r="B48" s="60" t="s">
        <v>3666</v>
      </c>
      <c r="C48" s="549" t="s">
        <v>557</v>
      </c>
      <c r="D48" s="151" t="s">
        <v>4693</v>
      </c>
      <c r="E48" s="154"/>
      <c r="F48" s="175"/>
    </row>
    <row r="49" spans="2:6" s="148" customFormat="1" ht="15" customHeight="1" outlineLevel="1" x14ac:dyDescent="0.2">
      <c r="B49" s="60" t="s">
        <v>3667</v>
      </c>
      <c r="C49" s="549" t="s">
        <v>558</v>
      </c>
      <c r="D49" s="151" t="s">
        <v>4693</v>
      </c>
      <c r="E49" s="154"/>
      <c r="F49" s="175"/>
    </row>
    <row r="50" spans="2:6" s="148" customFormat="1" ht="15" customHeight="1" outlineLevel="1" x14ac:dyDescent="0.2">
      <c r="B50" s="60" t="s">
        <v>3668</v>
      </c>
      <c r="C50" s="549" t="s">
        <v>559</v>
      </c>
      <c r="D50" s="151" t="s">
        <v>4693</v>
      </c>
      <c r="E50" s="154"/>
      <c r="F50" s="175"/>
    </row>
    <row r="51" spans="2:6" s="148" customFormat="1" ht="15" customHeight="1" outlineLevel="1" x14ac:dyDescent="0.2">
      <c r="B51" s="60" t="s">
        <v>3669</v>
      </c>
      <c r="C51" s="549" t="s">
        <v>560</v>
      </c>
      <c r="D51" s="151" t="s">
        <v>4693</v>
      </c>
      <c r="E51" s="154"/>
      <c r="F51" s="175"/>
    </row>
    <row r="52" spans="2:6" s="148" customFormat="1" ht="15" customHeight="1" outlineLevel="1" x14ac:dyDescent="0.2">
      <c r="B52" s="60" t="s">
        <v>3670</v>
      </c>
      <c r="C52" s="549" t="s">
        <v>561</v>
      </c>
      <c r="D52" s="151" t="s">
        <v>4693</v>
      </c>
      <c r="E52" s="154"/>
      <c r="F52" s="175"/>
    </row>
    <row r="53" spans="2:6" s="79" customFormat="1" ht="15" customHeight="1" x14ac:dyDescent="0.2">
      <c r="B53" s="60" t="s">
        <v>3671</v>
      </c>
      <c r="C53" s="425">
        <v>1.3</v>
      </c>
      <c r="D53" s="131" t="s">
        <v>4681</v>
      </c>
      <c r="E53" s="91">
        <f>SUM(E54:E73)</f>
        <v>0</v>
      </c>
      <c r="F53" s="92">
        <f>SUM(F54:F73)</f>
        <v>0</v>
      </c>
    </row>
    <row r="54" spans="2:6" s="148" customFormat="1" ht="15" customHeight="1" outlineLevel="1" x14ac:dyDescent="0.2">
      <c r="B54" s="60" t="s">
        <v>3672</v>
      </c>
      <c r="C54" s="549" t="s">
        <v>2480</v>
      </c>
      <c r="D54" s="151" t="s">
        <v>4693</v>
      </c>
      <c r="E54" s="154"/>
      <c r="F54" s="175"/>
    </row>
    <row r="55" spans="2:6" s="148" customFormat="1" ht="15" customHeight="1" outlineLevel="1" x14ac:dyDescent="0.2">
      <c r="B55" s="60" t="s">
        <v>3673</v>
      </c>
      <c r="C55" s="549" t="s">
        <v>2481</v>
      </c>
      <c r="D55" s="151" t="s">
        <v>4693</v>
      </c>
      <c r="E55" s="154"/>
      <c r="F55" s="175"/>
    </row>
    <row r="56" spans="2:6" s="148" customFormat="1" ht="15" customHeight="1" outlineLevel="1" x14ac:dyDescent="0.2">
      <c r="B56" s="60" t="s">
        <v>3674</v>
      </c>
      <c r="C56" s="549" t="s">
        <v>2482</v>
      </c>
      <c r="D56" s="151" t="s">
        <v>4693</v>
      </c>
      <c r="E56" s="154"/>
      <c r="F56" s="175"/>
    </row>
    <row r="57" spans="2:6" s="148" customFormat="1" ht="15" customHeight="1" outlineLevel="1" x14ac:dyDescent="0.2">
      <c r="B57" s="60" t="s">
        <v>3675</v>
      </c>
      <c r="C57" s="549" t="s">
        <v>2483</v>
      </c>
      <c r="D57" s="151" t="s">
        <v>4693</v>
      </c>
      <c r="E57" s="154"/>
      <c r="F57" s="175"/>
    </row>
    <row r="58" spans="2:6" s="148" customFormat="1" ht="15" customHeight="1" outlineLevel="1" x14ac:dyDescent="0.2">
      <c r="B58" s="60" t="s">
        <v>3676</v>
      </c>
      <c r="C58" s="549" t="s">
        <v>2484</v>
      </c>
      <c r="D58" s="151" t="s">
        <v>4693</v>
      </c>
      <c r="E58" s="154"/>
      <c r="F58" s="175"/>
    </row>
    <row r="59" spans="2:6" s="148" customFormat="1" ht="15" customHeight="1" outlineLevel="1" x14ac:dyDescent="0.2">
      <c r="B59" s="60" t="s">
        <v>3677</v>
      </c>
      <c r="C59" s="549" t="s">
        <v>2485</v>
      </c>
      <c r="D59" s="151" t="s">
        <v>4693</v>
      </c>
      <c r="E59" s="154"/>
      <c r="F59" s="175"/>
    </row>
    <row r="60" spans="2:6" s="148" customFormat="1" ht="15" customHeight="1" outlineLevel="1" x14ac:dyDescent="0.2">
      <c r="B60" s="60" t="s">
        <v>3678</v>
      </c>
      <c r="C60" s="549" t="s">
        <v>2486</v>
      </c>
      <c r="D60" s="151" t="s">
        <v>4693</v>
      </c>
      <c r="E60" s="154"/>
      <c r="F60" s="175"/>
    </row>
    <row r="61" spans="2:6" s="148" customFormat="1" ht="15" customHeight="1" outlineLevel="1" x14ac:dyDescent="0.2">
      <c r="B61" s="60" t="s">
        <v>3679</v>
      </c>
      <c r="C61" s="549" t="s">
        <v>2487</v>
      </c>
      <c r="D61" s="151" t="s">
        <v>4693</v>
      </c>
      <c r="E61" s="154"/>
      <c r="F61" s="175"/>
    </row>
    <row r="62" spans="2:6" s="148" customFormat="1" ht="15" customHeight="1" outlineLevel="1" x14ac:dyDescent="0.2">
      <c r="B62" s="60" t="s">
        <v>3680</v>
      </c>
      <c r="C62" s="549" t="s">
        <v>2488</v>
      </c>
      <c r="D62" s="151" t="s">
        <v>4693</v>
      </c>
      <c r="E62" s="154"/>
      <c r="F62" s="175"/>
    </row>
    <row r="63" spans="2:6" s="148" customFormat="1" ht="15" customHeight="1" outlineLevel="1" x14ac:dyDescent="0.2">
      <c r="B63" s="60" t="s">
        <v>3681</v>
      </c>
      <c r="C63" s="549" t="s">
        <v>2489</v>
      </c>
      <c r="D63" s="151" t="s">
        <v>4693</v>
      </c>
      <c r="E63" s="154"/>
      <c r="F63" s="175"/>
    </row>
    <row r="64" spans="2:6" s="148" customFormat="1" ht="15" customHeight="1" outlineLevel="1" x14ac:dyDescent="0.2">
      <c r="B64" s="60" t="s">
        <v>3682</v>
      </c>
      <c r="C64" s="549" t="s">
        <v>2490</v>
      </c>
      <c r="D64" s="151" t="s">
        <v>4693</v>
      </c>
      <c r="E64" s="154"/>
      <c r="F64" s="175"/>
    </row>
    <row r="65" spans="2:6" s="148" customFormat="1" ht="15" customHeight="1" outlineLevel="1" x14ac:dyDescent="0.2">
      <c r="B65" s="60" t="s">
        <v>3683</v>
      </c>
      <c r="C65" s="549" t="s">
        <v>2491</v>
      </c>
      <c r="D65" s="151" t="s">
        <v>4693</v>
      </c>
      <c r="E65" s="154"/>
      <c r="F65" s="175"/>
    </row>
    <row r="66" spans="2:6" s="148" customFormat="1" ht="15" customHeight="1" outlineLevel="1" x14ac:dyDescent="0.2">
      <c r="B66" s="60" t="s">
        <v>3684</v>
      </c>
      <c r="C66" s="549" t="s">
        <v>2492</v>
      </c>
      <c r="D66" s="151" t="s">
        <v>4693</v>
      </c>
      <c r="E66" s="154"/>
      <c r="F66" s="175"/>
    </row>
    <row r="67" spans="2:6" s="148" customFormat="1" ht="15" customHeight="1" outlineLevel="1" x14ac:dyDescent="0.2">
      <c r="B67" s="60" t="s">
        <v>3685</v>
      </c>
      <c r="C67" s="549" t="s">
        <v>2493</v>
      </c>
      <c r="D67" s="151" t="s">
        <v>4693</v>
      </c>
      <c r="E67" s="154"/>
      <c r="F67" s="175"/>
    </row>
    <row r="68" spans="2:6" s="148" customFormat="1" ht="15" customHeight="1" outlineLevel="1" x14ac:dyDescent="0.2">
      <c r="B68" s="60" t="s">
        <v>3686</v>
      </c>
      <c r="C68" s="549" t="s">
        <v>2494</v>
      </c>
      <c r="D68" s="151" t="s">
        <v>4693</v>
      </c>
      <c r="E68" s="154"/>
      <c r="F68" s="175"/>
    </row>
    <row r="69" spans="2:6" s="148" customFormat="1" ht="15" customHeight="1" outlineLevel="1" x14ac:dyDescent="0.2">
      <c r="B69" s="60" t="s">
        <v>3687</v>
      </c>
      <c r="C69" s="549" t="s">
        <v>2495</v>
      </c>
      <c r="D69" s="151" t="s">
        <v>4693</v>
      </c>
      <c r="E69" s="154"/>
      <c r="F69" s="175"/>
    </row>
    <row r="70" spans="2:6" s="148" customFormat="1" ht="15" customHeight="1" outlineLevel="1" x14ac:dyDescent="0.2">
      <c r="B70" s="60" t="s">
        <v>3688</v>
      </c>
      <c r="C70" s="549" t="s">
        <v>2496</v>
      </c>
      <c r="D70" s="151" t="s">
        <v>4693</v>
      </c>
      <c r="E70" s="154"/>
      <c r="F70" s="175"/>
    </row>
    <row r="71" spans="2:6" s="148" customFormat="1" ht="15" customHeight="1" outlineLevel="1" x14ac:dyDescent="0.2">
      <c r="B71" s="60" t="s">
        <v>3689</v>
      </c>
      <c r="C71" s="549" t="s">
        <v>2497</v>
      </c>
      <c r="D71" s="151" t="s">
        <v>4693</v>
      </c>
      <c r="E71" s="154"/>
      <c r="F71" s="175"/>
    </row>
    <row r="72" spans="2:6" s="148" customFormat="1" ht="15" customHeight="1" outlineLevel="1" x14ac:dyDescent="0.2">
      <c r="B72" s="60" t="s">
        <v>3690</v>
      </c>
      <c r="C72" s="549" t="s">
        <v>2498</v>
      </c>
      <c r="D72" s="151" t="s">
        <v>4693</v>
      </c>
      <c r="E72" s="154"/>
      <c r="F72" s="175"/>
    </row>
    <row r="73" spans="2:6" s="148" customFormat="1" ht="15" customHeight="1" outlineLevel="1" x14ac:dyDescent="0.2">
      <c r="B73" s="60" t="s">
        <v>3691</v>
      </c>
      <c r="C73" s="549" t="s">
        <v>2499</v>
      </c>
      <c r="D73" s="151" t="s">
        <v>4693</v>
      </c>
      <c r="E73" s="154"/>
      <c r="F73" s="175"/>
    </row>
    <row r="74" spans="2:6" s="79" customFormat="1" ht="15" customHeight="1" x14ac:dyDescent="0.2">
      <c r="B74" s="60" t="s">
        <v>3692</v>
      </c>
      <c r="C74" s="425">
        <v>1.4</v>
      </c>
      <c r="D74" s="131" t="s">
        <v>4682</v>
      </c>
      <c r="E74" s="91">
        <f>SUM(E75:E94)</f>
        <v>0</v>
      </c>
      <c r="F74" s="92">
        <f>SUM(F75:F94)</f>
        <v>0</v>
      </c>
    </row>
    <row r="75" spans="2:6" s="148" customFormat="1" ht="15" customHeight="1" outlineLevel="1" x14ac:dyDescent="0.2">
      <c r="B75" s="60" t="s">
        <v>3693</v>
      </c>
      <c r="C75" s="549" t="s">
        <v>2500</v>
      </c>
      <c r="D75" s="151" t="s">
        <v>4693</v>
      </c>
      <c r="E75" s="154"/>
      <c r="F75" s="175"/>
    </row>
    <row r="76" spans="2:6" s="148" customFormat="1" ht="15" customHeight="1" outlineLevel="1" x14ac:dyDescent="0.2">
      <c r="B76" s="60" t="s">
        <v>3694</v>
      </c>
      <c r="C76" s="549" t="s">
        <v>2501</v>
      </c>
      <c r="D76" s="151" t="s">
        <v>4693</v>
      </c>
      <c r="E76" s="154"/>
      <c r="F76" s="175"/>
    </row>
    <row r="77" spans="2:6" s="148" customFormat="1" ht="15" customHeight="1" outlineLevel="1" x14ac:dyDescent="0.2">
      <c r="B77" s="60" t="s">
        <v>3695</v>
      </c>
      <c r="C77" s="549" t="s">
        <v>2502</v>
      </c>
      <c r="D77" s="151" t="s">
        <v>4693</v>
      </c>
      <c r="E77" s="154"/>
      <c r="F77" s="175"/>
    </row>
    <row r="78" spans="2:6" s="148" customFormat="1" ht="15" customHeight="1" outlineLevel="1" x14ac:dyDescent="0.2">
      <c r="B78" s="60" t="s">
        <v>3696</v>
      </c>
      <c r="C78" s="549" t="s">
        <v>2503</v>
      </c>
      <c r="D78" s="151" t="s">
        <v>4693</v>
      </c>
      <c r="E78" s="154"/>
      <c r="F78" s="175"/>
    </row>
    <row r="79" spans="2:6" s="148" customFormat="1" ht="15" customHeight="1" outlineLevel="1" x14ac:dyDescent="0.2">
      <c r="B79" s="60" t="s">
        <v>3697</v>
      </c>
      <c r="C79" s="549" t="s">
        <v>2504</v>
      </c>
      <c r="D79" s="151" t="s">
        <v>4693</v>
      </c>
      <c r="E79" s="154"/>
      <c r="F79" s="175"/>
    </row>
    <row r="80" spans="2:6" s="148" customFormat="1" ht="15" customHeight="1" outlineLevel="1" x14ac:dyDescent="0.2">
      <c r="B80" s="60" t="s">
        <v>3698</v>
      </c>
      <c r="C80" s="549" t="s">
        <v>2505</v>
      </c>
      <c r="D80" s="151" t="s">
        <v>4693</v>
      </c>
      <c r="E80" s="154"/>
      <c r="F80" s="175"/>
    </row>
    <row r="81" spans="2:6" s="148" customFormat="1" ht="15" customHeight="1" outlineLevel="1" x14ac:dyDescent="0.2">
      <c r="B81" s="60" t="s">
        <v>3699</v>
      </c>
      <c r="C81" s="549" t="s">
        <v>2506</v>
      </c>
      <c r="D81" s="151" t="s">
        <v>4693</v>
      </c>
      <c r="E81" s="154"/>
      <c r="F81" s="175"/>
    </row>
    <row r="82" spans="2:6" s="148" customFormat="1" ht="15" customHeight="1" outlineLevel="1" x14ac:dyDescent="0.2">
      <c r="B82" s="60" t="s">
        <v>3700</v>
      </c>
      <c r="C82" s="549" t="s">
        <v>2507</v>
      </c>
      <c r="D82" s="151" t="s">
        <v>4693</v>
      </c>
      <c r="E82" s="154"/>
      <c r="F82" s="175"/>
    </row>
    <row r="83" spans="2:6" s="148" customFormat="1" ht="15" customHeight="1" outlineLevel="1" x14ac:dyDescent="0.2">
      <c r="B83" s="60" t="s">
        <v>3701</v>
      </c>
      <c r="C83" s="549" t="s">
        <v>2508</v>
      </c>
      <c r="D83" s="151" t="s">
        <v>4693</v>
      </c>
      <c r="E83" s="154"/>
      <c r="F83" s="175"/>
    </row>
    <row r="84" spans="2:6" s="148" customFormat="1" ht="15" customHeight="1" outlineLevel="1" x14ac:dyDescent="0.2">
      <c r="B84" s="60" t="s">
        <v>3702</v>
      </c>
      <c r="C84" s="549" t="s">
        <v>2509</v>
      </c>
      <c r="D84" s="151" t="s">
        <v>4693</v>
      </c>
      <c r="E84" s="154"/>
      <c r="F84" s="175"/>
    </row>
    <row r="85" spans="2:6" s="148" customFormat="1" ht="15" customHeight="1" outlineLevel="1" x14ac:dyDescent="0.2">
      <c r="B85" s="60" t="s">
        <v>3703</v>
      </c>
      <c r="C85" s="549" t="s">
        <v>2510</v>
      </c>
      <c r="D85" s="151" t="s">
        <v>4693</v>
      </c>
      <c r="E85" s="154"/>
      <c r="F85" s="175"/>
    </row>
    <row r="86" spans="2:6" s="148" customFormat="1" ht="15" customHeight="1" outlineLevel="1" x14ac:dyDescent="0.2">
      <c r="B86" s="60" t="s">
        <v>3704</v>
      </c>
      <c r="C86" s="549" t="s">
        <v>2511</v>
      </c>
      <c r="D86" s="151" t="s">
        <v>4693</v>
      </c>
      <c r="E86" s="154"/>
      <c r="F86" s="175"/>
    </row>
    <row r="87" spans="2:6" s="148" customFormat="1" ht="15" customHeight="1" outlineLevel="1" x14ac:dyDescent="0.2">
      <c r="B87" s="60" t="s">
        <v>3705</v>
      </c>
      <c r="C87" s="549" t="s">
        <v>2512</v>
      </c>
      <c r="D87" s="151" t="s">
        <v>4693</v>
      </c>
      <c r="E87" s="154"/>
      <c r="F87" s="175"/>
    </row>
    <row r="88" spans="2:6" s="148" customFormat="1" ht="15" customHeight="1" outlineLevel="1" x14ac:dyDescent="0.2">
      <c r="B88" s="60" t="s">
        <v>3706</v>
      </c>
      <c r="C88" s="549" t="s">
        <v>2513</v>
      </c>
      <c r="D88" s="151" t="s">
        <v>4693</v>
      </c>
      <c r="E88" s="154"/>
      <c r="F88" s="175"/>
    </row>
    <row r="89" spans="2:6" s="148" customFormat="1" ht="15" customHeight="1" outlineLevel="1" x14ac:dyDescent="0.2">
      <c r="B89" s="60" t="s">
        <v>3707</v>
      </c>
      <c r="C89" s="549" t="s">
        <v>2514</v>
      </c>
      <c r="D89" s="151" t="s">
        <v>4693</v>
      </c>
      <c r="E89" s="154"/>
      <c r="F89" s="175"/>
    </row>
    <row r="90" spans="2:6" s="148" customFormat="1" ht="15" customHeight="1" outlineLevel="1" x14ac:dyDescent="0.2">
      <c r="B90" s="60" t="s">
        <v>3708</v>
      </c>
      <c r="C90" s="549" t="s">
        <v>2515</v>
      </c>
      <c r="D90" s="151" t="s">
        <v>4693</v>
      </c>
      <c r="E90" s="154"/>
      <c r="F90" s="175"/>
    </row>
    <row r="91" spans="2:6" s="148" customFormat="1" ht="15" customHeight="1" outlineLevel="1" x14ac:dyDescent="0.2">
      <c r="B91" s="60" t="s">
        <v>3709</v>
      </c>
      <c r="C91" s="549" t="s">
        <v>2516</v>
      </c>
      <c r="D91" s="151" t="s">
        <v>4693</v>
      </c>
      <c r="E91" s="154"/>
      <c r="F91" s="175"/>
    </row>
    <row r="92" spans="2:6" s="148" customFormat="1" ht="15" customHeight="1" outlineLevel="1" x14ac:dyDescent="0.2">
      <c r="B92" s="60" t="s">
        <v>3710</v>
      </c>
      <c r="C92" s="549" t="s">
        <v>2517</v>
      </c>
      <c r="D92" s="151" t="s">
        <v>4693</v>
      </c>
      <c r="E92" s="154"/>
      <c r="F92" s="175"/>
    </row>
    <row r="93" spans="2:6" s="148" customFormat="1" ht="15" customHeight="1" outlineLevel="1" x14ac:dyDescent="0.2">
      <c r="B93" s="60" t="s">
        <v>3711</v>
      </c>
      <c r="C93" s="549" t="s">
        <v>2518</v>
      </c>
      <c r="D93" s="151" t="s">
        <v>4693</v>
      </c>
      <c r="E93" s="154"/>
      <c r="F93" s="175"/>
    </row>
    <row r="94" spans="2:6" s="148" customFormat="1" ht="15" customHeight="1" outlineLevel="1" x14ac:dyDescent="0.2">
      <c r="B94" s="60" t="s">
        <v>3712</v>
      </c>
      <c r="C94" s="549" t="s">
        <v>2519</v>
      </c>
      <c r="D94" s="151" t="s">
        <v>4693</v>
      </c>
      <c r="E94" s="154"/>
      <c r="F94" s="175"/>
    </row>
    <row r="95" spans="2:6" s="79" customFormat="1" ht="15" customHeight="1" x14ac:dyDescent="0.2">
      <c r="B95" s="60" t="s">
        <v>3713</v>
      </c>
      <c r="C95" s="425">
        <v>1.5</v>
      </c>
      <c r="D95" s="131" t="s">
        <v>4683</v>
      </c>
      <c r="E95" s="91">
        <f>SUM(E96:E115)</f>
        <v>0</v>
      </c>
      <c r="F95" s="92">
        <f>SUM(F96:F115)</f>
        <v>0</v>
      </c>
    </row>
    <row r="96" spans="2:6" s="148" customFormat="1" ht="15" customHeight="1" outlineLevel="1" x14ac:dyDescent="0.2">
      <c r="B96" s="60" t="s">
        <v>3714</v>
      </c>
      <c r="C96" s="549" t="s">
        <v>2520</v>
      </c>
      <c r="D96" s="151" t="s">
        <v>4693</v>
      </c>
      <c r="E96" s="154"/>
      <c r="F96" s="175"/>
    </row>
    <row r="97" spans="2:6" s="148" customFormat="1" ht="15" customHeight="1" outlineLevel="1" x14ac:dyDescent="0.2">
      <c r="B97" s="60" t="s">
        <v>3715</v>
      </c>
      <c r="C97" s="549" t="s">
        <v>2521</v>
      </c>
      <c r="D97" s="151" t="s">
        <v>4693</v>
      </c>
      <c r="E97" s="154"/>
      <c r="F97" s="175"/>
    </row>
    <row r="98" spans="2:6" s="148" customFormat="1" ht="15" customHeight="1" outlineLevel="1" x14ac:dyDescent="0.2">
      <c r="B98" s="60" t="s">
        <v>3716</v>
      </c>
      <c r="C98" s="549" t="s">
        <v>2522</v>
      </c>
      <c r="D98" s="151" t="s">
        <v>4693</v>
      </c>
      <c r="E98" s="154"/>
      <c r="F98" s="175"/>
    </row>
    <row r="99" spans="2:6" s="148" customFormat="1" ht="15" customHeight="1" outlineLevel="1" x14ac:dyDescent="0.2">
      <c r="B99" s="60" t="s">
        <v>3717</v>
      </c>
      <c r="C99" s="549" t="s">
        <v>2523</v>
      </c>
      <c r="D99" s="151" t="s">
        <v>4693</v>
      </c>
      <c r="E99" s="154"/>
      <c r="F99" s="175"/>
    </row>
    <row r="100" spans="2:6" s="148" customFormat="1" ht="15" customHeight="1" outlineLevel="1" x14ac:dyDescent="0.2">
      <c r="B100" s="60" t="s">
        <v>3718</v>
      </c>
      <c r="C100" s="549" t="s">
        <v>2524</v>
      </c>
      <c r="D100" s="151" t="s">
        <v>4693</v>
      </c>
      <c r="E100" s="154"/>
      <c r="F100" s="175"/>
    </row>
    <row r="101" spans="2:6" s="148" customFormat="1" ht="15" customHeight="1" outlineLevel="1" x14ac:dyDescent="0.2">
      <c r="B101" s="60" t="s">
        <v>3719</v>
      </c>
      <c r="C101" s="549" t="s">
        <v>2525</v>
      </c>
      <c r="D101" s="151" t="s">
        <v>4693</v>
      </c>
      <c r="E101" s="154"/>
      <c r="F101" s="175"/>
    </row>
    <row r="102" spans="2:6" s="148" customFormat="1" ht="15" customHeight="1" outlineLevel="1" x14ac:dyDescent="0.2">
      <c r="B102" s="60" t="s">
        <v>3720</v>
      </c>
      <c r="C102" s="549" t="s">
        <v>2526</v>
      </c>
      <c r="D102" s="151" t="s">
        <v>4693</v>
      </c>
      <c r="E102" s="154"/>
      <c r="F102" s="175"/>
    </row>
    <row r="103" spans="2:6" s="148" customFormat="1" ht="15" customHeight="1" outlineLevel="1" x14ac:dyDescent="0.2">
      <c r="B103" s="60" t="s">
        <v>3721</v>
      </c>
      <c r="C103" s="549" t="s">
        <v>2527</v>
      </c>
      <c r="D103" s="151" t="s">
        <v>4693</v>
      </c>
      <c r="E103" s="154"/>
      <c r="F103" s="175"/>
    </row>
    <row r="104" spans="2:6" s="148" customFormat="1" ht="15" customHeight="1" outlineLevel="1" x14ac:dyDescent="0.2">
      <c r="B104" s="60" t="s">
        <v>3722</v>
      </c>
      <c r="C104" s="549" t="s">
        <v>2528</v>
      </c>
      <c r="D104" s="151" t="s">
        <v>4693</v>
      </c>
      <c r="E104" s="154"/>
      <c r="F104" s="175"/>
    </row>
    <row r="105" spans="2:6" s="148" customFormat="1" ht="15" customHeight="1" outlineLevel="1" x14ac:dyDescent="0.2">
      <c r="B105" s="60" t="s">
        <v>3723</v>
      </c>
      <c r="C105" s="549" t="s">
        <v>2529</v>
      </c>
      <c r="D105" s="151" t="s">
        <v>4693</v>
      </c>
      <c r="E105" s="154"/>
      <c r="F105" s="175"/>
    </row>
    <row r="106" spans="2:6" s="148" customFormat="1" ht="15" customHeight="1" outlineLevel="1" x14ac:dyDescent="0.2">
      <c r="B106" s="60" t="s">
        <v>3724</v>
      </c>
      <c r="C106" s="549" t="s">
        <v>2530</v>
      </c>
      <c r="D106" s="151" t="s">
        <v>4693</v>
      </c>
      <c r="E106" s="154"/>
      <c r="F106" s="175"/>
    </row>
    <row r="107" spans="2:6" s="148" customFormat="1" ht="15" customHeight="1" outlineLevel="1" x14ac:dyDescent="0.2">
      <c r="B107" s="60" t="s">
        <v>3725</v>
      </c>
      <c r="C107" s="549" t="s">
        <v>2531</v>
      </c>
      <c r="D107" s="151" t="s">
        <v>4693</v>
      </c>
      <c r="E107" s="154"/>
      <c r="F107" s="175"/>
    </row>
    <row r="108" spans="2:6" s="148" customFormat="1" ht="15" customHeight="1" outlineLevel="1" x14ac:dyDescent="0.2">
      <c r="B108" s="60" t="s">
        <v>3726</v>
      </c>
      <c r="C108" s="549" t="s">
        <v>2532</v>
      </c>
      <c r="D108" s="151" t="s">
        <v>4693</v>
      </c>
      <c r="E108" s="154"/>
      <c r="F108" s="175"/>
    </row>
    <row r="109" spans="2:6" s="148" customFormat="1" ht="15" customHeight="1" outlineLevel="1" x14ac:dyDescent="0.2">
      <c r="B109" s="60" t="s">
        <v>3727</v>
      </c>
      <c r="C109" s="549" t="s">
        <v>2533</v>
      </c>
      <c r="D109" s="151" t="s">
        <v>4693</v>
      </c>
      <c r="E109" s="154"/>
      <c r="F109" s="175"/>
    </row>
    <row r="110" spans="2:6" s="148" customFormat="1" ht="15" customHeight="1" outlineLevel="1" x14ac:dyDescent="0.2">
      <c r="B110" s="60" t="s">
        <v>3728</v>
      </c>
      <c r="C110" s="549" t="s">
        <v>2534</v>
      </c>
      <c r="D110" s="151" t="s">
        <v>4693</v>
      </c>
      <c r="E110" s="154"/>
      <c r="F110" s="175"/>
    </row>
    <row r="111" spans="2:6" s="148" customFormat="1" ht="15" customHeight="1" outlineLevel="1" x14ac:dyDescent="0.2">
      <c r="B111" s="60" t="s">
        <v>3729</v>
      </c>
      <c r="C111" s="549" t="s">
        <v>2535</v>
      </c>
      <c r="D111" s="151" t="s">
        <v>4693</v>
      </c>
      <c r="E111" s="154"/>
      <c r="F111" s="175"/>
    </row>
    <row r="112" spans="2:6" s="148" customFormat="1" ht="15" customHeight="1" outlineLevel="1" x14ac:dyDescent="0.2">
      <c r="B112" s="60" t="s">
        <v>3730</v>
      </c>
      <c r="C112" s="549" t="s">
        <v>2536</v>
      </c>
      <c r="D112" s="151" t="s">
        <v>4693</v>
      </c>
      <c r="E112" s="154"/>
      <c r="F112" s="175"/>
    </row>
    <row r="113" spans="2:6" s="148" customFormat="1" ht="15" customHeight="1" outlineLevel="1" x14ac:dyDescent="0.2">
      <c r="B113" s="60" t="s">
        <v>3731</v>
      </c>
      <c r="C113" s="549" t="s">
        <v>2537</v>
      </c>
      <c r="D113" s="151" t="s">
        <v>4693</v>
      </c>
      <c r="E113" s="154"/>
      <c r="F113" s="175"/>
    </row>
    <row r="114" spans="2:6" s="148" customFormat="1" ht="15" customHeight="1" outlineLevel="1" x14ac:dyDescent="0.2">
      <c r="B114" s="60" t="s">
        <v>3732</v>
      </c>
      <c r="C114" s="549" t="s">
        <v>2538</v>
      </c>
      <c r="D114" s="151" t="s">
        <v>4693</v>
      </c>
      <c r="E114" s="154"/>
      <c r="F114" s="175"/>
    </row>
    <row r="115" spans="2:6" s="148" customFormat="1" ht="15" customHeight="1" outlineLevel="1" x14ac:dyDescent="0.2">
      <c r="B115" s="60" t="s">
        <v>3733</v>
      </c>
      <c r="C115" s="549" t="s">
        <v>2539</v>
      </c>
      <c r="D115" s="151" t="s">
        <v>4693</v>
      </c>
      <c r="E115" s="154"/>
      <c r="F115" s="175"/>
    </row>
    <row r="116" spans="2:6" s="79" customFormat="1" ht="15" customHeight="1" x14ac:dyDescent="0.2">
      <c r="B116" s="60" t="s">
        <v>3734</v>
      </c>
      <c r="C116" s="425">
        <v>1.6</v>
      </c>
      <c r="D116" s="131" t="s">
        <v>4680</v>
      </c>
      <c r="E116" s="91">
        <f>SUM(E117:E136)</f>
        <v>0</v>
      </c>
      <c r="F116" s="92">
        <f>SUM(F117:F136)</f>
        <v>0</v>
      </c>
    </row>
    <row r="117" spans="2:6" s="148" customFormat="1" ht="15" customHeight="1" outlineLevel="1" x14ac:dyDescent="0.2">
      <c r="B117" s="60" t="s">
        <v>3735</v>
      </c>
      <c r="C117" s="549" t="s">
        <v>2540</v>
      </c>
      <c r="D117" s="151" t="s">
        <v>4693</v>
      </c>
      <c r="E117" s="154"/>
      <c r="F117" s="175"/>
    </row>
    <row r="118" spans="2:6" s="148" customFormat="1" ht="15" customHeight="1" outlineLevel="1" x14ac:dyDescent="0.2">
      <c r="B118" s="60" t="s">
        <v>3736</v>
      </c>
      <c r="C118" s="549" t="s">
        <v>2541</v>
      </c>
      <c r="D118" s="151" t="s">
        <v>4693</v>
      </c>
      <c r="E118" s="154"/>
      <c r="F118" s="175"/>
    </row>
    <row r="119" spans="2:6" s="148" customFormat="1" ht="15" customHeight="1" outlineLevel="1" x14ac:dyDescent="0.2">
      <c r="B119" s="60" t="s">
        <v>3737</v>
      </c>
      <c r="C119" s="549" t="s">
        <v>2542</v>
      </c>
      <c r="D119" s="151" t="s">
        <v>4693</v>
      </c>
      <c r="E119" s="154"/>
      <c r="F119" s="175"/>
    </row>
    <row r="120" spans="2:6" s="148" customFormat="1" ht="15" customHeight="1" outlineLevel="1" x14ac:dyDescent="0.2">
      <c r="B120" s="60" t="s">
        <v>3738</v>
      </c>
      <c r="C120" s="549" t="s">
        <v>2543</v>
      </c>
      <c r="D120" s="151" t="s">
        <v>4693</v>
      </c>
      <c r="E120" s="154"/>
      <c r="F120" s="175"/>
    </row>
    <row r="121" spans="2:6" s="148" customFormat="1" ht="15" customHeight="1" outlineLevel="1" x14ac:dyDescent="0.2">
      <c r="B121" s="60" t="s">
        <v>3739</v>
      </c>
      <c r="C121" s="549" t="s">
        <v>2544</v>
      </c>
      <c r="D121" s="151" t="s">
        <v>4693</v>
      </c>
      <c r="E121" s="154"/>
      <c r="F121" s="175"/>
    </row>
    <row r="122" spans="2:6" s="148" customFormat="1" ht="15" customHeight="1" outlineLevel="1" x14ac:dyDescent="0.2">
      <c r="B122" s="60" t="s">
        <v>3740</v>
      </c>
      <c r="C122" s="549" t="s">
        <v>2545</v>
      </c>
      <c r="D122" s="151" t="s">
        <v>4693</v>
      </c>
      <c r="E122" s="154"/>
      <c r="F122" s="175"/>
    </row>
    <row r="123" spans="2:6" s="148" customFormat="1" ht="15" customHeight="1" outlineLevel="1" x14ac:dyDescent="0.2">
      <c r="B123" s="60" t="s">
        <v>3741</v>
      </c>
      <c r="C123" s="549" t="s">
        <v>2546</v>
      </c>
      <c r="D123" s="151" t="s">
        <v>4693</v>
      </c>
      <c r="E123" s="154"/>
      <c r="F123" s="175"/>
    </row>
    <row r="124" spans="2:6" s="148" customFormat="1" ht="15" customHeight="1" outlineLevel="1" x14ac:dyDescent="0.2">
      <c r="B124" s="60" t="s">
        <v>3742</v>
      </c>
      <c r="C124" s="549" t="s">
        <v>2547</v>
      </c>
      <c r="D124" s="151" t="s">
        <v>4693</v>
      </c>
      <c r="E124" s="154"/>
      <c r="F124" s="175"/>
    </row>
    <row r="125" spans="2:6" s="148" customFormat="1" ht="15" customHeight="1" outlineLevel="1" x14ac:dyDescent="0.2">
      <c r="B125" s="60" t="s">
        <v>3743</v>
      </c>
      <c r="C125" s="549" t="s">
        <v>2548</v>
      </c>
      <c r="D125" s="151" t="s">
        <v>4693</v>
      </c>
      <c r="E125" s="154"/>
      <c r="F125" s="175"/>
    </row>
    <row r="126" spans="2:6" s="148" customFormat="1" ht="15" customHeight="1" outlineLevel="1" x14ac:dyDescent="0.2">
      <c r="B126" s="60" t="s">
        <v>3744</v>
      </c>
      <c r="C126" s="549" t="s">
        <v>2549</v>
      </c>
      <c r="D126" s="151" t="s">
        <v>4693</v>
      </c>
      <c r="E126" s="154"/>
      <c r="F126" s="175"/>
    </row>
    <row r="127" spans="2:6" s="148" customFormat="1" ht="15" customHeight="1" outlineLevel="1" x14ac:dyDescent="0.2">
      <c r="B127" s="60" t="s">
        <v>3745</v>
      </c>
      <c r="C127" s="549" t="s">
        <v>2550</v>
      </c>
      <c r="D127" s="151" t="s">
        <v>4693</v>
      </c>
      <c r="E127" s="154"/>
      <c r="F127" s="175"/>
    </row>
    <row r="128" spans="2:6" s="148" customFormat="1" ht="15" customHeight="1" outlineLevel="1" x14ac:dyDescent="0.2">
      <c r="B128" s="60" t="s">
        <v>3746</v>
      </c>
      <c r="C128" s="549" t="s">
        <v>2551</v>
      </c>
      <c r="D128" s="151" t="s">
        <v>4693</v>
      </c>
      <c r="E128" s="154"/>
      <c r="F128" s="175"/>
    </row>
    <row r="129" spans="2:6" s="148" customFormat="1" ht="15" customHeight="1" outlineLevel="1" x14ac:dyDescent="0.2">
      <c r="B129" s="60" t="s">
        <v>3747</v>
      </c>
      <c r="C129" s="549" t="s">
        <v>2552</v>
      </c>
      <c r="D129" s="151" t="s">
        <v>4693</v>
      </c>
      <c r="E129" s="154"/>
      <c r="F129" s="175"/>
    </row>
    <row r="130" spans="2:6" s="148" customFormat="1" ht="15" customHeight="1" outlineLevel="1" x14ac:dyDescent="0.2">
      <c r="B130" s="60" t="s">
        <v>3748</v>
      </c>
      <c r="C130" s="549" t="s">
        <v>2553</v>
      </c>
      <c r="D130" s="151" t="s">
        <v>4693</v>
      </c>
      <c r="E130" s="154"/>
      <c r="F130" s="175"/>
    </row>
    <row r="131" spans="2:6" s="148" customFormat="1" ht="15" customHeight="1" outlineLevel="1" x14ac:dyDescent="0.2">
      <c r="B131" s="60" t="s">
        <v>3749</v>
      </c>
      <c r="C131" s="549" t="s">
        <v>2554</v>
      </c>
      <c r="D131" s="151" t="s">
        <v>4693</v>
      </c>
      <c r="E131" s="154"/>
      <c r="F131" s="175"/>
    </row>
    <row r="132" spans="2:6" s="148" customFormat="1" ht="15" customHeight="1" outlineLevel="1" x14ac:dyDescent="0.2">
      <c r="B132" s="60" t="s">
        <v>3750</v>
      </c>
      <c r="C132" s="549" t="s">
        <v>2555</v>
      </c>
      <c r="D132" s="151" t="s">
        <v>4693</v>
      </c>
      <c r="E132" s="154"/>
      <c r="F132" s="175"/>
    </row>
    <row r="133" spans="2:6" s="148" customFormat="1" ht="15" customHeight="1" outlineLevel="1" x14ac:dyDescent="0.2">
      <c r="B133" s="60" t="s">
        <v>3751</v>
      </c>
      <c r="C133" s="549" t="s">
        <v>2556</v>
      </c>
      <c r="D133" s="151" t="s">
        <v>4693</v>
      </c>
      <c r="E133" s="154"/>
      <c r="F133" s="175"/>
    </row>
    <row r="134" spans="2:6" s="148" customFormat="1" ht="15" customHeight="1" outlineLevel="1" x14ac:dyDescent="0.2">
      <c r="B134" s="60" t="s">
        <v>3752</v>
      </c>
      <c r="C134" s="549" t="s">
        <v>2557</v>
      </c>
      <c r="D134" s="151" t="s">
        <v>4693</v>
      </c>
      <c r="E134" s="154"/>
      <c r="F134" s="175"/>
    </row>
    <row r="135" spans="2:6" s="148" customFormat="1" ht="15" customHeight="1" outlineLevel="1" x14ac:dyDescent="0.2">
      <c r="B135" s="60" t="s">
        <v>3753</v>
      </c>
      <c r="C135" s="549" t="s">
        <v>2558</v>
      </c>
      <c r="D135" s="151" t="s">
        <v>4693</v>
      </c>
      <c r="E135" s="154"/>
      <c r="F135" s="175"/>
    </row>
    <row r="136" spans="2:6" s="148" customFormat="1" ht="15" customHeight="1" outlineLevel="1" x14ac:dyDescent="0.2">
      <c r="B136" s="60" t="s">
        <v>3754</v>
      </c>
      <c r="C136" s="549" t="s">
        <v>2559</v>
      </c>
      <c r="D136" s="151" t="s">
        <v>4693</v>
      </c>
      <c r="E136" s="154"/>
      <c r="F136" s="175"/>
    </row>
    <row r="137" spans="2:6" s="132" customFormat="1" ht="15" customHeight="1" collapsed="1" x14ac:dyDescent="0.2">
      <c r="B137" s="60" t="s">
        <v>3755</v>
      </c>
      <c r="C137" s="397">
        <v>2</v>
      </c>
      <c r="D137" s="150" t="s">
        <v>116</v>
      </c>
      <c r="E137" s="635">
        <f>E138+E159+E180+E201+E222+E243</f>
        <v>0</v>
      </c>
      <c r="F137" s="638">
        <f>F138+F159+F180+F201+F222+F243</f>
        <v>0</v>
      </c>
    </row>
    <row r="138" spans="2:6" s="79" customFormat="1" ht="15" customHeight="1" x14ac:dyDescent="0.2">
      <c r="B138" s="60" t="s">
        <v>3756</v>
      </c>
      <c r="C138" s="425">
        <v>2.1</v>
      </c>
      <c r="D138" s="131" t="s">
        <v>117</v>
      </c>
      <c r="E138" s="91">
        <f>SUM(E139:E158)</f>
        <v>0</v>
      </c>
      <c r="F138" s="92">
        <f>SUM(F139:F158)</f>
        <v>0</v>
      </c>
    </row>
    <row r="139" spans="2:6" s="148" customFormat="1" ht="15" customHeight="1" outlineLevel="1" x14ac:dyDescent="0.2">
      <c r="B139" s="60" t="s">
        <v>3757</v>
      </c>
      <c r="C139" s="549" t="s">
        <v>448</v>
      </c>
      <c r="D139" s="151" t="s">
        <v>122</v>
      </c>
      <c r="E139" s="154"/>
      <c r="F139" s="175"/>
    </row>
    <row r="140" spans="2:6" s="148" customFormat="1" ht="15" customHeight="1" outlineLevel="1" x14ac:dyDescent="0.2">
      <c r="B140" s="60" t="s">
        <v>3758</v>
      </c>
      <c r="C140" s="549" t="s">
        <v>449</v>
      </c>
      <c r="D140" s="151" t="s">
        <v>122</v>
      </c>
      <c r="E140" s="154"/>
      <c r="F140" s="175"/>
    </row>
    <row r="141" spans="2:6" s="148" customFormat="1" ht="15" customHeight="1" outlineLevel="1" x14ac:dyDescent="0.2">
      <c r="B141" s="60" t="s">
        <v>3759</v>
      </c>
      <c r="C141" s="549" t="s">
        <v>562</v>
      </c>
      <c r="D141" s="151" t="s">
        <v>122</v>
      </c>
      <c r="E141" s="154"/>
      <c r="F141" s="175"/>
    </row>
    <row r="142" spans="2:6" s="148" customFormat="1" ht="15" customHeight="1" outlineLevel="1" x14ac:dyDescent="0.2">
      <c r="B142" s="60" t="s">
        <v>3760</v>
      </c>
      <c r="C142" s="549" t="s">
        <v>563</v>
      </c>
      <c r="D142" s="151" t="s">
        <v>122</v>
      </c>
      <c r="E142" s="154"/>
      <c r="F142" s="175"/>
    </row>
    <row r="143" spans="2:6" s="148" customFormat="1" ht="15" customHeight="1" outlineLevel="1" x14ac:dyDescent="0.2">
      <c r="B143" s="60" t="s">
        <v>3761</v>
      </c>
      <c r="C143" s="549" t="s">
        <v>564</v>
      </c>
      <c r="D143" s="151" t="s">
        <v>122</v>
      </c>
      <c r="E143" s="154"/>
      <c r="F143" s="175"/>
    </row>
    <row r="144" spans="2:6" s="148" customFormat="1" ht="15" customHeight="1" outlineLevel="1" x14ac:dyDescent="0.2">
      <c r="B144" s="60" t="s">
        <v>3762</v>
      </c>
      <c r="C144" s="549" t="s">
        <v>565</v>
      </c>
      <c r="D144" s="151" t="s">
        <v>122</v>
      </c>
      <c r="E144" s="154"/>
      <c r="F144" s="175"/>
    </row>
    <row r="145" spans="2:6" s="148" customFormat="1" ht="15" customHeight="1" outlineLevel="1" x14ac:dyDescent="0.2">
      <c r="B145" s="60" t="s">
        <v>3763</v>
      </c>
      <c r="C145" s="549" t="s">
        <v>566</v>
      </c>
      <c r="D145" s="151" t="s">
        <v>122</v>
      </c>
      <c r="E145" s="154"/>
      <c r="F145" s="175"/>
    </row>
    <row r="146" spans="2:6" s="148" customFormat="1" ht="15" customHeight="1" outlineLevel="1" x14ac:dyDescent="0.2">
      <c r="B146" s="60" t="s">
        <v>3764</v>
      </c>
      <c r="C146" s="549" t="s">
        <v>567</v>
      </c>
      <c r="D146" s="151" t="s">
        <v>122</v>
      </c>
      <c r="E146" s="154"/>
      <c r="F146" s="175"/>
    </row>
    <row r="147" spans="2:6" s="148" customFormat="1" ht="15" customHeight="1" outlineLevel="1" x14ac:dyDescent="0.2">
      <c r="B147" s="60" t="s">
        <v>3765</v>
      </c>
      <c r="C147" s="549" t="s">
        <v>568</v>
      </c>
      <c r="D147" s="151" t="s">
        <v>122</v>
      </c>
      <c r="E147" s="154"/>
      <c r="F147" s="175"/>
    </row>
    <row r="148" spans="2:6" s="148" customFormat="1" ht="15" customHeight="1" outlineLevel="1" x14ac:dyDescent="0.2">
      <c r="B148" s="60" t="s">
        <v>3766</v>
      </c>
      <c r="C148" s="549" t="s">
        <v>569</v>
      </c>
      <c r="D148" s="151" t="s">
        <v>122</v>
      </c>
      <c r="E148" s="154"/>
      <c r="F148" s="175"/>
    </row>
    <row r="149" spans="2:6" s="148" customFormat="1" ht="15" customHeight="1" outlineLevel="1" x14ac:dyDescent="0.2">
      <c r="B149" s="60" t="s">
        <v>3767</v>
      </c>
      <c r="C149" s="549" t="s">
        <v>570</v>
      </c>
      <c r="D149" s="151" t="s">
        <v>122</v>
      </c>
      <c r="E149" s="154"/>
      <c r="F149" s="175"/>
    </row>
    <row r="150" spans="2:6" s="148" customFormat="1" ht="15" customHeight="1" outlineLevel="1" x14ac:dyDescent="0.2">
      <c r="B150" s="60" t="s">
        <v>3768</v>
      </c>
      <c r="C150" s="549" t="s">
        <v>571</v>
      </c>
      <c r="D150" s="151" t="s">
        <v>122</v>
      </c>
      <c r="E150" s="154"/>
      <c r="F150" s="175"/>
    </row>
    <row r="151" spans="2:6" s="148" customFormat="1" ht="15" customHeight="1" outlineLevel="1" x14ac:dyDescent="0.2">
      <c r="B151" s="60" t="s">
        <v>3769</v>
      </c>
      <c r="C151" s="549" t="s">
        <v>572</v>
      </c>
      <c r="D151" s="151" t="s">
        <v>122</v>
      </c>
      <c r="E151" s="154"/>
      <c r="F151" s="175"/>
    </row>
    <row r="152" spans="2:6" s="148" customFormat="1" ht="15" customHeight="1" outlineLevel="1" x14ac:dyDescent="0.2">
      <c r="B152" s="60" t="s">
        <v>3770</v>
      </c>
      <c r="C152" s="549" t="s">
        <v>573</v>
      </c>
      <c r="D152" s="151" t="s">
        <v>122</v>
      </c>
      <c r="E152" s="154"/>
      <c r="F152" s="175"/>
    </row>
    <row r="153" spans="2:6" s="148" customFormat="1" ht="15" customHeight="1" outlineLevel="1" x14ac:dyDescent="0.2">
      <c r="B153" s="60" t="s">
        <v>3771</v>
      </c>
      <c r="C153" s="549" t="s">
        <v>574</v>
      </c>
      <c r="D153" s="151" t="s">
        <v>122</v>
      </c>
      <c r="E153" s="154"/>
      <c r="F153" s="175"/>
    </row>
    <row r="154" spans="2:6" s="148" customFormat="1" ht="15" customHeight="1" outlineLevel="1" x14ac:dyDescent="0.2">
      <c r="B154" s="60" t="s">
        <v>3772</v>
      </c>
      <c r="C154" s="549" t="s">
        <v>575</v>
      </c>
      <c r="D154" s="151" t="s">
        <v>122</v>
      </c>
      <c r="E154" s="154"/>
      <c r="F154" s="175"/>
    </row>
    <row r="155" spans="2:6" s="148" customFormat="1" ht="15" customHeight="1" outlineLevel="1" x14ac:dyDescent="0.2">
      <c r="B155" s="60" t="s">
        <v>3773</v>
      </c>
      <c r="C155" s="549" t="s">
        <v>576</v>
      </c>
      <c r="D155" s="151" t="s">
        <v>122</v>
      </c>
      <c r="E155" s="154"/>
      <c r="F155" s="175"/>
    </row>
    <row r="156" spans="2:6" s="148" customFormat="1" ht="15" customHeight="1" outlineLevel="1" x14ac:dyDescent="0.2">
      <c r="B156" s="60" t="s">
        <v>3774</v>
      </c>
      <c r="C156" s="549" t="s">
        <v>577</v>
      </c>
      <c r="D156" s="151" t="s">
        <v>122</v>
      </c>
      <c r="E156" s="154"/>
      <c r="F156" s="175"/>
    </row>
    <row r="157" spans="2:6" s="148" customFormat="1" ht="15" customHeight="1" outlineLevel="1" x14ac:dyDescent="0.2">
      <c r="B157" s="60" t="s">
        <v>3775</v>
      </c>
      <c r="C157" s="549" t="s">
        <v>578</v>
      </c>
      <c r="D157" s="151" t="s">
        <v>122</v>
      </c>
      <c r="E157" s="154"/>
      <c r="F157" s="175"/>
    </row>
    <row r="158" spans="2:6" s="148" customFormat="1" ht="15" customHeight="1" outlineLevel="1" x14ac:dyDescent="0.2">
      <c r="B158" s="60" t="s">
        <v>3776</v>
      </c>
      <c r="C158" s="549" t="s">
        <v>579</v>
      </c>
      <c r="D158" s="151" t="s">
        <v>122</v>
      </c>
      <c r="E158" s="154"/>
      <c r="F158" s="175"/>
    </row>
    <row r="159" spans="2:6" s="79" customFormat="1" ht="15" customHeight="1" x14ac:dyDescent="0.2">
      <c r="B159" s="60" t="s">
        <v>3777</v>
      </c>
      <c r="C159" s="425">
        <v>2.2000000000000002</v>
      </c>
      <c r="D159" s="131" t="s">
        <v>4684</v>
      </c>
      <c r="E159" s="91">
        <f>SUM(E160:E179)</f>
        <v>0</v>
      </c>
      <c r="F159" s="92">
        <f>SUM(F160:F179)</f>
        <v>0</v>
      </c>
    </row>
    <row r="160" spans="2:6" s="148" customFormat="1" ht="15" customHeight="1" outlineLevel="1" x14ac:dyDescent="0.2">
      <c r="B160" s="60" t="s">
        <v>3778</v>
      </c>
      <c r="C160" s="549" t="s">
        <v>580</v>
      </c>
      <c r="D160" s="151" t="s">
        <v>122</v>
      </c>
      <c r="E160" s="154"/>
      <c r="F160" s="175"/>
    </row>
    <row r="161" spans="2:6" s="148" customFormat="1" ht="15" customHeight="1" outlineLevel="1" x14ac:dyDescent="0.2">
      <c r="B161" s="60" t="s">
        <v>3779</v>
      </c>
      <c r="C161" s="549" t="s">
        <v>581</v>
      </c>
      <c r="D161" s="151" t="s">
        <v>122</v>
      </c>
      <c r="E161" s="154"/>
      <c r="F161" s="175"/>
    </row>
    <row r="162" spans="2:6" s="148" customFormat="1" ht="15" customHeight="1" outlineLevel="1" x14ac:dyDescent="0.2">
      <c r="B162" s="60" t="s">
        <v>3780</v>
      </c>
      <c r="C162" s="549" t="s">
        <v>582</v>
      </c>
      <c r="D162" s="151" t="s">
        <v>122</v>
      </c>
      <c r="E162" s="154"/>
      <c r="F162" s="175"/>
    </row>
    <row r="163" spans="2:6" s="148" customFormat="1" ht="15" customHeight="1" outlineLevel="1" x14ac:dyDescent="0.2">
      <c r="B163" s="60" t="s">
        <v>3781</v>
      </c>
      <c r="C163" s="549" t="s">
        <v>583</v>
      </c>
      <c r="D163" s="151" t="s">
        <v>122</v>
      </c>
      <c r="E163" s="154"/>
      <c r="F163" s="175"/>
    </row>
    <row r="164" spans="2:6" s="148" customFormat="1" ht="15" customHeight="1" outlineLevel="1" x14ac:dyDescent="0.2">
      <c r="B164" s="60" t="s">
        <v>3782</v>
      </c>
      <c r="C164" s="549" t="s">
        <v>584</v>
      </c>
      <c r="D164" s="151" t="s">
        <v>122</v>
      </c>
      <c r="E164" s="154"/>
      <c r="F164" s="175"/>
    </row>
    <row r="165" spans="2:6" s="148" customFormat="1" ht="15" customHeight="1" outlineLevel="1" x14ac:dyDescent="0.2">
      <c r="B165" s="60" t="s">
        <v>3783</v>
      </c>
      <c r="C165" s="549" t="s">
        <v>585</v>
      </c>
      <c r="D165" s="151" t="s">
        <v>122</v>
      </c>
      <c r="E165" s="154"/>
      <c r="F165" s="175"/>
    </row>
    <row r="166" spans="2:6" s="148" customFormat="1" ht="15" customHeight="1" outlineLevel="1" x14ac:dyDescent="0.2">
      <c r="B166" s="60" t="s">
        <v>3784</v>
      </c>
      <c r="C166" s="549" t="s">
        <v>586</v>
      </c>
      <c r="D166" s="151" t="s">
        <v>122</v>
      </c>
      <c r="E166" s="154"/>
      <c r="F166" s="175"/>
    </row>
    <row r="167" spans="2:6" s="148" customFormat="1" ht="15" customHeight="1" outlineLevel="1" x14ac:dyDescent="0.2">
      <c r="B167" s="60" t="s">
        <v>3785</v>
      </c>
      <c r="C167" s="549" t="s">
        <v>587</v>
      </c>
      <c r="D167" s="151" t="s">
        <v>122</v>
      </c>
      <c r="E167" s="154"/>
      <c r="F167" s="175"/>
    </row>
    <row r="168" spans="2:6" s="148" customFormat="1" ht="15" customHeight="1" outlineLevel="1" x14ac:dyDescent="0.2">
      <c r="B168" s="60" t="s">
        <v>3786</v>
      </c>
      <c r="C168" s="549" t="s">
        <v>588</v>
      </c>
      <c r="D168" s="151" t="s">
        <v>122</v>
      </c>
      <c r="E168" s="154"/>
      <c r="F168" s="175"/>
    </row>
    <row r="169" spans="2:6" s="148" customFormat="1" ht="15" customHeight="1" outlineLevel="1" x14ac:dyDescent="0.2">
      <c r="B169" s="60" t="s">
        <v>3787</v>
      </c>
      <c r="C169" s="549" t="s">
        <v>589</v>
      </c>
      <c r="D169" s="151" t="s">
        <v>122</v>
      </c>
      <c r="E169" s="154"/>
      <c r="F169" s="175"/>
    </row>
    <row r="170" spans="2:6" s="148" customFormat="1" ht="15" customHeight="1" outlineLevel="1" x14ac:dyDescent="0.2">
      <c r="B170" s="60" t="s">
        <v>3788</v>
      </c>
      <c r="C170" s="549" t="s">
        <v>590</v>
      </c>
      <c r="D170" s="151" t="s">
        <v>122</v>
      </c>
      <c r="E170" s="154"/>
      <c r="F170" s="175"/>
    </row>
    <row r="171" spans="2:6" s="148" customFormat="1" ht="15" customHeight="1" outlineLevel="1" x14ac:dyDescent="0.2">
      <c r="B171" s="60" t="s">
        <v>3789</v>
      </c>
      <c r="C171" s="549" t="s">
        <v>591</v>
      </c>
      <c r="D171" s="151" t="s">
        <v>122</v>
      </c>
      <c r="E171" s="154"/>
      <c r="F171" s="175"/>
    </row>
    <row r="172" spans="2:6" s="148" customFormat="1" ht="15" customHeight="1" outlineLevel="1" x14ac:dyDescent="0.2">
      <c r="B172" s="60" t="s">
        <v>3790</v>
      </c>
      <c r="C172" s="549" t="s">
        <v>592</v>
      </c>
      <c r="D172" s="151" t="s">
        <v>122</v>
      </c>
      <c r="E172" s="154"/>
      <c r="F172" s="175"/>
    </row>
    <row r="173" spans="2:6" s="148" customFormat="1" ht="15" customHeight="1" outlineLevel="1" x14ac:dyDescent="0.2">
      <c r="B173" s="60" t="s">
        <v>3791</v>
      </c>
      <c r="C173" s="549" t="s">
        <v>593</v>
      </c>
      <c r="D173" s="151" t="s">
        <v>122</v>
      </c>
      <c r="E173" s="154"/>
      <c r="F173" s="175"/>
    </row>
    <row r="174" spans="2:6" s="148" customFormat="1" ht="15" customHeight="1" outlineLevel="1" x14ac:dyDescent="0.2">
      <c r="B174" s="60" t="s">
        <v>3792</v>
      </c>
      <c r="C174" s="549" t="s">
        <v>594</v>
      </c>
      <c r="D174" s="151" t="s">
        <v>122</v>
      </c>
      <c r="E174" s="154"/>
      <c r="F174" s="175"/>
    </row>
    <row r="175" spans="2:6" s="148" customFormat="1" ht="15" customHeight="1" outlineLevel="1" x14ac:dyDescent="0.2">
      <c r="B175" s="60" t="s">
        <v>3793</v>
      </c>
      <c r="C175" s="549" t="s">
        <v>595</v>
      </c>
      <c r="D175" s="151" t="s">
        <v>122</v>
      </c>
      <c r="E175" s="154"/>
      <c r="F175" s="175"/>
    </row>
    <row r="176" spans="2:6" s="148" customFormat="1" ht="15" customHeight="1" outlineLevel="1" x14ac:dyDescent="0.2">
      <c r="B176" s="60" t="s">
        <v>3794</v>
      </c>
      <c r="C176" s="549" t="s">
        <v>596</v>
      </c>
      <c r="D176" s="151" t="s">
        <v>122</v>
      </c>
      <c r="E176" s="154"/>
      <c r="F176" s="175"/>
    </row>
    <row r="177" spans="2:6" s="148" customFormat="1" ht="15" customHeight="1" outlineLevel="1" x14ac:dyDescent="0.2">
      <c r="B177" s="60" t="s">
        <v>3795</v>
      </c>
      <c r="C177" s="549" t="s">
        <v>597</v>
      </c>
      <c r="D177" s="151" t="s">
        <v>122</v>
      </c>
      <c r="E177" s="154"/>
      <c r="F177" s="175"/>
    </row>
    <row r="178" spans="2:6" s="148" customFormat="1" ht="15" customHeight="1" outlineLevel="1" x14ac:dyDescent="0.2">
      <c r="B178" s="60" t="s">
        <v>3796</v>
      </c>
      <c r="C178" s="549" t="s">
        <v>598</v>
      </c>
      <c r="D178" s="151" t="s">
        <v>122</v>
      </c>
      <c r="E178" s="154"/>
      <c r="F178" s="175"/>
    </row>
    <row r="179" spans="2:6" s="148" customFormat="1" ht="15" customHeight="1" outlineLevel="1" x14ac:dyDescent="0.2">
      <c r="B179" s="60" t="s">
        <v>3797</v>
      </c>
      <c r="C179" s="549" t="s">
        <v>599</v>
      </c>
      <c r="D179" s="151" t="s">
        <v>122</v>
      </c>
      <c r="E179" s="154"/>
      <c r="F179" s="175"/>
    </row>
    <row r="180" spans="2:6" s="79" customFormat="1" ht="15" customHeight="1" x14ac:dyDescent="0.2">
      <c r="B180" s="60" t="s">
        <v>3798</v>
      </c>
      <c r="C180" s="425">
        <v>2.2999999999999998</v>
      </c>
      <c r="D180" s="131" t="s">
        <v>119</v>
      </c>
      <c r="E180" s="91">
        <f>SUM(E181:E200)</f>
        <v>0</v>
      </c>
      <c r="F180" s="92">
        <f>SUM(F181:F200)</f>
        <v>0</v>
      </c>
    </row>
    <row r="181" spans="2:6" s="148" customFormat="1" ht="15" customHeight="1" outlineLevel="1" x14ac:dyDescent="0.2">
      <c r="B181" s="60" t="s">
        <v>3799</v>
      </c>
      <c r="C181" s="549" t="s">
        <v>1604</v>
      </c>
      <c r="D181" s="151" t="s">
        <v>122</v>
      </c>
      <c r="E181" s="154"/>
      <c r="F181" s="175"/>
    </row>
    <row r="182" spans="2:6" s="148" customFormat="1" ht="15" customHeight="1" outlineLevel="1" x14ac:dyDescent="0.2">
      <c r="B182" s="60" t="s">
        <v>3800</v>
      </c>
      <c r="C182" s="549" t="s">
        <v>1605</v>
      </c>
      <c r="D182" s="151" t="s">
        <v>122</v>
      </c>
      <c r="E182" s="154"/>
      <c r="F182" s="175"/>
    </row>
    <row r="183" spans="2:6" s="148" customFormat="1" ht="15" customHeight="1" outlineLevel="1" x14ac:dyDescent="0.2">
      <c r="B183" s="60" t="s">
        <v>3801</v>
      </c>
      <c r="C183" s="549" t="s">
        <v>1606</v>
      </c>
      <c r="D183" s="151" t="s">
        <v>122</v>
      </c>
      <c r="E183" s="154"/>
      <c r="F183" s="175"/>
    </row>
    <row r="184" spans="2:6" s="148" customFormat="1" ht="15" customHeight="1" outlineLevel="1" x14ac:dyDescent="0.2">
      <c r="B184" s="60" t="s">
        <v>3802</v>
      </c>
      <c r="C184" s="549" t="s">
        <v>1607</v>
      </c>
      <c r="D184" s="151" t="s">
        <v>122</v>
      </c>
      <c r="E184" s="154"/>
      <c r="F184" s="175"/>
    </row>
    <row r="185" spans="2:6" s="148" customFormat="1" ht="15" customHeight="1" outlineLevel="1" x14ac:dyDescent="0.2">
      <c r="B185" s="60" t="s">
        <v>3803</v>
      </c>
      <c r="C185" s="549" t="s">
        <v>1608</v>
      </c>
      <c r="D185" s="151" t="s">
        <v>122</v>
      </c>
      <c r="E185" s="154"/>
      <c r="F185" s="175"/>
    </row>
    <row r="186" spans="2:6" s="148" customFormat="1" ht="15" customHeight="1" outlineLevel="1" x14ac:dyDescent="0.2">
      <c r="B186" s="60" t="s">
        <v>3804</v>
      </c>
      <c r="C186" s="549" t="s">
        <v>1609</v>
      </c>
      <c r="D186" s="151" t="s">
        <v>122</v>
      </c>
      <c r="E186" s="154"/>
      <c r="F186" s="175"/>
    </row>
    <row r="187" spans="2:6" s="148" customFormat="1" ht="15" customHeight="1" outlineLevel="1" x14ac:dyDescent="0.2">
      <c r="B187" s="60" t="s">
        <v>3805</v>
      </c>
      <c r="C187" s="549" t="s">
        <v>1610</v>
      </c>
      <c r="D187" s="151" t="s">
        <v>122</v>
      </c>
      <c r="E187" s="154"/>
      <c r="F187" s="175"/>
    </row>
    <row r="188" spans="2:6" s="148" customFormat="1" ht="15" customHeight="1" outlineLevel="1" x14ac:dyDescent="0.2">
      <c r="B188" s="60" t="s">
        <v>3806</v>
      </c>
      <c r="C188" s="549" t="s">
        <v>1611</v>
      </c>
      <c r="D188" s="151" t="s">
        <v>122</v>
      </c>
      <c r="E188" s="154"/>
      <c r="F188" s="175"/>
    </row>
    <row r="189" spans="2:6" s="148" customFormat="1" ht="15" customHeight="1" outlineLevel="1" x14ac:dyDescent="0.2">
      <c r="B189" s="60" t="s">
        <v>3807</v>
      </c>
      <c r="C189" s="549" t="s">
        <v>1612</v>
      </c>
      <c r="D189" s="151" t="s">
        <v>122</v>
      </c>
      <c r="E189" s="154"/>
      <c r="F189" s="175"/>
    </row>
    <row r="190" spans="2:6" s="148" customFormat="1" ht="15" customHeight="1" outlineLevel="1" x14ac:dyDescent="0.2">
      <c r="B190" s="60" t="s">
        <v>3808</v>
      </c>
      <c r="C190" s="549" t="s">
        <v>1613</v>
      </c>
      <c r="D190" s="151" t="s">
        <v>122</v>
      </c>
      <c r="E190" s="154"/>
      <c r="F190" s="175"/>
    </row>
    <row r="191" spans="2:6" s="148" customFormat="1" ht="15" customHeight="1" outlineLevel="1" x14ac:dyDescent="0.2">
      <c r="B191" s="60" t="s">
        <v>3809</v>
      </c>
      <c r="C191" s="549" t="s">
        <v>1614</v>
      </c>
      <c r="D191" s="151" t="s">
        <v>122</v>
      </c>
      <c r="E191" s="154"/>
      <c r="F191" s="175"/>
    </row>
    <row r="192" spans="2:6" s="148" customFormat="1" ht="15" customHeight="1" outlineLevel="1" x14ac:dyDescent="0.2">
      <c r="B192" s="60" t="s">
        <v>3810</v>
      </c>
      <c r="C192" s="549" t="s">
        <v>1615</v>
      </c>
      <c r="D192" s="151" t="s">
        <v>122</v>
      </c>
      <c r="E192" s="154"/>
      <c r="F192" s="175"/>
    </row>
    <row r="193" spans="2:6" s="148" customFormat="1" ht="15" customHeight="1" outlineLevel="1" x14ac:dyDescent="0.2">
      <c r="B193" s="60" t="s">
        <v>3811</v>
      </c>
      <c r="C193" s="549" t="s">
        <v>1616</v>
      </c>
      <c r="D193" s="151" t="s">
        <v>122</v>
      </c>
      <c r="E193" s="154"/>
      <c r="F193" s="175"/>
    </row>
    <row r="194" spans="2:6" s="148" customFormat="1" ht="15" customHeight="1" outlineLevel="1" x14ac:dyDescent="0.2">
      <c r="B194" s="60" t="s">
        <v>3812</v>
      </c>
      <c r="C194" s="549" t="s">
        <v>1617</v>
      </c>
      <c r="D194" s="151" t="s">
        <v>122</v>
      </c>
      <c r="E194" s="154"/>
      <c r="F194" s="175"/>
    </row>
    <row r="195" spans="2:6" s="148" customFormat="1" ht="15" customHeight="1" outlineLevel="1" x14ac:dyDescent="0.2">
      <c r="B195" s="60" t="s">
        <v>3813</v>
      </c>
      <c r="C195" s="549" t="s">
        <v>1618</v>
      </c>
      <c r="D195" s="151" t="s">
        <v>122</v>
      </c>
      <c r="E195" s="154"/>
      <c r="F195" s="175"/>
    </row>
    <row r="196" spans="2:6" s="148" customFormat="1" ht="15" customHeight="1" outlineLevel="1" x14ac:dyDescent="0.2">
      <c r="B196" s="60" t="s">
        <v>3814</v>
      </c>
      <c r="C196" s="549" t="s">
        <v>1619</v>
      </c>
      <c r="D196" s="151" t="s">
        <v>122</v>
      </c>
      <c r="E196" s="154"/>
      <c r="F196" s="175"/>
    </row>
    <row r="197" spans="2:6" s="148" customFormat="1" ht="15" customHeight="1" outlineLevel="1" x14ac:dyDescent="0.2">
      <c r="B197" s="60" t="s">
        <v>3815</v>
      </c>
      <c r="C197" s="549" t="s">
        <v>1620</v>
      </c>
      <c r="D197" s="151" t="s">
        <v>122</v>
      </c>
      <c r="E197" s="154"/>
      <c r="F197" s="175"/>
    </row>
    <row r="198" spans="2:6" s="148" customFormat="1" ht="15" customHeight="1" outlineLevel="1" x14ac:dyDescent="0.2">
      <c r="B198" s="60" t="s">
        <v>3816</v>
      </c>
      <c r="C198" s="549" t="s">
        <v>1621</v>
      </c>
      <c r="D198" s="151" t="s">
        <v>122</v>
      </c>
      <c r="E198" s="154"/>
      <c r="F198" s="175"/>
    </row>
    <row r="199" spans="2:6" s="148" customFormat="1" ht="15" customHeight="1" outlineLevel="1" x14ac:dyDescent="0.2">
      <c r="B199" s="60" t="s">
        <v>3817</v>
      </c>
      <c r="C199" s="549" t="s">
        <v>1622</v>
      </c>
      <c r="D199" s="151" t="s">
        <v>122</v>
      </c>
      <c r="E199" s="154"/>
      <c r="F199" s="175"/>
    </row>
    <row r="200" spans="2:6" s="148" customFormat="1" ht="15" customHeight="1" outlineLevel="1" x14ac:dyDescent="0.2">
      <c r="B200" s="60" t="s">
        <v>3818</v>
      </c>
      <c r="C200" s="549" t="s">
        <v>1623</v>
      </c>
      <c r="D200" s="151" t="s">
        <v>122</v>
      </c>
      <c r="E200" s="154"/>
      <c r="F200" s="175"/>
    </row>
    <row r="201" spans="2:6" s="79" customFormat="1" ht="15" customHeight="1" x14ac:dyDescent="0.2">
      <c r="B201" s="60" t="s">
        <v>3819</v>
      </c>
      <c r="C201" s="425">
        <v>2.4</v>
      </c>
      <c r="D201" s="131" t="s">
        <v>123</v>
      </c>
      <c r="E201" s="91">
        <f>SUM(E202:E221)</f>
        <v>0</v>
      </c>
      <c r="F201" s="92">
        <f>SUM(F202:F221)</f>
        <v>0</v>
      </c>
    </row>
    <row r="202" spans="2:6" s="148" customFormat="1" ht="15" customHeight="1" outlineLevel="1" x14ac:dyDescent="0.2">
      <c r="B202" s="60" t="s">
        <v>3820</v>
      </c>
      <c r="C202" s="549" t="s">
        <v>1624</v>
      </c>
      <c r="D202" s="151" t="s">
        <v>122</v>
      </c>
      <c r="E202" s="154"/>
      <c r="F202" s="175"/>
    </row>
    <row r="203" spans="2:6" s="148" customFormat="1" ht="15" customHeight="1" outlineLevel="1" x14ac:dyDescent="0.2">
      <c r="B203" s="60" t="s">
        <v>3821</v>
      </c>
      <c r="C203" s="549" t="s">
        <v>1625</v>
      </c>
      <c r="D203" s="151" t="s">
        <v>122</v>
      </c>
      <c r="E203" s="154"/>
      <c r="F203" s="175"/>
    </row>
    <row r="204" spans="2:6" s="148" customFormat="1" ht="15" customHeight="1" outlineLevel="1" x14ac:dyDescent="0.2">
      <c r="B204" s="60" t="s">
        <v>3822</v>
      </c>
      <c r="C204" s="549" t="s">
        <v>1626</v>
      </c>
      <c r="D204" s="151" t="s">
        <v>122</v>
      </c>
      <c r="E204" s="154"/>
      <c r="F204" s="175"/>
    </row>
    <row r="205" spans="2:6" s="148" customFormat="1" ht="15" customHeight="1" outlineLevel="1" x14ac:dyDescent="0.2">
      <c r="B205" s="60" t="s">
        <v>3823</v>
      </c>
      <c r="C205" s="549" t="s">
        <v>1627</v>
      </c>
      <c r="D205" s="151" t="s">
        <v>122</v>
      </c>
      <c r="E205" s="154"/>
      <c r="F205" s="175"/>
    </row>
    <row r="206" spans="2:6" s="148" customFormat="1" ht="15" customHeight="1" outlineLevel="1" x14ac:dyDescent="0.2">
      <c r="B206" s="60" t="s">
        <v>3824</v>
      </c>
      <c r="C206" s="549" t="s">
        <v>1628</v>
      </c>
      <c r="D206" s="151" t="s">
        <v>122</v>
      </c>
      <c r="E206" s="154"/>
      <c r="F206" s="175"/>
    </row>
    <row r="207" spans="2:6" s="148" customFormat="1" ht="15" customHeight="1" outlineLevel="1" x14ac:dyDescent="0.2">
      <c r="B207" s="60" t="s">
        <v>3825</v>
      </c>
      <c r="C207" s="549" t="s">
        <v>1629</v>
      </c>
      <c r="D207" s="151" t="s">
        <v>122</v>
      </c>
      <c r="E207" s="154"/>
      <c r="F207" s="175"/>
    </row>
    <row r="208" spans="2:6" s="148" customFormat="1" ht="15" customHeight="1" outlineLevel="1" x14ac:dyDescent="0.2">
      <c r="B208" s="60" t="s">
        <v>3826</v>
      </c>
      <c r="C208" s="549" t="s">
        <v>1630</v>
      </c>
      <c r="D208" s="151" t="s">
        <v>122</v>
      </c>
      <c r="E208" s="154"/>
      <c r="F208" s="175"/>
    </row>
    <row r="209" spans="2:6" s="148" customFormat="1" ht="15" customHeight="1" outlineLevel="1" x14ac:dyDescent="0.2">
      <c r="B209" s="60" t="s">
        <v>3827</v>
      </c>
      <c r="C209" s="549" t="s">
        <v>1631</v>
      </c>
      <c r="D209" s="151" t="s">
        <v>122</v>
      </c>
      <c r="E209" s="154"/>
      <c r="F209" s="175"/>
    </row>
    <row r="210" spans="2:6" s="148" customFormat="1" ht="15" customHeight="1" outlineLevel="1" x14ac:dyDescent="0.2">
      <c r="B210" s="60" t="s">
        <v>3828</v>
      </c>
      <c r="C210" s="549" t="s">
        <v>1632</v>
      </c>
      <c r="D210" s="151" t="s">
        <v>122</v>
      </c>
      <c r="E210" s="154"/>
      <c r="F210" s="175"/>
    </row>
    <row r="211" spans="2:6" s="148" customFormat="1" ht="15" customHeight="1" outlineLevel="1" x14ac:dyDescent="0.2">
      <c r="B211" s="60" t="s">
        <v>3829</v>
      </c>
      <c r="C211" s="549" t="s">
        <v>1633</v>
      </c>
      <c r="D211" s="151" t="s">
        <v>122</v>
      </c>
      <c r="E211" s="154"/>
      <c r="F211" s="175"/>
    </row>
    <row r="212" spans="2:6" s="148" customFormat="1" ht="15" customHeight="1" outlineLevel="1" x14ac:dyDescent="0.2">
      <c r="B212" s="60" t="s">
        <v>3830</v>
      </c>
      <c r="C212" s="549" t="s">
        <v>1634</v>
      </c>
      <c r="D212" s="151" t="s">
        <v>122</v>
      </c>
      <c r="E212" s="154"/>
      <c r="F212" s="175"/>
    </row>
    <row r="213" spans="2:6" s="148" customFormat="1" ht="15" customHeight="1" outlineLevel="1" x14ac:dyDescent="0.2">
      <c r="B213" s="60" t="s">
        <v>3831</v>
      </c>
      <c r="C213" s="549" t="s">
        <v>1635</v>
      </c>
      <c r="D213" s="151" t="s">
        <v>122</v>
      </c>
      <c r="E213" s="154"/>
      <c r="F213" s="175"/>
    </row>
    <row r="214" spans="2:6" s="148" customFormat="1" ht="15" customHeight="1" outlineLevel="1" x14ac:dyDescent="0.2">
      <c r="B214" s="60" t="s">
        <v>3832</v>
      </c>
      <c r="C214" s="549" t="s">
        <v>1636</v>
      </c>
      <c r="D214" s="151" t="s">
        <v>122</v>
      </c>
      <c r="E214" s="154"/>
      <c r="F214" s="175"/>
    </row>
    <row r="215" spans="2:6" s="148" customFormat="1" ht="15" customHeight="1" outlineLevel="1" x14ac:dyDescent="0.2">
      <c r="B215" s="60" t="s">
        <v>3833</v>
      </c>
      <c r="C215" s="549" t="s">
        <v>1637</v>
      </c>
      <c r="D215" s="151" t="s">
        <v>122</v>
      </c>
      <c r="E215" s="154"/>
      <c r="F215" s="175"/>
    </row>
    <row r="216" spans="2:6" s="148" customFormat="1" ht="15" customHeight="1" outlineLevel="1" x14ac:dyDescent="0.2">
      <c r="B216" s="60" t="s">
        <v>3834</v>
      </c>
      <c r="C216" s="549" t="s">
        <v>1638</v>
      </c>
      <c r="D216" s="151" t="s">
        <v>122</v>
      </c>
      <c r="E216" s="154"/>
      <c r="F216" s="175"/>
    </row>
    <row r="217" spans="2:6" s="148" customFormat="1" ht="15" customHeight="1" outlineLevel="1" x14ac:dyDescent="0.2">
      <c r="B217" s="60" t="s">
        <v>3835</v>
      </c>
      <c r="C217" s="549" t="s">
        <v>1639</v>
      </c>
      <c r="D217" s="151" t="s">
        <v>122</v>
      </c>
      <c r="E217" s="154"/>
      <c r="F217" s="175"/>
    </row>
    <row r="218" spans="2:6" s="148" customFormat="1" ht="15" customHeight="1" outlineLevel="1" x14ac:dyDescent="0.2">
      <c r="B218" s="60" t="s">
        <v>3836</v>
      </c>
      <c r="C218" s="549" t="s">
        <v>1640</v>
      </c>
      <c r="D218" s="151" t="s">
        <v>122</v>
      </c>
      <c r="E218" s="154"/>
      <c r="F218" s="175"/>
    </row>
    <row r="219" spans="2:6" s="148" customFormat="1" ht="15" customHeight="1" outlineLevel="1" x14ac:dyDescent="0.2">
      <c r="B219" s="60" t="s">
        <v>3837</v>
      </c>
      <c r="C219" s="549" t="s">
        <v>1641</v>
      </c>
      <c r="D219" s="151" t="s">
        <v>122</v>
      </c>
      <c r="E219" s="154"/>
      <c r="F219" s="175"/>
    </row>
    <row r="220" spans="2:6" s="148" customFormat="1" ht="15" customHeight="1" outlineLevel="1" x14ac:dyDescent="0.2">
      <c r="B220" s="60" t="s">
        <v>3838</v>
      </c>
      <c r="C220" s="549" t="s">
        <v>1642</v>
      </c>
      <c r="D220" s="151" t="s">
        <v>122</v>
      </c>
      <c r="E220" s="154"/>
      <c r="F220" s="175"/>
    </row>
    <row r="221" spans="2:6" s="148" customFormat="1" ht="15" customHeight="1" outlineLevel="1" x14ac:dyDescent="0.2">
      <c r="B221" s="60" t="s">
        <v>3839</v>
      </c>
      <c r="C221" s="549" t="s">
        <v>1643</v>
      </c>
      <c r="D221" s="151" t="s">
        <v>122</v>
      </c>
      <c r="E221" s="154"/>
      <c r="F221" s="175"/>
    </row>
    <row r="222" spans="2:6" s="79" customFormat="1" ht="15" customHeight="1" x14ac:dyDescent="0.2">
      <c r="B222" s="60" t="s">
        <v>3840</v>
      </c>
      <c r="C222" s="425">
        <v>2.5</v>
      </c>
      <c r="D222" s="131" t="s">
        <v>118</v>
      </c>
      <c r="E222" s="91">
        <f>SUM(E223:E242)</f>
        <v>0</v>
      </c>
      <c r="F222" s="92">
        <f>SUM(F223:F242)</f>
        <v>0</v>
      </c>
    </row>
    <row r="223" spans="2:6" s="148" customFormat="1" ht="15" customHeight="1" outlineLevel="1" x14ac:dyDescent="0.2">
      <c r="B223" s="60" t="s">
        <v>3841</v>
      </c>
      <c r="C223" s="549" t="s">
        <v>2391</v>
      </c>
      <c r="D223" s="151" t="s">
        <v>122</v>
      </c>
      <c r="E223" s="154"/>
      <c r="F223" s="175"/>
    </row>
    <row r="224" spans="2:6" s="148" customFormat="1" ht="15" customHeight="1" outlineLevel="1" x14ac:dyDescent="0.2">
      <c r="B224" s="60" t="s">
        <v>3842</v>
      </c>
      <c r="C224" s="549" t="s">
        <v>2392</v>
      </c>
      <c r="D224" s="151" t="s">
        <v>122</v>
      </c>
      <c r="E224" s="154"/>
      <c r="F224" s="175"/>
    </row>
    <row r="225" spans="2:6" s="148" customFormat="1" ht="15" customHeight="1" outlineLevel="1" x14ac:dyDescent="0.2">
      <c r="B225" s="60" t="s">
        <v>3843</v>
      </c>
      <c r="C225" s="549" t="s">
        <v>2393</v>
      </c>
      <c r="D225" s="151" t="s">
        <v>122</v>
      </c>
      <c r="E225" s="154"/>
      <c r="F225" s="175"/>
    </row>
    <row r="226" spans="2:6" s="148" customFormat="1" ht="15" customHeight="1" outlineLevel="1" x14ac:dyDescent="0.2">
      <c r="B226" s="60" t="s">
        <v>3844</v>
      </c>
      <c r="C226" s="549" t="s">
        <v>2394</v>
      </c>
      <c r="D226" s="151" t="s">
        <v>122</v>
      </c>
      <c r="E226" s="154"/>
      <c r="F226" s="175"/>
    </row>
    <row r="227" spans="2:6" s="148" customFormat="1" ht="15" customHeight="1" outlineLevel="1" x14ac:dyDescent="0.2">
      <c r="B227" s="60" t="s">
        <v>3845</v>
      </c>
      <c r="C227" s="549" t="s">
        <v>2395</v>
      </c>
      <c r="D227" s="151" t="s">
        <v>122</v>
      </c>
      <c r="E227" s="154"/>
      <c r="F227" s="175"/>
    </row>
    <row r="228" spans="2:6" s="148" customFormat="1" ht="15" customHeight="1" outlineLevel="1" x14ac:dyDescent="0.2">
      <c r="B228" s="60" t="s">
        <v>3846</v>
      </c>
      <c r="C228" s="549" t="s">
        <v>2396</v>
      </c>
      <c r="D228" s="151" t="s">
        <v>122</v>
      </c>
      <c r="E228" s="154"/>
      <c r="F228" s="175"/>
    </row>
    <row r="229" spans="2:6" s="148" customFormat="1" ht="15" customHeight="1" outlineLevel="1" x14ac:dyDescent="0.2">
      <c r="B229" s="60" t="s">
        <v>3847</v>
      </c>
      <c r="C229" s="549" t="s">
        <v>2397</v>
      </c>
      <c r="D229" s="151" t="s">
        <v>122</v>
      </c>
      <c r="E229" s="154"/>
      <c r="F229" s="175"/>
    </row>
    <row r="230" spans="2:6" s="148" customFormat="1" ht="15" customHeight="1" outlineLevel="1" x14ac:dyDescent="0.2">
      <c r="B230" s="60" t="s">
        <v>3848</v>
      </c>
      <c r="C230" s="549" t="s">
        <v>2398</v>
      </c>
      <c r="D230" s="151" t="s">
        <v>122</v>
      </c>
      <c r="E230" s="154"/>
      <c r="F230" s="175"/>
    </row>
    <row r="231" spans="2:6" s="148" customFormat="1" ht="15" customHeight="1" outlineLevel="1" x14ac:dyDescent="0.2">
      <c r="B231" s="60" t="s">
        <v>3849</v>
      </c>
      <c r="C231" s="549" t="s">
        <v>2399</v>
      </c>
      <c r="D231" s="151" t="s">
        <v>122</v>
      </c>
      <c r="E231" s="154"/>
      <c r="F231" s="175"/>
    </row>
    <row r="232" spans="2:6" s="148" customFormat="1" ht="15" customHeight="1" outlineLevel="1" x14ac:dyDescent="0.2">
      <c r="B232" s="60" t="s">
        <v>3850</v>
      </c>
      <c r="C232" s="549" t="s">
        <v>2400</v>
      </c>
      <c r="D232" s="151" t="s">
        <v>122</v>
      </c>
      <c r="E232" s="154"/>
      <c r="F232" s="175"/>
    </row>
    <row r="233" spans="2:6" s="148" customFormat="1" ht="15" customHeight="1" outlineLevel="1" x14ac:dyDescent="0.2">
      <c r="B233" s="60" t="s">
        <v>3851</v>
      </c>
      <c r="C233" s="549" t="s">
        <v>2401</v>
      </c>
      <c r="D233" s="151" t="s">
        <v>122</v>
      </c>
      <c r="E233" s="154"/>
      <c r="F233" s="175"/>
    </row>
    <row r="234" spans="2:6" s="148" customFormat="1" ht="15" customHeight="1" outlineLevel="1" x14ac:dyDescent="0.2">
      <c r="B234" s="60" t="s">
        <v>3852</v>
      </c>
      <c r="C234" s="549" t="s">
        <v>2402</v>
      </c>
      <c r="D234" s="151" t="s">
        <v>122</v>
      </c>
      <c r="E234" s="154"/>
      <c r="F234" s="175"/>
    </row>
    <row r="235" spans="2:6" s="148" customFormat="1" ht="15" customHeight="1" outlineLevel="1" x14ac:dyDescent="0.2">
      <c r="B235" s="60" t="s">
        <v>3853</v>
      </c>
      <c r="C235" s="549" t="s">
        <v>2403</v>
      </c>
      <c r="D235" s="151" t="s">
        <v>122</v>
      </c>
      <c r="E235" s="154"/>
      <c r="F235" s="175"/>
    </row>
    <row r="236" spans="2:6" s="148" customFormat="1" ht="15" customHeight="1" outlineLevel="1" x14ac:dyDescent="0.2">
      <c r="B236" s="60" t="s">
        <v>3854</v>
      </c>
      <c r="C236" s="549" t="s">
        <v>2404</v>
      </c>
      <c r="D236" s="151" t="s">
        <v>122</v>
      </c>
      <c r="E236" s="154"/>
      <c r="F236" s="175"/>
    </row>
    <row r="237" spans="2:6" s="148" customFormat="1" ht="15" customHeight="1" outlineLevel="1" x14ac:dyDescent="0.2">
      <c r="B237" s="60" t="s">
        <v>3855</v>
      </c>
      <c r="C237" s="549" t="s">
        <v>2405</v>
      </c>
      <c r="D237" s="151" t="s">
        <v>122</v>
      </c>
      <c r="E237" s="154"/>
      <c r="F237" s="175"/>
    </row>
    <row r="238" spans="2:6" s="148" customFormat="1" ht="15" customHeight="1" outlineLevel="1" x14ac:dyDescent="0.2">
      <c r="B238" s="60" t="s">
        <v>3856</v>
      </c>
      <c r="C238" s="549" t="s">
        <v>2406</v>
      </c>
      <c r="D238" s="151" t="s">
        <v>122</v>
      </c>
      <c r="E238" s="154"/>
      <c r="F238" s="175"/>
    </row>
    <row r="239" spans="2:6" s="148" customFormat="1" ht="15" customHeight="1" outlineLevel="1" x14ac:dyDescent="0.2">
      <c r="B239" s="60" t="s">
        <v>3857</v>
      </c>
      <c r="C239" s="549" t="s">
        <v>2407</v>
      </c>
      <c r="D239" s="151" t="s">
        <v>122</v>
      </c>
      <c r="E239" s="154"/>
      <c r="F239" s="175"/>
    </row>
    <row r="240" spans="2:6" s="148" customFormat="1" ht="15" customHeight="1" outlineLevel="1" x14ac:dyDescent="0.2">
      <c r="B240" s="60" t="s">
        <v>3858</v>
      </c>
      <c r="C240" s="549" t="s">
        <v>2408</v>
      </c>
      <c r="D240" s="151" t="s">
        <v>122</v>
      </c>
      <c r="E240" s="154"/>
      <c r="F240" s="175"/>
    </row>
    <row r="241" spans="2:6" s="148" customFormat="1" ht="15" customHeight="1" outlineLevel="1" x14ac:dyDescent="0.2">
      <c r="B241" s="60" t="s">
        <v>3859</v>
      </c>
      <c r="C241" s="549" t="s">
        <v>2409</v>
      </c>
      <c r="D241" s="151" t="s">
        <v>122</v>
      </c>
      <c r="E241" s="154"/>
      <c r="F241" s="175"/>
    </row>
    <row r="242" spans="2:6" s="148" customFormat="1" ht="15" customHeight="1" outlineLevel="1" x14ac:dyDescent="0.2">
      <c r="B242" s="60" t="s">
        <v>3860</v>
      </c>
      <c r="C242" s="549" t="s">
        <v>2410</v>
      </c>
      <c r="D242" s="151" t="s">
        <v>122</v>
      </c>
      <c r="E242" s="154"/>
      <c r="F242" s="175"/>
    </row>
    <row r="243" spans="2:6" s="79" customFormat="1" ht="15" customHeight="1" x14ac:dyDescent="0.2">
      <c r="B243" s="60" t="s">
        <v>3861</v>
      </c>
      <c r="C243" s="425">
        <v>2.6</v>
      </c>
      <c r="D243" s="131" t="s">
        <v>4685</v>
      </c>
      <c r="E243" s="91">
        <f>SUM(E244:E263)</f>
        <v>0</v>
      </c>
      <c r="F243" s="92">
        <f>SUM(F244:F263)</f>
        <v>0</v>
      </c>
    </row>
    <row r="244" spans="2:6" s="148" customFormat="1" ht="15" customHeight="1" outlineLevel="1" x14ac:dyDescent="0.2">
      <c r="B244" s="60" t="s">
        <v>3862</v>
      </c>
      <c r="C244" s="506" t="s">
        <v>2411</v>
      </c>
      <c r="D244" s="151" t="s">
        <v>122</v>
      </c>
      <c r="E244" s="154"/>
      <c r="F244" s="175"/>
    </row>
    <row r="245" spans="2:6" s="148" customFormat="1" ht="15" customHeight="1" outlineLevel="1" x14ac:dyDescent="0.2">
      <c r="B245" s="60" t="s">
        <v>3863</v>
      </c>
      <c r="C245" s="506" t="s">
        <v>2412</v>
      </c>
      <c r="D245" s="151" t="s">
        <v>122</v>
      </c>
      <c r="E245" s="154"/>
      <c r="F245" s="175"/>
    </row>
    <row r="246" spans="2:6" s="148" customFormat="1" ht="15" customHeight="1" outlineLevel="1" x14ac:dyDescent="0.2">
      <c r="B246" s="60" t="s">
        <v>3864</v>
      </c>
      <c r="C246" s="506" t="s">
        <v>2413</v>
      </c>
      <c r="D246" s="151" t="s">
        <v>122</v>
      </c>
      <c r="E246" s="154"/>
      <c r="F246" s="175"/>
    </row>
    <row r="247" spans="2:6" s="148" customFormat="1" ht="15" customHeight="1" outlineLevel="1" x14ac:dyDescent="0.2">
      <c r="B247" s="60" t="s">
        <v>3865</v>
      </c>
      <c r="C247" s="506" t="s">
        <v>2414</v>
      </c>
      <c r="D247" s="151" t="s">
        <v>122</v>
      </c>
      <c r="E247" s="154"/>
      <c r="F247" s="175"/>
    </row>
    <row r="248" spans="2:6" s="148" customFormat="1" ht="15" customHeight="1" outlineLevel="1" x14ac:dyDescent="0.2">
      <c r="B248" s="60" t="s">
        <v>3866</v>
      </c>
      <c r="C248" s="506" t="s">
        <v>2415</v>
      </c>
      <c r="D248" s="151" t="s">
        <v>122</v>
      </c>
      <c r="E248" s="154"/>
      <c r="F248" s="175"/>
    </row>
    <row r="249" spans="2:6" s="148" customFormat="1" ht="15" customHeight="1" outlineLevel="1" x14ac:dyDescent="0.2">
      <c r="B249" s="60" t="s">
        <v>3867</v>
      </c>
      <c r="C249" s="506" t="s">
        <v>2416</v>
      </c>
      <c r="D249" s="151" t="s">
        <v>122</v>
      </c>
      <c r="E249" s="154"/>
      <c r="F249" s="175"/>
    </row>
    <row r="250" spans="2:6" s="148" customFormat="1" ht="15" customHeight="1" outlineLevel="1" x14ac:dyDescent="0.2">
      <c r="B250" s="60" t="s">
        <v>3868</v>
      </c>
      <c r="C250" s="506" t="s">
        <v>2417</v>
      </c>
      <c r="D250" s="151" t="s">
        <v>122</v>
      </c>
      <c r="E250" s="154"/>
      <c r="F250" s="175"/>
    </row>
    <row r="251" spans="2:6" s="148" customFormat="1" ht="15" customHeight="1" outlineLevel="1" x14ac:dyDescent="0.2">
      <c r="B251" s="60" t="s">
        <v>3869</v>
      </c>
      <c r="C251" s="506" t="s">
        <v>2418</v>
      </c>
      <c r="D251" s="151" t="s">
        <v>122</v>
      </c>
      <c r="E251" s="154"/>
      <c r="F251" s="175"/>
    </row>
    <row r="252" spans="2:6" s="148" customFormat="1" ht="15" customHeight="1" outlineLevel="1" x14ac:dyDescent="0.2">
      <c r="B252" s="60" t="s">
        <v>3870</v>
      </c>
      <c r="C252" s="506" t="s">
        <v>2419</v>
      </c>
      <c r="D252" s="151" t="s">
        <v>122</v>
      </c>
      <c r="E252" s="154"/>
      <c r="F252" s="175"/>
    </row>
    <row r="253" spans="2:6" s="148" customFormat="1" ht="15" customHeight="1" outlineLevel="1" x14ac:dyDescent="0.2">
      <c r="B253" s="60" t="s">
        <v>3871</v>
      </c>
      <c r="C253" s="506" t="s">
        <v>2420</v>
      </c>
      <c r="D253" s="151" t="s">
        <v>122</v>
      </c>
      <c r="E253" s="154"/>
      <c r="F253" s="175"/>
    </row>
    <row r="254" spans="2:6" s="148" customFormat="1" ht="15" customHeight="1" outlineLevel="1" x14ac:dyDescent="0.2">
      <c r="B254" s="60" t="s">
        <v>3872</v>
      </c>
      <c r="C254" s="506" t="s">
        <v>2421</v>
      </c>
      <c r="D254" s="151" t="s">
        <v>122</v>
      </c>
      <c r="E254" s="154"/>
      <c r="F254" s="175"/>
    </row>
    <row r="255" spans="2:6" s="148" customFormat="1" ht="15" customHeight="1" outlineLevel="1" x14ac:dyDescent="0.2">
      <c r="B255" s="60" t="s">
        <v>3873</v>
      </c>
      <c r="C255" s="506" t="s">
        <v>2422</v>
      </c>
      <c r="D255" s="151" t="s">
        <v>122</v>
      </c>
      <c r="E255" s="154"/>
      <c r="F255" s="175"/>
    </row>
    <row r="256" spans="2:6" s="148" customFormat="1" ht="15" customHeight="1" outlineLevel="1" x14ac:dyDescent="0.2">
      <c r="B256" s="60" t="s">
        <v>3874</v>
      </c>
      <c r="C256" s="506" t="s">
        <v>2423</v>
      </c>
      <c r="D256" s="151" t="s">
        <v>122</v>
      </c>
      <c r="E256" s="154"/>
      <c r="F256" s="175"/>
    </row>
    <row r="257" spans="2:6" s="148" customFormat="1" ht="15" customHeight="1" outlineLevel="1" x14ac:dyDescent="0.2">
      <c r="B257" s="60" t="s">
        <v>3875</v>
      </c>
      <c r="C257" s="506" t="s">
        <v>2424</v>
      </c>
      <c r="D257" s="151" t="s">
        <v>122</v>
      </c>
      <c r="E257" s="154"/>
      <c r="F257" s="175"/>
    </row>
    <row r="258" spans="2:6" s="148" customFormat="1" ht="15" customHeight="1" outlineLevel="1" x14ac:dyDescent="0.2">
      <c r="B258" s="60" t="s">
        <v>3876</v>
      </c>
      <c r="C258" s="506" t="s">
        <v>2425</v>
      </c>
      <c r="D258" s="151" t="s">
        <v>122</v>
      </c>
      <c r="E258" s="154"/>
      <c r="F258" s="175"/>
    </row>
    <row r="259" spans="2:6" s="148" customFormat="1" ht="15" customHeight="1" outlineLevel="1" x14ac:dyDescent="0.2">
      <c r="B259" s="60" t="s">
        <v>3877</v>
      </c>
      <c r="C259" s="506" t="s">
        <v>2426</v>
      </c>
      <c r="D259" s="151" t="s">
        <v>122</v>
      </c>
      <c r="E259" s="154"/>
      <c r="F259" s="175"/>
    </row>
    <row r="260" spans="2:6" s="148" customFormat="1" ht="15" customHeight="1" outlineLevel="1" x14ac:dyDescent="0.2">
      <c r="B260" s="60" t="s">
        <v>3878</v>
      </c>
      <c r="C260" s="506" t="s">
        <v>2427</v>
      </c>
      <c r="D260" s="151" t="s">
        <v>122</v>
      </c>
      <c r="E260" s="154"/>
      <c r="F260" s="175"/>
    </row>
    <row r="261" spans="2:6" s="148" customFormat="1" ht="15" customHeight="1" outlineLevel="1" x14ac:dyDescent="0.2">
      <c r="B261" s="60" t="s">
        <v>3879</v>
      </c>
      <c r="C261" s="506" t="s">
        <v>2428</v>
      </c>
      <c r="D261" s="151" t="s">
        <v>122</v>
      </c>
      <c r="E261" s="154"/>
      <c r="F261" s="175"/>
    </row>
    <row r="262" spans="2:6" s="148" customFormat="1" ht="15" customHeight="1" outlineLevel="1" x14ac:dyDescent="0.2">
      <c r="B262" s="60" t="s">
        <v>3880</v>
      </c>
      <c r="C262" s="506" t="s">
        <v>2429</v>
      </c>
      <c r="D262" s="151" t="s">
        <v>122</v>
      </c>
      <c r="E262" s="154"/>
      <c r="F262" s="175"/>
    </row>
    <row r="263" spans="2:6" s="148" customFormat="1" ht="15" customHeight="1" outlineLevel="1" x14ac:dyDescent="0.2">
      <c r="B263" s="60" t="s">
        <v>3881</v>
      </c>
      <c r="C263" s="506" t="s">
        <v>2430</v>
      </c>
      <c r="D263" s="151" t="s">
        <v>122</v>
      </c>
      <c r="E263" s="154"/>
      <c r="F263" s="175"/>
    </row>
    <row r="264" spans="2:6" s="132" customFormat="1" ht="15" customHeight="1" collapsed="1" x14ac:dyDescent="0.2">
      <c r="B264" s="60" t="s">
        <v>3882</v>
      </c>
      <c r="C264" s="397">
        <v>3</v>
      </c>
      <c r="D264" s="150" t="s">
        <v>197</v>
      </c>
      <c r="E264" s="635">
        <f>E265+E286+E307</f>
        <v>0</v>
      </c>
      <c r="F264" s="638">
        <f>F265+F286+F307</f>
        <v>0</v>
      </c>
    </row>
    <row r="265" spans="2:6" s="79" customFormat="1" ht="15" customHeight="1" x14ac:dyDescent="0.2">
      <c r="B265" s="60" t="s">
        <v>3883</v>
      </c>
      <c r="C265" s="425">
        <v>3.1</v>
      </c>
      <c r="D265" s="131" t="s">
        <v>124</v>
      </c>
      <c r="E265" s="91">
        <f>SUM(E266:E285)</f>
        <v>0</v>
      </c>
      <c r="F265" s="92">
        <f>SUM(F266:F285)</f>
        <v>0</v>
      </c>
    </row>
    <row r="266" spans="2:6" s="148" customFormat="1" ht="15" customHeight="1" outlineLevel="1" x14ac:dyDescent="0.2">
      <c r="B266" s="60" t="s">
        <v>3884</v>
      </c>
      <c r="C266" s="506" t="s">
        <v>450</v>
      </c>
      <c r="D266" s="151" t="s">
        <v>125</v>
      </c>
      <c r="E266" s="154"/>
      <c r="F266" s="175"/>
    </row>
    <row r="267" spans="2:6" s="148" customFormat="1" ht="15" customHeight="1" outlineLevel="1" x14ac:dyDescent="0.2">
      <c r="B267" s="60" t="s">
        <v>3885</v>
      </c>
      <c r="C267" s="506" t="s">
        <v>451</v>
      </c>
      <c r="D267" s="151" t="s">
        <v>125</v>
      </c>
      <c r="E267" s="154"/>
      <c r="F267" s="175"/>
    </row>
    <row r="268" spans="2:6" s="148" customFormat="1" ht="15" customHeight="1" outlineLevel="1" x14ac:dyDescent="0.2">
      <c r="B268" s="60" t="s">
        <v>3886</v>
      </c>
      <c r="C268" s="506" t="s">
        <v>458</v>
      </c>
      <c r="D268" s="151" t="s">
        <v>125</v>
      </c>
      <c r="E268" s="154"/>
      <c r="F268" s="175"/>
    </row>
    <row r="269" spans="2:6" s="148" customFormat="1" ht="15" customHeight="1" outlineLevel="1" x14ac:dyDescent="0.2">
      <c r="B269" s="60" t="s">
        <v>3887</v>
      </c>
      <c r="C269" s="506" t="s">
        <v>600</v>
      </c>
      <c r="D269" s="151" t="s">
        <v>125</v>
      </c>
      <c r="E269" s="154"/>
      <c r="F269" s="175"/>
    </row>
    <row r="270" spans="2:6" s="148" customFormat="1" ht="15" customHeight="1" outlineLevel="1" x14ac:dyDescent="0.2">
      <c r="B270" s="60" t="s">
        <v>3888</v>
      </c>
      <c r="C270" s="506" t="s">
        <v>601</v>
      </c>
      <c r="D270" s="151" t="s">
        <v>125</v>
      </c>
      <c r="E270" s="154"/>
      <c r="F270" s="175"/>
    </row>
    <row r="271" spans="2:6" s="148" customFormat="1" ht="15" customHeight="1" outlineLevel="1" x14ac:dyDescent="0.2">
      <c r="B271" s="60" t="s">
        <v>3889</v>
      </c>
      <c r="C271" s="506" t="s">
        <v>602</v>
      </c>
      <c r="D271" s="151" t="s">
        <v>125</v>
      </c>
      <c r="E271" s="154"/>
      <c r="F271" s="175"/>
    </row>
    <row r="272" spans="2:6" s="148" customFormat="1" ht="15" customHeight="1" outlineLevel="1" x14ac:dyDescent="0.2">
      <c r="B272" s="60" t="s">
        <v>3890</v>
      </c>
      <c r="C272" s="506" t="s">
        <v>603</v>
      </c>
      <c r="D272" s="151" t="s">
        <v>125</v>
      </c>
      <c r="E272" s="154"/>
      <c r="F272" s="175"/>
    </row>
    <row r="273" spans="2:6" s="148" customFormat="1" ht="15" customHeight="1" outlineLevel="1" x14ac:dyDescent="0.2">
      <c r="B273" s="60" t="s">
        <v>3891</v>
      </c>
      <c r="C273" s="506" t="s">
        <v>604</v>
      </c>
      <c r="D273" s="151" t="s">
        <v>125</v>
      </c>
      <c r="E273" s="154"/>
      <c r="F273" s="175"/>
    </row>
    <row r="274" spans="2:6" s="148" customFormat="1" ht="15" customHeight="1" outlineLevel="1" x14ac:dyDescent="0.2">
      <c r="B274" s="60" t="s">
        <v>3892</v>
      </c>
      <c r="C274" s="506" t="s">
        <v>605</v>
      </c>
      <c r="D274" s="151" t="s">
        <v>125</v>
      </c>
      <c r="E274" s="154"/>
      <c r="F274" s="175"/>
    </row>
    <row r="275" spans="2:6" s="148" customFormat="1" ht="15" customHeight="1" outlineLevel="1" x14ac:dyDescent="0.2">
      <c r="B275" s="60" t="s">
        <v>3893</v>
      </c>
      <c r="C275" s="506" t="s">
        <v>606</v>
      </c>
      <c r="D275" s="151" t="s">
        <v>125</v>
      </c>
      <c r="E275" s="154"/>
      <c r="F275" s="175"/>
    </row>
    <row r="276" spans="2:6" s="148" customFormat="1" ht="15" customHeight="1" outlineLevel="1" x14ac:dyDescent="0.2">
      <c r="B276" s="60" t="s">
        <v>3894</v>
      </c>
      <c r="C276" s="506" t="s">
        <v>607</v>
      </c>
      <c r="D276" s="151" t="s">
        <v>125</v>
      </c>
      <c r="E276" s="154"/>
      <c r="F276" s="175"/>
    </row>
    <row r="277" spans="2:6" s="148" customFormat="1" ht="15" customHeight="1" outlineLevel="1" x14ac:dyDescent="0.2">
      <c r="B277" s="60" t="s">
        <v>3895</v>
      </c>
      <c r="C277" s="506" t="s">
        <v>608</v>
      </c>
      <c r="D277" s="151" t="s">
        <v>125</v>
      </c>
      <c r="E277" s="154"/>
      <c r="F277" s="175"/>
    </row>
    <row r="278" spans="2:6" s="148" customFormat="1" ht="15" customHeight="1" outlineLevel="1" x14ac:dyDescent="0.2">
      <c r="B278" s="60" t="s">
        <v>3896</v>
      </c>
      <c r="C278" s="506" t="s">
        <v>609</v>
      </c>
      <c r="D278" s="151" t="s">
        <v>125</v>
      </c>
      <c r="E278" s="154"/>
      <c r="F278" s="175"/>
    </row>
    <row r="279" spans="2:6" s="148" customFormat="1" ht="15" customHeight="1" outlineLevel="1" x14ac:dyDescent="0.2">
      <c r="B279" s="60" t="s">
        <v>3897</v>
      </c>
      <c r="C279" s="506" t="s">
        <v>610</v>
      </c>
      <c r="D279" s="151" t="s">
        <v>125</v>
      </c>
      <c r="E279" s="154"/>
      <c r="F279" s="175"/>
    </row>
    <row r="280" spans="2:6" s="148" customFormat="1" ht="15" customHeight="1" outlineLevel="1" x14ac:dyDescent="0.2">
      <c r="B280" s="60" t="s">
        <v>3898</v>
      </c>
      <c r="C280" s="506" t="s">
        <v>611</v>
      </c>
      <c r="D280" s="151" t="s">
        <v>125</v>
      </c>
      <c r="E280" s="154"/>
      <c r="F280" s="175"/>
    </row>
    <row r="281" spans="2:6" s="148" customFormat="1" ht="15" customHeight="1" outlineLevel="1" x14ac:dyDescent="0.2">
      <c r="B281" s="60" t="s">
        <v>3899</v>
      </c>
      <c r="C281" s="506" t="s">
        <v>612</v>
      </c>
      <c r="D281" s="151" t="s">
        <v>125</v>
      </c>
      <c r="E281" s="154"/>
      <c r="F281" s="175"/>
    </row>
    <row r="282" spans="2:6" s="148" customFormat="1" ht="15" customHeight="1" outlineLevel="1" x14ac:dyDescent="0.2">
      <c r="B282" s="60" t="s">
        <v>3900</v>
      </c>
      <c r="C282" s="506" t="s">
        <v>613</v>
      </c>
      <c r="D282" s="151" t="s">
        <v>125</v>
      </c>
      <c r="E282" s="154"/>
      <c r="F282" s="175"/>
    </row>
    <row r="283" spans="2:6" s="148" customFormat="1" ht="15" customHeight="1" outlineLevel="1" x14ac:dyDescent="0.2">
      <c r="B283" s="60" t="s">
        <v>3901</v>
      </c>
      <c r="C283" s="506" t="s">
        <v>614</v>
      </c>
      <c r="D283" s="151" t="s">
        <v>125</v>
      </c>
      <c r="E283" s="154"/>
      <c r="F283" s="175"/>
    </row>
    <row r="284" spans="2:6" s="148" customFormat="1" ht="15" customHeight="1" outlineLevel="1" x14ac:dyDescent="0.2">
      <c r="B284" s="60" t="s">
        <v>3902</v>
      </c>
      <c r="C284" s="506" t="s">
        <v>615</v>
      </c>
      <c r="D284" s="151" t="s">
        <v>125</v>
      </c>
      <c r="E284" s="154"/>
      <c r="F284" s="175"/>
    </row>
    <row r="285" spans="2:6" s="148" customFormat="1" ht="15" customHeight="1" outlineLevel="1" x14ac:dyDescent="0.2">
      <c r="B285" s="60" t="s">
        <v>3903</v>
      </c>
      <c r="C285" s="506" t="s">
        <v>616</v>
      </c>
      <c r="D285" s="151" t="s">
        <v>125</v>
      </c>
      <c r="E285" s="154"/>
      <c r="F285" s="175"/>
    </row>
    <row r="286" spans="2:6" s="79" customFormat="1" ht="15" customHeight="1" x14ac:dyDescent="0.2">
      <c r="B286" s="60" t="s">
        <v>3904</v>
      </c>
      <c r="C286" s="425">
        <v>3.2</v>
      </c>
      <c r="D286" s="131" t="s">
        <v>126</v>
      </c>
      <c r="E286" s="91">
        <f>SUM(E287:E306)</f>
        <v>0</v>
      </c>
      <c r="F286" s="92">
        <f>SUM(F287:F306)</f>
        <v>0</v>
      </c>
    </row>
    <row r="287" spans="2:6" s="148" customFormat="1" ht="15" customHeight="1" outlineLevel="1" x14ac:dyDescent="0.2">
      <c r="B287" s="60" t="s">
        <v>3905</v>
      </c>
      <c r="C287" s="506" t="s">
        <v>454</v>
      </c>
      <c r="D287" s="151" t="s">
        <v>127</v>
      </c>
      <c r="E287" s="154"/>
      <c r="F287" s="175"/>
    </row>
    <row r="288" spans="2:6" s="148" customFormat="1" ht="15" customHeight="1" outlineLevel="1" x14ac:dyDescent="0.2">
      <c r="B288" s="60" t="s">
        <v>3906</v>
      </c>
      <c r="C288" s="506" t="s">
        <v>455</v>
      </c>
      <c r="D288" s="151" t="s">
        <v>127</v>
      </c>
      <c r="E288" s="154"/>
      <c r="F288" s="175"/>
    </row>
    <row r="289" spans="2:6" s="148" customFormat="1" ht="15" customHeight="1" outlineLevel="1" x14ac:dyDescent="0.2">
      <c r="B289" s="60" t="s">
        <v>3907</v>
      </c>
      <c r="C289" s="506" t="s">
        <v>459</v>
      </c>
      <c r="D289" s="151" t="s">
        <v>127</v>
      </c>
      <c r="E289" s="154"/>
      <c r="F289" s="175"/>
    </row>
    <row r="290" spans="2:6" s="148" customFormat="1" ht="15" customHeight="1" outlineLevel="1" x14ac:dyDescent="0.2">
      <c r="B290" s="60" t="s">
        <v>3908</v>
      </c>
      <c r="C290" s="506" t="s">
        <v>617</v>
      </c>
      <c r="D290" s="151" t="s">
        <v>127</v>
      </c>
      <c r="E290" s="154"/>
      <c r="F290" s="175"/>
    </row>
    <row r="291" spans="2:6" s="148" customFormat="1" ht="15" customHeight="1" outlineLevel="1" x14ac:dyDescent="0.2">
      <c r="B291" s="60" t="s">
        <v>3909</v>
      </c>
      <c r="C291" s="506" t="s">
        <v>618</v>
      </c>
      <c r="D291" s="151" t="s">
        <v>127</v>
      </c>
      <c r="E291" s="154"/>
      <c r="F291" s="175"/>
    </row>
    <row r="292" spans="2:6" s="148" customFormat="1" ht="15" customHeight="1" outlineLevel="1" x14ac:dyDescent="0.2">
      <c r="B292" s="60" t="s">
        <v>3910</v>
      </c>
      <c r="C292" s="506" t="s">
        <v>619</v>
      </c>
      <c r="D292" s="151" t="s">
        <v>127</v>
      </c>
      <c r="E292" s="154"/>
      <c r="F292" s="175"/>
    </row>
    <row r="293" spans="2:6" s="148" customFormat="1" ht="15" customHeight="1" outlineLevel="1" x14ac:dyDescent="0.2">
      <c r="B293" s="60" t="s">
        <v>3911</v>
      </c>
      <c r="C293" s="506" t="s">
        <v>620</v>
      </c>
      <c r="D293" s="151" t="s">
        <v>127</v>
      </c>
      <c r="E293" s="154"/>
      <c r="F293" s="175"/>
    </row>
    <row r="294" spans="2:6" s="148" customFormat="1" ht="15" customHeight="1" outlineLevel="1" x14ac:dyDescent="0.2">
      <c r="B294" s="60" t="s">
        <v>3912</v>
      </c>
      <c r="C294" s="506" t="s">
        <v>621</v>
      </c>
      <c r="D294" s="151" t="s">
        <v>127</v>
      </c>
      <c r="E294" s="154"/>
      <c r="F294" s="175"/>
    </row>
    <row r="295" spans="2:6" s="148" customFormat="1" ht="15" customHeight="1" outlineLevel="1" x14ac:dyDescent="0.2">
      <c r="B295" s="60" t="s">
        <v>3913</v>
      </c>
      <c r="C295" s="506" t="s">
        <v>622</v>
      </c>
      <c r="D295" s="151" t="s">
        <v>127</v>
      </c>
      <c r="E295" s="154"/>
      <c r="F295" s="175"/>
    </row>
    <row r="296" spans="2:6" s="148" customFormat="1" ht="15" customHeight="1" outlineLevel="1" x14ac:dyDescent="0.2">
      <c r="B296" s="60" t="s">
        <v>3914</v>
      </c>
      <c r="C296" s="506" t="s">
        <v>623</v>
      </c>
      <c r="D296" s="151" t="s">
        <v>127</v>
      </c>
      <c r="E296" s="154"/>
      <c r="F296" s="175"/>
    </row>
    <row r="297" spans="2:6" s="148" customFormat="1" ht="15" customHeight="1" outlineLevel="1" x14ac:dyDescent="0.2">
      <c r="B297" s="60" t="s">
        <v>3915</v>
      </c>
      <c r="C297" s="506" t="s">
        <v>624</v>
      </c>
      <c r="D297" s="151" t="s">
        <v>127</v>
      </c>
      <c r="E297" s="154"/>
      <c r="F297" s="175"/>
    </row>
    <row r="298" spans="2:6" s="148" customFormat="1" ht="15" customHeight="1" outlineLevel="1" x14ac:dyDescent="0.2">
      <c r="B298" s="60" t="s">
        <v>3916</v>
      </c>
      <c r="C298" s="506" t="s">
        <v>625</v>
      </c>
      <c r="D298" s="151" t="s">
        <v>127</v>
      </c>
      <c r="E298" s="154"/>
      <c r="F298" s="175"/>
    </row>
    <row r="299" spans="2:6" s="148" customFormat="1" ht="15" customHeight="1" outlineLevel="1" x14ac:dyDescent="0.2">
      <c r="B299" s="60" t="s">
        <v>3917</v>
      </c>
      <c r="C299" s="506" t="s">
        <v>626</v>
      </c>
      <c r="D299" s="151" t="s">
        <v>127</v>
      </c>
      <c r="E299" s="154"/>
      <c r="F299" s="175"/>
    </row>
    <row r="300" spans="2:6" s="148" customFormat="1" ht="15" customHeight="1" outlineLevel="1" x14ac:dyDescent="0.2">
      <c r="B300" s="60" t="s">
        <v>3918</v>
      </c>
      <c r="C300" s="506" t="s">
        <v>627</v>
      </c>
      <c r="D300" s="151" t="s">
        <v>127</v>
      </c>
      <c r="E300" s="154"/>
      <c r="F300" s="175"/>
    </row>
    <row r="301" spans="2:6" s="148" customFormat="1" ht="15" customHeight="1" outlineLevel="1" x14ac:dyDescent="0.2">
      <c r="B301" s="60" t="s">
        <v>3919</v>
      </c>
      <c r="C301" s="506" t="s">
        <v>628</v>
      </c>
      <c r="D301" s="151" t="s">
        <v>127</v>
      </c>
      <c r="E301" s="154"/>
      <c r="F301" s="175"/>
    </row>
    <row r="302" spans="2:6" s="148" customFormat="1" ht="15" customHeight="1" outlineLevel="1" x14ac:dyDescent="0.2">
      <c r="B302" s="60" t="s">
        <v>3920</v>
      </c>
      <c r="C302" s="506" t="s">
        <v>629</v>
      </c>
      <c r="D302" s="151" t="s">
        <v>127</v>
      </c>
      <c r="E302" s="154"/>
      <c r="F302" s="175"/>
    </row>
    <row r="303" spans="2:6" s="148" customFormat="1" ht="15" customHeight="1" outlineLevel="1" x14ac:dyDescent="0.2">
      <c r="B303" s="60" t="s">
        <v>3921</v>
      </c>
      <c r="C303" s="506" t="s">
        <v>630</v>
      </c>
      <c r="D303" s="151" t="s">
        <v>127</v>
      </c>
      <c r="E303" s="154"/>
      <c r="F303" s="175"/>
    </row>
    <row r="304" spans="2:6" s="148" customFormat="1" ht="15" customHeight="1" outlineLevel="1" x14ac:dyDescent="0.2">
      <c r="B304" s="60" t="s">
        <v>3922</v>
      </c>
      <c r="C304" s="506" t="s">
        <v>631</v>
      </c>
      <c r="D304" s="151" t="s">
        <v>127</v>
      </c>
      <c r="E304" s="154"/>
      <c r="F304" s="175"/>
    </row>
    <row r="305" spans="2:6" s="148" customFormat="1" ht="15" customHeight="1" outlineLevel="1" x14ac:dyDescent="0.2">
      <c r="B305" s="60" t="s">
        <v>3923</v>
      </c>
      <c r="C305" s="506" t="s">
        <v>632</v>
      </c>
      <c r="D305" s="151" t="s">
        <v>127</v>
      </c>
      <c r="E305" s="154"/>
      <c r="F305" s="175"/>
    </row>
    <row r="306" spans="2:6" s="148" customFormat="1" ht="15" customHeight="1" outlineLevel="1" x14ac:dyDescent="0.2">
      <c r="B306" s="60" t="s">
        <v>3924</v>
      </c>
      <c r="C306" s="506" t="s">
        <v>633</v>
      </c>
      <c r="D306" s="151" t="s">
        <v>127</v>
      </c>
      <c r="E306" s="154"/>
      <c r="F306" s="175"/>
    </row>
    <row r="307" spans="2:6" s="79" customFormat="1" ht="15" customHeight="1" x14ac:dyDescent="0.2">
      <c r="B307" s="60" t="s">
        <v>3925</v>
      </c>
      <c r="C307" s="425">
        <v>3.3</v>
      </c>
      <c r="D307" s="131" t="s">
        <v>128</v>
      </c>
      <c r="E307" s="91">
        <f>SUM(E308:E327)</f>
        <v>0</v>
      </c>
      <c r="F307" s="92">
        <f>SUM(F308:F327)</f>
        <v>0</v>
      </c>
    </row>
    <row r="308" spans="2:6" s="148" customFormat="1" ht="15" customHeight="1" outlineLevel="1" x14ac:dyDescent="0.2">
      <c r="B308" s="60" t="s">
        <v>3926</v>
      </c>
      <c r="C308" s="506" t="s">
        <v>1644</v>
      </c>
      <c r="D308" s="151" t="s">
        <v>127</v>
      </c>
      <c r="E308" s="154"/>
      <c r="F308" s="175"/>
    </row>
    <row r="309" spans="2:6" s="148" customFormat="1" ht="15" customHeight="1" outlineLevel="1" x14ac:dyDescent="0.2">
      <c r="B309" s="60" t="s">
        <v>3927</v>
      </c>
      <c r="C309" s="506" t="s">
        <v>1645</v>
      </c>
      <c r="D309" s="151" t="s">
        <v>127</v>
      </c>
      <c r="E309" s="154"/>
      <c r="F309" s="175"/>
    </row>
    <row r="310" spans="2:6" s="148" customFormat="1" ht="15" customHeight="1" outlineLevel="1" x14ac:dyDescent="0.2">
      <c r="B310" s="60" t="s">
        <v>3928</v>
      </c>
      <c r="C310" s="506" t="s">
        <v>1646</v>
      </c>
      <c r="D310" s="151" t="s">
        <v>127</v>
      </c>
      <c r="E310" s="154"/>
      <c r="F310" s="175"/>
    </row>
    <row r="311" spans="2:6" s="148" customFormat="1" ht="15" customHeight="1" outlineLevel="1" x14ac:dyDescent="0.2">
      <c r="B311" s="60" t="s">
        <v>3929</v>
      </c>
      <c r="C311" s="506" t="s">
        <v>1647</v>
      </c>
      <c r="D311" s="151" t="s">
        <v>127</v>
      </c>
      <c r="E311" s="154"/>
      <c r="F311" s="175"/>
    </row>
    <row r="312" spans="2:6" s="148" customFormat="1" ht="15" customHeight="1" outlineLevel="1" x14ac:dyDescent="0.2">
      <c r="B312" s="60" t="s">
        <v>3930</v>
      </c>
      <c r="C312" s="506" t="s">
        <v>1648</v>
      </c>
      <c r="D312" s="151" t="s">
        <v>127</v>
      </c>
      <c r="E312" s="154"/>
      <c r="F312" s="175"/>
    </row>
    <row r="313" spans="2:6" s="148" customFormat="1" ht="15" customHeight="1" outlineLevel="1" x14ac:dyDescent="0.2">
      <c r="B313" s="60" t="s">
        <v>3931</v>
      </c>
      <c r="C313" s="506" t="s">
        <v>1649</v>
      </c>
      <c r="D313" s="151" t="s">
        <v>127</v>
      </c>
      <c r="E313" s="154"/>
      <c r="F313" s="175"/>
    </row>
    <row r="314" spans="2:6" s="148" customFormat="1" ht="15" customHeight="1" outlineLevel="1" x14ac:dyDescent="0.2">
      <c r="B314" s="60" t="s">
        <v>3932</v>
      </c>
      <c r="C314" s="506" t="s">
        <v>1650</v>
      </c>
      <c r="D314" s="151" t="s">
        <v>127</v>
      </c>
      <c r="E314" s="154"/>
      <c r="F314" s="175"/>
    </row>
    <row r="315" spans="2:6" s="148" customFormat="1" ht="15" customHeight="1" outlineLevel="1" x14ac:dyDescent="0.2">
      <c r="B315" s="60" t="s">
        <v>3933</v>
      </c>
      <c r="C315" s="506" t="s">
        <v>1651</v>
      </c>
      <c r="D315" s="151" t="s">
        <v>127</v>
      </c>
      <c r="E315" s="154"/>
      <c r="F315" s="175"/>
    </row>
    <row r="316" spans="2:6" s="148" customFormat="1" ht="15" customHeight="1" outlineLevel="1" x14ac:dyDescent="0.2">
      <c r="B316" s="60" t="s">
        <v>3934</v>
      </c>
      <c r="C316" s="506" t="s">
        <v>1652</v>
      </c>
      <c r="D316" s="151" t="s">
        <v>127</v>
      </c>
      <c r="E316" s="154"/>
      <c r="F316" s="175"/>
    </row>
    <row r="317" spans="2:6" s="148" customFormat="1" ht="15" customHeight="1" outlineLevel="1" x14ac:dyDescent="0.2">
      <c r="B317" s="60" t="s">
        <v>3935</v>
      </c>
      <c r="C317" s="506" t="s">
        <v>1653</v>
      </c>
      <c r="D317" s="151" t="s">
        <v>127</v>
      </c>
      <c r="E317" s="154"/>
      <c r="F317" s="175"/>
    </row>
    <row r="318" spans="2:6" s="148" customFormat="1" ht="15" customHeight="1" outlineLevel="1" x14ac:dyDescent="0.2">
      <c r="B318" s="60" t="s">
        <v>3936</v>
      </c>
      <c r="C318" s="506" t="s">
        <v>1654</v>
      </c>
      <c r="D318" s="151" t="s">
        <v>127</v>
      </c>
      <c r="E318" s="154"/>
      <c r="F318" s="175"/>
    </row>
    <row r="319" spans="2:6" s="148" customFormat="1" ht="15" customHeight="1" outlineLevel="1" x14ac:dyDescent="0.2">
      <c r="B319" s="60" t="s">
        <v>3937</v>
      </c>
      <c r="C319" s="506" t="s">
        <v>1655</v>
      </c>
      <c r="D319" s="151" t="s">
        <v>127</v>
      </c>
      <c r="E319" s="154"/>
      <c r="F319" s="175"/>
    </row>
    <row r="320" spans="2:6" s="148" customFormat="1" ht="15" customHeight="1" outlineLevel="1" x14ac:dyDescent="0.2">
      <c r="B320" s="60" t="s">
        <v>3938</v>
      </c>
      <c r="C320" s="506" t="s">
        <v>1656</v>
      </c>
      <c r="D320" s="151" t="s">
        <v>127</v>
      </c>
      <c r="E320" s="154"/>
      <c r="F320" s="175"/>
    </row>
    <row r="321" spans="2:7" s="148" customFormat="1" ht="15" customHeight="1" outlineLevel="1" x14ac:dyDescent="0.2">
      <c r="B321" s="60" t="s">
        <v>3939</v>
      </c>
      <c r="C321" s="506" t="s">
        <v>1657</v>
      </c>
      <c r="D321" s="151" t="s">
        <v>127</v>
      </c>
      <c r="E321" s="154"/>
      <c r="F321" s="175"/>
    </row>
    <row r="322" spans="2:7" s="148" customFormat="1" ht="15" customHeight="1" outlineLevel="1" x14ac:dyDescent="0.2">
      <c r="B322" s="60" t="s">
        <v>3940</v>
      </c>
      <c r="C322" s="506" t="s">
        <v>1658</v>
      </c>
      <c r="D322" s="151" t="s">
        <v>127</v>
      </c>
      <c r="E322" s="154"/>
      <c r="F322" s="175"/>
    </row>
    <row r="323" spans="2:7" s="148" customFormat="1" ht="15" customHeight="1" outlineLevel="1" x14ac:dyDescent="0.2">
      <c r="B323" s="60" t="s">
        <v>3941</v>
      </c>
      <c r="C323" s="506" t="s">
        <v>1659</v>
      </c>
      <c r="D323" s="151" t="s">
        <v>127</v>
      </c>
      <c r="E323" s="154"/>
      <c r="F323" s="175"/>
    </row>
    <row r="324" spans="2:7" s="148" customFormat="1" ht="15" customHeight="1" outlineLevel="1" x14ac:dyDescent="0.2">
      <c r="B324" s="60" t="s">
        <v>3942</v>
      </c>
      <c r="C324" s="506" t="s">
        <v>1660</v>
      </c>
      <c r="D324" s="151" t="s">
        <v>127</v>
      </c>
      <c r="E324" s="154"/>
      <c r="F324" s="175"/>
    </row>
    <row r="325" spans="2:7" s="148" customFormat="1" ht="15" customHeight="1" outlineLevel="1" x14ac:dyDescent="0.2">
      <c r="B325" s="60" t="s">
        <v>3943</v>
      </c>
      <c r="C325" s="506" t="s">
        <v>1661</v>
      </c>
      <c r="D325" s="151" t="s">
        <v>127</v>
      </c>
      <c r="E325" s="154"/>
      <c r="F325" s="175"/>
    </row>
    <row r="326" spans="2:7" s="148" customFormat="1" ht="15" customHeight="1" outlineLevel="1" x14ac:dyDescent="0.2">
      <c r="B326" s="60" t="s">
        <v>3944</v>
      </c>
      <c r="C326" s="506" t="s">
        <v>1662</v>
      </c>
      <c r="D326" s="151" t="s">
        <v>127</v>
      </c>
      <c r="E326" s="154"/>
      <c r="F326" s="175"/>
    </row>
    <row r="327" spans="2:7" s="148" customFormat="1" ht="15" customHeight="1" outlineLevel="1" x14ac:dyDescent="0.2">
      <c r="B327" s="60" t="s">
        <v>3945</v>
      </c>
      <c r="C327" s="506" t="s">
        <v>1663</v>
      </c>
      <c r="D327" s="151" t="s">
        <v>127</v>
      </c>
      <c r="E327" s="154"/>
      <c r="F327" s="175"/>
    </row>
    <row r="328" spans="2:7" s="145" customFormat="1" ht="15" customHeight="1" thickBot="1" x14ac:dyDescent="0.25">
      <c r="B328" s="491" t="s">
        <v>3946</v>
      </c>
      <c r="C328" s="836" t="s">
        <v>3384</v>
      </c>
      <c r="D328" s="872"/>
      <c r="E328" s="241">
        <f>E10+E137+E264</f>
        <v>0</v>
      </c>
      <c r="F328" s="242">
        <f>F10+F137+F264</f>
        <v>0</v>
      </c>
      <c r="G328" s="132"/>
    </row>
    <row r="329" spans="2:7" s="79" customFormat="1" ht="9" customHeight="1" x14ac:dyDescent="0.2">
      <c r="C329" s="26"/>
      <c r="E329" s="201"/>
    </row>
    <row r="330" spans="2:7" s="79" customFormat="1" ht="15" customHeight="1" x14ac:dyDescent="0.2">
      <c r="C330" s="814" t="s">
        <v>3335</v>
      </c>
      <c r="D330" s="814"/>
      <c r="E330" s="814"/>
      <c r="F330" s="814"/>
    </row>
    <row r="331" spans="2:7" s="79" customFormat="1" ht="9" customHeight="1" thickBot="1" x14ac:dyDescent="0.25">
      <c r="C331" s="26"/>
      <c r="D331" s="145"/>
      <c r="F331" s="202"/>
    </row>
    <row r="332" spans="2:7" s="132" customFormat="1" ht="15" customHeight="1" collapsed="1" x14ac:dyDescent="0.2">
      <c r="B332" s="418" t="s">
        <v>3947</v>
      </c>
      <c r="C332" s="406">
        <v>1</v>
      </c>
      <c r="D332" s="503" t="s">
        <v>120</v>
      </c>
      <c r="E332" s="504">
        <f>E333+E354+E375+E396+E417+E438</f>
        <v>0</v>
      </c>
      <c r="F332" s="508">
        <f>F333+F354+F375+F396+F417+F438</f>
        <v>0</v>
      </c>
    </row>
    <row r="333" spans="2:7" s="79" customFormat="1" ht="15" customHeight="1" x14ac:dyDescent="0.2">
      <c r="B333" s="60" t="s">
        <v>3948</v>
      </c>
      <c r="C333" s="425">
        <v>1.1000000000000001</v>
      </c>
      <c r="D333" s="131" t="s">
        <v>121</v>
      </c>
      <c r="E333" s="91">
        <f>SUM(E334:E353)</f>
        <v>0</v>
      </c>
      <c r="F333" s="92">
        <f>SUM(F334:F353)</f>
        <v>0</v>
      </c>
    </row>
    <row r="334" spans="2:7" s="148" customFormat="1" ht="15" customHeight="1" outlineLevel="1" x14ac:dyDescent="0.2">
      <c r="B334" s="60" t="s">
        <v>3949</v>
      </c>
      <c r="C334" s="549" t="s">
        <v>446</v>
      </c>
      <c r="D334" s="151" t="s">
        <v>4693</v>
      </c>
      <c r="E334" s="154"/>
      <c r="F334" s="175"/>
    </row>
    <row r="335" spans="2:7" s="148" customFormat="1" ht="15" customHeight="1" outlineLevel="1" x14ac:dyDescent="0.2">
      <c r="B335" s="60" t="s">
        <v>3950</v>
      </c>
      <c r="C335" s="549" t="s">
        <v>447</v>
      </c>
      <c r="D335" s="151" t="s">
        <v>4693</v>
      </c>
      <c r="E335" s="154"/>
      <c r="F335" s="175"/>
    </row>
    <row r="336" spans="2:7" s="148" customFormat="1" ht="15" customHeight="1" outlineLevel="1" x14ac:dyDescent="0.2">
      <c r="B336" s="60" t="s">
        <v>3951</v>
      </c>
      <c r="C336" s="549" t="s">
        <v>456</v>
      </c>
      <c r="D336" s="151" t="s">
        <v>4693</v>
      </c>
      <c r="E336" s="154"/>
      <c r="F336" s="175"/>
    </row>
    <row r="337" spans="2:6" s="148" customFormat="1" ht="15" customHeight="1" outlineLevel="1" x14ac:dyDescent="0.2">
      <c r="B337" s="60" t="s">
        <v>3952</v>
      </c>
      <c r="C337" s="549" t="s">
        <v>528</v>
      </c>
      <c r="D337" s="151" t="s">
        <v>4693</v>
      </c>
      <c r="E337" s="154"/>
      <c r="F337" s="175"/>
    </row>
    <row r="338" spans="2:6" s="148" customFormat="1" ht="15" customHeight="1" outlineLevel="1" x14ac:dyDescent="0.2">
      <c r="B338" s="60" t="s">
        <v>3953</v>
      </c>
      <c r="C338" s="549" t="s">
        <v>529</v>
      </c>
      <c r="D338" s="151" t="s">
        <v>4693</v>
      </c>
      <c r="E338" s="154"/>
      <c r="F338" s="175"/>
    </row>
    <row r="339" spans="2:6" s="148" customFormat="1" ht="15" customHeight="1" outlineLevel="1" x14ac:dyDescent="0.2">
      <c r="B339" s="60" t="s">
        <v>3954</v>
      </c>
      <c r="C339" s="549" t="s">
        <v>530</v>
      </c>
      <c r="D339" s="151" t="s">
        <v>4693</v>
      </c>
      <c r="E339" s="154"/>
      <c r="F339" s="175"/>
    </row>
    <row r="340" spans="2:6" s="148" customFormat="1" ht="15" customHeight="1" outlineLevel="1" x14ac:dyDescent="0.2">
      <c r="B340" s="60" t="s">
        <v>3955</v>
      </c>
      <c r="C340" s="549" t="s">
        <v>531</v>
      </c>
      <c r="D340" s="151" t="s">
        <v>4693</v>
      </c>
      <c r="E340" s="154"/>
      <c r="F340" s="175"/>
    </row>
    <row r="341" spans="2:6" s="148" customFormat="1" ht="15" customHeight="1" outlineLevel="1" x14ac:dyDescent="0.2">
      <c r="B341" s="60" t="s">
        <v>3956</v>
      </c>
      <c r="C341" s="549" t="s">
        <v>532</v>
      </c>
      <c r="D341" s="151" t="s">
        <v>4693</v>
      </c>
      <c r="E341" s="154"/>
      <c r="F341" s="175"/>
    </row>
    <row r="342" spans="2:6" s="148" customFormat="1" ht="15" customHeight="1" outlineLevel="1" x14ac:dyDescent="0.2">
      <c r="B342" s="60" t="s">
        <v>3957</v>
      </c>
      <c r="C342" s="549" t="s">
        <v>533</v>
      </c>
      <c r="D342" s="151" t="s">
        <v>4693</v>
      </c>
      <c r="E342" s="154"/>
      <c r="F342" s="175"/>
    </row>
    <row r="343" spans="2:6" s="148" customFormat="1" ht="15" customHeight="1" outlineLevel="1" x14ac:dyDescent="0.2">
      <c r="B343" s="60" t="s">
        <v>3958</v>
      </c>
      <c r="C343" s="549" t="s">
        <v>534</v>
      </c>
      <c r="D343" s="151" t="s">
        <v>4693</v>
      </c>
      <c r="E343" s="154"/>
      <c r="F343" s="175"/>
    </row>
    <row r="344" spans="2:6" s="148" customFormat="1" ht="15" customHeight="1" outlineLevel="1" x14ac:dyDescent="0.2">
      <c r="B344" s="60" t="s">
        <v>3959</v>
      </c>
      <c r="C344" s="549" t="s">
        <v>535</v>
      </c>
      <c r="D344" s="151" t="s">
        <v>4693</v>
      </c>
      <c r="E344" s="154"/>
      <c r="F344" s="175"/>
    </row>
    <row r="345" spans="2:6" s="148" customFormat="1" ht="15" customHeight="1" outlineLevel="1" x14ac:dyDescent="0.2">
      <c r="B345" s="60" t="s">
        <v>3960</v>
      </c>
      <c r="C345" s="549" t="s">
        <v>536</v>
      </c>
      <c r="D345" s="151" t="s">
        <v>4693</v>
      </c>
      <c r="E345" s="154"/>
      <c r="F345" s="175"/>
    </row>
    <row r="346" spans="2:6" s="148" customFormat="1" ht="15" customHeight="1" outlineLevel="1" x14ac:dyDescent="0.2">
      <c r="B346" s="60" t="s">
        <v>3961</v>
      </c>
      <c r="C346" s="549" t="s">
        <v>537</v>
      </c>
      <c r="D346" s="151" t="s">
        <v>4693</v>
      </c>
      <c r="E346" s="154"/>
      <c r="F346" s="175"/>
    </row>
    <row r="347" spans="2:6" s="148" customFormat="1" ht="15" customHeight="1" outlineLevel="1" x14ac:dyDescent="0.2">
      <c r="B347" s="60" t="s">
        <v>3962</v>
      </c>
      <c r="C347" s="549" t="s">
        <v>538</v>
      </c>
      <c r="D347" s="151" t="s">
        <v>4693</v>
      </c>
      <c r="E347" s="154"/>
      <c r="F347" s="175"/>
    </row>
    <row r="348" spans="2:6" s="148" customFormat="1" ht="15" customHeight="1" outlineLevel="1" x14ac:dyDescent="0.2">
      <c r="B348" s="60" t="s">
        <v>3963</v>
      </c>
      <c r="C348" s="549" t="s">
        <v>539</v>
      </c>
      <c r="D348" s="151" t="s">
        <v>4693</v>
      </c>
      <c r="E348" s="154"/>
      <c r="F348" s="175"/>
    </row>
    <row r="349" spans="2:6" s="148" customFormat="1" ht="15" customHeight="1" outlineLevel="1" x14ac:dyDescent="0.2">
      <c r="B349" s="60" t="s">
        <v>3964</v>
      </c>
      <c r="C349" s="549" t="s">
        <v>540</v>
      </c>
      <c r="D349" s="151" t="s">
        <v>4693</v>
      </c>
      <c r="E349" s="154"/>
      <c r="F349" s="175"/>
    </row>
    <row r="350" spans="2:6" s="148" customFormat="1" ht="15" customHeight="1" outlineLevel="1" x14ac:dyDescent="0.2">
      <c r="B350" s="60" t="s">
        <v>3965</v>
      </c>
      <c r="C350" s="549" t="s">
        <v>541</v>
      </c>
      <c r="D350" s="151" t="s">
        <v>4693</v>
      </c>
      <c r="E350" s="154"/>
      <c r="F350" s="175"/>
    </row>
    <row r="351" spans="2:6" s="148" customFormat="1" ht="15" customHeight="1" outlineLevel="1" x14ac:dyDescent="0.2">
      <c r="B351" s="60" t="s">
        <v>3966</v>
      </c>
      <c r="C351" s="549" t="s">
        <v>542</v>
      </c>
      <c r="D351" s="151" t="s">
        <v>4693</v>
      </c>
      <c r="E351" s="154"/>
      <c r="F351" s="175"/>
    </row>
    <row r="352" spans="2:6" s="148" customFormat="1" ht="15" customHeight="1" outlineLevel="1" x14ac:dyDescent="0.2">
      <c r="B352" s="60" t="s">
        <v>3967</v>
      </c>
      <c r="C352" s="549" t="s">
        <v>543</v>
      </c>
      <c r="D352" s="151" t="s">
        <v>4693</v>
      </c>
      <c r="E352" s="154"/>
      <c r="F352" s="175"/>
    </row>
    <row r="353" spans="2:6" s="148" customFormat="1" ht="15" customHeight="1" outlineLevel="1" x14ac:dyDescent="0.2">
      <c r="B353" s="60" t="s">
        <v>3968</v>
      </c>
      <c r="C353" s="549" t="s">
        <v>544</v>
      </c>
      <c r="D353" s="151" t="s">
        <v>4693</v>
      </c>
      <c r="E353" s="154"/>
      <c r="F353" s="175"/>
    </row>
    <row r="354" spans="2:6" s="79" customFormat="1" ht="15" customHeight="1" x14ac:dyDescent="0.2">
      <c r="B354" s="60" t="s">
        <v>3969</v>
      </c>
      <c r="C354" s="425">
        <v>1.2</v>
      </c>
      <c r="D354" s="131" t="s">
        <v>4695</v>
      </c>
      <c r="E354" s="91">
        <f>SUM(E355:E374)</f>
        <v>0</v>
      </c>
      <c r="F354" s="92">
        <f>SUM(F355:F374)</f>
        <v>0</v>
      </c>
    </row>
    <row r="355" spans="2:6" s="148" customFormat="1" ht="15" customHeight="1" outlineLevel="1" x14ac:dyDescent="0.2">
      <c r="B355" s="60" t="s">
        <v>3970</v>
      </c>
      <c r="C355" s="549" t="s">
        <v>452</v>
      </c>
      <c r="D355" s="151" t="s">
        <v>4693</v>
      </c>
      <c r="E355" s="154"/>
      <c r="F355" s="175"/>
    </row>
    <row r="356" spans="2:6" s="148" customFormat="1" ht="15" customHeight="1" outlineLevel="1" x14ac:dyDescent="0.2">
      <c r="B356" s="60" t="s">
        <v>3971</v>
      </c>
      <c r="C356" s="549" t="s">
        <v>453</v>
      </c>
      <c r="D356" s="151" t="s">
        <v>4693</v>
      </c>
      <c r="E356" s="154"/>
      <c r="F356" s="175"/>
    </row>
    <row r="357" spans="2:6" s="148" customFormat="1" ht="15" customHeight="1" outlineLevel="1" x14ac:dyDescent="0.2">
      <c r="B357" s="60" t="s">
        <v>3972</v>
      </c>
      <c r="C357" s="549" t="s">
        <v>457</v>
      </c>
      <c r="D357" s="151" t="s">
        <v>4693</v>
      </c>
      <c r="E357" s="154"/>
      <c r="F357" s="175"/>
    </row>
    <row r="358" spans="2:6" s="148" customFormat="1" ht="15" customHeight="1" outlineLevel="1" x14ac:dyDescent="0.2">
      <c r="B358" s="60" t="s">
        <v>3973</v>
      </c>
      <c r="C358" s="549" t="s">
        <v>545</v>
      </c>
      <c r="D358" s="151" t="s">
        <v>4693</v>
      </c>
      <c r="E358" s="154"/>
      <c r="F358" s="175"/>
    </row>
    <row r="359" spans="2:6" s="148" customFormat="1" ht="15" customHeight="1" outlineLevel="1" x14ac:dyDescent="0.2">
      <c r="B359" s="60" t="s">
        <v>3974</v>
      </c>
      <c r="C359" s="549" t="s">
        <v>546</v>
      </c>
      <c r="D359" s="151" t="s">
        <v>4693</v>
      </c>
      <c r="E359" s="154"/>
      <c r="F359" s="175"/>
    </row>
    <row r="360" spans="2:6" s="148" customFormat="1" ht="15" customHeight="1" outlineLevel="1" x14ac:dyDescent="0.2">
      <c r="B360" s="60" t="s">
        <v>3975</v>
      </c>
      <c r="C360" s="549" t="s">
        <v>547</v>
      </c>
      <c r="D360" s="151" t="s">
        <v>4693</v>
      </c>
      <c r="E360" s="154"/>
      <c r="F360" s="175"/>
    </row>
    <row r="361" spans="2:6" s="148" customFormat="1" ht="15" customHeight="1" outlineLevel="1" x14ac:dyDescent="0.2">
      <c r="B361" s="60" t="s">
        <v>3976</v>
      </c>
      <c r="C361" s="549" t="s">
        <v>548</v>
      </c>
      <c r="D361" s="151" t="s">
        <v>4693</v>
      </c>
      <c r="E361" s="154"/>
      <c r="F361" s="175"/>
    </row>
    <row r="362" spans="2:6" s="148" customFormat="1" ht="15" customHeight="1" outlineLevel="1" x14ac:dyDescent="0.2">
      <c r="B362" s="60" t="s">
        <v>3977</v>
      </c>
      <c r="C362" s="549" t="s">
        <v>549</v>
      </c>
      <c r="D362" s="151" t="s">
        <v>4693</v>
      </c>
      <c r="E362" s="154"/>
      <c r="F362" s="175"/>
    </row>
    <row r="363" spans="2:6" s="148" customFormat="1" ht="15" customHeight="1" outlineLevel="1" x14ac:dyDescent="0.2">
      <c r="B363" s="60" t="s">
        <v>3978</v>
      </c>
      <c r="C363" s="549" t="s">
        <v>550</v>
      </c>
      <c r="D363" s="151" t="s">
        <v>4693</v>
      </c>
      <c r="E363" s="154"/>
      <c r="F363" s="175"/>
    </row>
    <row r="364" spans="2:6" s="148" customFormat="1" ht="15" customHeight="1" outlineLevel="1" x14ac:dyDescent="0.2">
      <c r="B364" s="60" t="s">
        <v>3979</v>
      </c>
      <c r="C364" s="549" t="s">
        <v>551</v>
      </c>
      <c r="D364" s="151" t="s">
        <v>4693</v>
      </c>
      <c r="E364" s="154"/>
      <c r="F364" s="175"/>
    </row>
    <row r="365" spans="2:6" s="148" customFormat="1" ht="15" customHeight="1" outlineLevel="1" x14ac:dyDescent="0.2">
      <c r="B365" s="60" t="s">
        <v>3980</v>
      </c>
      <c r="C365" s="549" t="s">
        <v>552</v>
      </c>
      <c r="D365" s="151" t="s">
        <v>4693</v>
      </c>
      <c r="E365" s="154"/>
      <c r="F365" s="175"/>
    </row>
    <row r="366" spans="2:6" s="148" customFormat="1" ht="15" customHeight="1" outlineLevel="1" x14ac:dyDescent="0.2">
      <c r="B366" s="60" t="s">
        <v>3981</v>
      </c>
      <c r="C366" s="549" t="s">
        <v>553</v>
      </c>
      <c r="D366" s="151" t="s">
        <v>4693</v>
      </c>
      <c r="E366" s="154"/>
      <c r="F366" s="175"/>
    </row>
    <row r="367" spans="2:6" s="148" customFormat="1" ht="15" customHeight="1" outlineLevel="1" x14ac:dyDescent="0.2">
      <c r="B367" s="60" t="s">
        <v>3982</v>
      </c>
      <c r="C367" s="549" t="s">
        <v>554</v>
      </c>
      <c r="D367" s="151" t="s">
        <v>4693</v>
      </c>
      <c r="E367" s="154"/>
      <c r="F367" s="175"/>
    </row>
    <row r="368" spans="2:6" s="148" customFormat="1" ht="15" customHeight="1" outlineLevel="1" x14ac:dyDescent="0.2">
      <c r="B368" s="60" t="s">
        <v>3983</v>
      </c>
      <c r="C368" s="549" t="s">
        <v>555</v>
      </c>
      <c r="D368" s="151" t="s">
        <v>4693</v>
      </c>
      <c r="E368" s="154"/>
      <c r="F368" s="175"/>
    </row>
    <row r="369" spans="2:6" s="148" customFormat="1" ht="15" customHeight="1" outlineLevel="1" x14ac:dyDescent="0.2">
      <c r="B369" s="60" t="s">
        <v>3984</v>
      </c>
      <c r="C369" s="549" t="s">
        <v>556</v>
      </c>
      <c r="D369" s="151" t="s">
        <v>4693</v>
      </c>
      <c r="E369" s="154"/>
      <c r="F369" s="175"/>
    </row>
    <row r="370" spans="2:6" s="148" customFormat="1" ht="15" customHeight="1" outlineLevel="1" x14ac:dyDescent="0.2">
      <c r="B370" s="60" t="s">
        <v>3985</v>
      </c>
      <c r="C370" s="549" t="s">
        <v>557</v>
      </c>
      <c r="D370" s="151" t="s">
        <v>4693</v>
      </c>
      <c r="E370" s="154"/>
      <c r="F370" s="175"/>
    </row>
    <row r="371" spans="2:6" s="148" customFormat="1" ht="15" customHeight="1" outlineLevel="1" x14ac:dyDescent="0.2">
      <c r="B371" s="60" t="s">
        <v>3986</v>
      </c>
      <c r="C371" s="549" t="s">
        <v>558</v>
      </c>
      <c r="D371" s="151" t="s">
        <v>4693</v>
      </c>
      <c r="E371" s="154"/>
      <c r="F371" s="175"/>
    </row>
    <row r="372" spans="2:6" s="148" customFormat="1" ht="15" customHeight="1" outlineLevel="1" x14ac:dyDescent="0.2">
      <c r="B372" s="60" t="s">
        <v>3987</v>
      </c>
      <c r="C372" s="549" t="s">
        <v>559</v>
      </c>
      <c r="D372" s="151" t="s">
        <v>4693</v>
      </c>
      <c r="E372" s="154"/>
      <c r="F372" s="175"/>
    </row>
    <row r="373" spans="2:6" s="148" customFormat="1" ht="15" customHeight="1" outlineLevel="1" x14ac:dyDescent="0.2">
      <c r="B373" s="60" t="s">
        <v>3988</v>
      </c>
      <c r="C373" s="549" t="s">
        <v>560</v>
      </c>
      <c r="D373" s="151" t="s">
        <v>4693</v>
      </c>
      <c r="E373" s="154"/>
      <c r="F373" s="175"/>
    </row>
    <row r="374" spans="2:6" s="148" customFormat="1" ht="15" customHeight="1" outlineLevel="1" x14ac:dyDescent="0.2">
      <c r="B374" s="60" t="s">
        <v>3989</v>
      </c>
      <c r="C374" s="549" t="s">
        <v>561</v>
      </c>
      <c r="D374" s="151" t="s">
        <v>4693</v>
      </c>
      <c r="E374" s="154"/>
      <c r="F374" s="175"/>
    </row>
    <row r="375" spans="2:6" s="79" customFormat="1" ht="15" customHeight="1" x14ac:dyDescent="0.2">
      <c r="B375" s="60" t="s">
        <v>3990</v>
      </c>
      <c r="C375" s="425">
        <v>1.3</v>
      </c>
      <c r="D375" s="131" t="s">
        <v>4681</v>
      </c>
      <c r="E375" s="91">
        <f>SUM(E376:E395)</f>
        <v>0</v>
      </c>
      <c r="F375" s="92">
        <f>SUM(F376:F395)</f>
        <v>0</v>
      </c>
    </row>
    <row r="376" spans="2:6" s="148" customFormat="1" ht="15" customHeight="1" outlineLevel="1" x14ac:dyDescent="0.2">
      <c r="B376" s="60" t="s">
        <v>3991</v>
      </c>
      <c r="C376" s="549" t="s">
        <v>2480</v>
      </c>
      <c r="D376" s="151" t="s">
        <v>4693</v>
      </c>
      <c r="E376" s="154"/>
      <c r="F376" s="175"/>
    </row>
    <row r="377" spans="2:6" s="148" customFormat="1" ht="15" customHeight="1" outlineLevel="1" x14ac:dyDescent="0.2">
      <c r="B377" s="60" t="s">
        <v>3992</v>
      </c>
      <c r="C377" s="549" t="s">
        <v>2481</v>
      </c>
      <c r="D377" s="151" t="s">
        <v>4693</v>
      </c>
      <c r="E377" s="154"/>
      <c r="F377" s="175"/>
    </row>
    <row r="378" spans="2:6" s="148" customFormat="1" ht="15" customHeight="1" outlineLevel="1" x14ac:dyDescent="0.2">
      <c r="B378" s="60" t="s">
        <v>3993</v>
      </c>
      <c r="C378" s="549" t="s">
        <v>2482</v>
      </c>
      <c r="D378" s="151" t="s">
        <v>4693</v>
      </c>
      <c r="E378" s="154"/>
      <c r="F378" s="175"/>
    </row>
    <row r="379" spans="2:6" s="148" customFormat="1" ht="15" customHeight="1" outlineLevel="1" x14ac:dyDescent="0.2">
      <c r="B379" s="60" t="s">
        <v>3994</v>
      </c>
      <c r="C379" s="549" t="s">
        <v>2483</v>
      </c>
      <c r="D379" s="151" t="s">
        <v>4693</v>
      </c>
      <c r="E379" s="154"/>
      <c r="F379" s="175"/>
    </row>
    <row r="380" spans="2:6" s="148" customFormat="1" ht="15" customHeight="1" outlineLevel="1" x14ac:dyDescent="0.2">
      <c r="B380" s="60" t="s">
        <v>3995</v>
      </c>
      <c r="C380" s="549" t="s">
        <v>2484</v>
      </c>
      <c r="D380" s="151" t="s">
        <v>4693</v>
      </c>
      <c r="E380" s="154"/>
      <c r="F380" s="175"/>
    </row>
    <row r="381" spans="2:6" s="148" customFormat="1" ht="15" customHeight="1" outlineLevel="1" x14ac:dyDescent="0.2">
      <c r="B381" s="60" t="s">
        <v>3996</v>
      </c>
      <c r="C381" s="549" t="s">
        <v>2485</v>
      </c>
      <c r="D381" s="151" t="s">
        <v>4693</v>
      </c>
      <c r="E381" s="154"/>
      <c r="F381" s="175"/>
    </row>
    <row r="382" spans="2:6" s="148" customFormat="1" ht="15" customHeight="1" outlineLevel="1" x14ac:dyDescent="0.2">
      <c r="B382" s="60" t="s">
        <v>3997</v>
      </c>
      <c r="C382" s="549" t="s">
        <v>2486</v>
      </c>
      <c r="D382" s="151" t="s">
        <v>4693</v>
      </c>
      <c r="E382" s="154"/>
      <c r="F382" s="175"/>
    </row>
    <row r="383" spans="2:6" s="148" customFormat="1" ht="15" customHeight="1" outlineLevel="1" x14ac:dyDescent="0.2">
      <c r="B383" s="60" t="s">
        <v>3998</v>
      </c>
      <c r="C383" s="549" t="s">
        <v>2487</v>
      </c>
      <c r="D383" s="151" t="s">
        <v>4693</v>
      </c>
      <c r="E383" s="154"/>
      <c r="F383" s="175"/>
    </row>
    <row r="384" spans="2:6" s="148" customFormat="1" ht="15" customHeight="1" outlineLevel="1" x14ac:dyDescent="0.2">
      <c r="B384" s="60" t="s">
        <v>3999</v>
      </c>
      <c r="C384" s="549" t="s">
        <v>2488</v>
      </c>
      <c r="D384" s="151" t="s">
        <v>4693</v>
      </c>
      <c r="E384" s="154"/>
      <c r="F384" s="175"/>
    </row>
    <row r="385" spans="2:6" s="148" customFormat="1" ht="15" customHeight="1" outlineLevel="1" x14ac:dyDescent="0.2">
      <c r="B385" s="60" t="s">
        <v>4000</v>
      </c>
      <c r="C385" s="549" t="s">
        <v>2489</v>
      </c>
      <c r="D385" s="151" t="s">
        <v>4693</v>
      </c>
      <c r="E385" s="154"/>
      <c r="F385" s="175"/>
    </row>
    <row r="386" spans="2:6" s="148" customFormat="1" ht="15" customHeight="1" outlineLevel="1" x14ac:dyDescent="0.2">
      <c r="B386" s="60" t="s">
        <v>4001</v>
      </c>
      <c r="C386" s="549" t="s">
        <v>2490</v>
      </c>
      <c r="D386" s="151" t="s">
        <v>4693</v>
      </c>
      <c r="E386" s="154"/>
      <c r="F386" s="175"/>
    </row>
    <row r="387" spans="2:6" s="148" customFormat="1" ht="15" customHeight="1" outlineLevel="1" x14ac:dyDescent="0.2">
      <c r="B387" s="60" t="s">
        <v>4002</v>
      </c>
      <c r="C387" s="549" t="s">
        <v>2491</v>
      </c>
      <c r="D387" s="151" t="s">
        <v>4693</v>
      </c>
      <c r="E387" s="154"/>
      <c r="F387" s="175"/>
    </row>
    <row r="388" spans="2:6" s="148" customFormat="1" ht="15" customHeight="1" outlineLevel="1" x14ac:dyDescent="0.2">
      <c r="B388" s="60" t="s">
        <v>4003</v>
      </c>
      <c r="C388" s="549" t="s">
        <v>2492</v>
      </c>
      <c r="D388" s="151" t="s">
        <v>4693</v>
      </c>
      <c r="E388" s="154"/>
      <c r="F388" s="175"/>
    </row>
    <row r="389" spans="2:6" s="148" customFormat="1" ht="15" customHeight="1" outlineLevel="1" x14ac:dyDescent="0.2">
      <c r="B389" s="60" t="s">
        <v>4004</v>
      </c>
      <c r="C389" s="549" t="s">
        <v>2493</v>
      </c>
      <c r="D389" s="151" t="s">
        <v>4693</v>
      </c>
      <c r="E389" s="154"/>
      <c r="F389" s="175"/>
    </row>
    <row r="390" spans="2:6" s="148" customFormat="1" ht="15" customHeight="1" outlineLevel="1" x14ac:dyDescent="0.2">
      <c r="B390" s="60" t="s">
        <v>4005</v>
      </c>
      <c r="C390" s="549" t="s">
        <v>2494</v>
      </c>
      <c r="D390" s="151" t="s">
        <v>4693</v>
      </c>
      <c r="E390" s="154"/>
      <c r="F390" s="175"/>
    </row>
    <row r="391" spans="2:6" s="148" customFormat="1" ht="15" customHeight="1" outlineLevel="1" x14ac:dyDescent="0.2">
      <c r="B391" s="60" t="s">
        <v>4006</v>
      </c>
      <c r="C391" s="549" t="s">
        <v>2495</v>
      </c>
      <c r="D391" s="151" t="s">
        <v>4693</v>
      </c>
      <c r="E391" s="154"/>
      <c r="F391" s="175"/>
    </row>
    <row r="392" spans="2:6" s="148" customFormat="1" ht="15" customHeight="1" outlineLevel="1" x14ac:dyDescent="0.2">
      <c r="B392" s="60" t="s">
        <v>4007</v>
      </c>
      <c r="C392" s="549" t="s">
        <v>2496</v>
      </c>
      <c r="D392" s="151" t="s">
        <v>4693</v>
      </c>
      <c r="E392" s="154"/>
      <c r="F392" s="175"/>
    </row>
    <row r="393" spans="2:6" s="148" customFormat="1" ht="15" customHeight="1" outlineLevel="1" x14ac:dyDescent="0.2">
      <c r="B393" s="60" t="s">
        <v>4008</v>
      </c>
      <c r="C393" s="549" t="s">
        <v>2497</v>
      </c>
      <c r="D393" s="151" t="s">
        <v>4693</v>
      </c>
      <c r="E393" s="154"/>
      <c r="F393" s="175"/>
    </row>
    <row r="394" spans="2:6" s="148" customFormat="1" ht="15" customHeight="1" outlineLevel="1" x14ac:dyDescent="0.2">
      <c r="B394" s="60" t="s">
        <v>4009</v>
      </c>
      <c r="C394" s="549" t="s">
        <v>2498</v>
      </c>
      <c r="D394" s="151" t="s">
        <v>4693</v>
      </c>
      <c r="E394" s="154"/>
      <c r="F394" s="175"/>
    </row>
    <row r="395" spans="2:6" s="148" customFormat="1" ht="15" customHeight="1" outlineLevel="1" x14ac:dyDescent="0.2">
      <c r="B395" s="60" t="s">
        <v>4010</v>
      </c>
      <c r="C395" s="549" t="s">
        <v>2499</v>
      </c>
      <c r="D395" s="151" t="s">
        <v>4693</v>
      </c>
      <c r="E395" s="154"/>
      <c r="F395" s="175"/>
    </row>
    <row r="396" spans="2:6" s="79" customFormat="1" ht="15" customHeight="1" x14ac:dyDescent="0.2">
      <c r="B396" s="60" t="s">
        <v>4011</v>
      </c>
      <c r="C396" s="425">
        <v>1.4</v>
      </c>
      <c r="D396" s="131" t="s">
        <v>4682</v>
      </c>
      <c r="E396" s="91">
        <f>SUM(E397:E416)</f>
        <v>0</v>
      </c>
      <c r="F396" s="92">
        <f>SUM(F397:F416)</f>
        <v>0</v>
      </c>
    </row>
    <row r="397" spans="2:6" s="148" customFormat="1" ht="15" customHeight="1" outlineLevel="1" x14ac:dyDescent="0.2">
      <c r="B397" s="60" t="s">
        <v>4012</v>
      </c>
      <c r="C397" s="549" t="s">
        <v>2500</v>
      </c>
      <c r="D397" s="151" t="s">
        <v>4693</v>
      </c>
      <c r="E397" s="154"/>
      <c r="F397" s="175"/>
    </row>
    <row r="398" spans="2:6" s="148" customFormat="1" ht="15" customHeight="1" outlineLevel="1" x14ac:dyDescent="0.2">
      <c r="B398" s="60" t="s">
        <v>4013</v>
      </c>
      <c r="C398" s="549" t="s">
        <v>2501</v>
      </c>
      <c r="D398" s="151" t="s">
        <v>4693</v>
      </c>
      <c r="E398" s="154"/>
      <c r="F398" s="175"/>
    </row>
    <row r="399" spans="2:6" s="148" customFormat="1" ht="15" customHeight="1" outlineLevel="1" x14ac:dyDescent="0.2">
      <c r="B399" s="60" t="s">
        <v>4014</v>
      </c>
      <c r="C399" s="549" t="s">
        <v>2502</v>
      </c>
      <c r="D399" s="151" t="s">
        <v>4693</v>
      </c>
      <c r="E399" s="154"/>
      <c r="F399" s="175"/>
    </row>
    <row r="400" spans="2:6" s="148" customFormat="1" ht="15" customHeight="1" outlineLevel="1" x14ac:dyDescent="0.2">
      <c r="B400" s="60" t="s">
        <v>4015</v>
      </c>
      <c r="C400" s="549" t="s">
        <v>2503</v>
      </c>
      <c r="D400" s="151" t="s">
        <v>4693</v>
      </c>
      <c r="E400" s="154"/>
      <c r="F400" s="175"/>
    </row>
    <row r="401" spans="2:6" s="148" customFormat="1" ht="15" customHeight="1" outlineLevel="1" x14ac:dyDescent="0.2">
      <c r="B401" s="60" t="s">
        <v>4016</v>
      </c>
      <c r="C401" s="549" t="s">
        <v>2504</v>
      </c>
      <c r="D401" s="151" t="s">
        <v>4693</v>
      </c>
      <c r="E401" s="154"/>
      <c r="F401" s="175"/>
    </row>
    <row r="402" spans="2:6" s="148" customFormat="1" ht="15" customHeight="1" outlineLevel="1" x14ac:dyDescent="0.2">
      <c r="B402" s="60" t="s">
        <v>4017</v>
      </c>
      <c r="C402" s="549" t="s">
        <v>2505</v>
      </c>
      <c r="D402" s="151" t="s">
        <v>4693</v>
      </c>
      <c r="E402" s="154"/>
      <c r="F402" s="175"/>
    </row>
    <row r="403" spans="2:6" s="148" customFormat="1" ht="15" customHeight="1" outlineLevel="1" x14ac:dyDescent="0.2">
      <c r="B403" s="60" t="s">
        <v>4018</v>
      </c>
      <c r="C403" s="549" t="s">
        <v>2506</v>
      </c>
      <c r="D403" s="151" t="s">
        <v>4693</v>
      </c>
      <c r="E403" s="154"/>
      <c r="F403" s="175"/>
    </row>
    <row r="404" spans="2:6" s="148" customFormat="1" ht="15" customHeight="1" outlineLevel="1" x14ac:dyDescent="0.2">
      <c r="B404" s="60" t="s">
        <v>4019</v>
      </c>
      <c r="C404" s="549" t="s">
        <v>2507</v>
      </c>
      <c r="D404" s="151" t="s">
        <v>4693</v>
      </c>
      <c r="E404" s="154"/>
      <c r="F404" s="175"/>
    </row>
    <row r="405" spans="2:6" s="148" customFormat="1" ht="15" customHeight="1" outlineLevel="1" x14ac:dyDescent="0.2">
      <c r="B405" s="60" t="s">
        <v>4020</v>
      </c>
      <c r="C405" s="549" t="s">
        <v>2508</v>
      </c>
      <c r="D405" s="151" t="s">
        <v>4693</v>
      </c>
      <c r="E405" s="154"/>
      <c r="F405" s="175"/>
    </row>
    <row r="406" spans="2:6" s="148" customFormat="1" ht="15" customHeight="1" outlineLevel="1" x14ac:dyDescent="0.2">
      <c r="B406" s="60" t="s">
        <v>4021</v>
      </c>
      <c r="C406" s="549" t="s">
        <v>2509</v>
      </c>
      <c r="D406" s="151" t="s">
        <v>4693</v>
      </c>
      <c r="E406" s="154"/>
      <c r="F406" s="175"/>
    </row>
    <row r="407" spans="2:6" s="148" customFormat="1" ht="15" customHeight="1" outlineLevel="1" x14ac:dyDescent="0.2">
      <c r="B407" s="60" t="s">
        <v>4022</v>
      </c>
      <c r="C407" s="549" t="s">
        <v>2510</v>
      </c>
      <c r="D407" s="151" t="s">
        <v>4693</v>
      </c>
      <c r="E407" s="154"/>
      <c r="F407" s="175"/>
    </row>
    <row r="408" spans="2:6" s="148" customFormat="1" ht="15" customHeight="1" outlineLevel="1" x14ac:dyDescent="0.2">
      <c r="B408" s="60" t="s">
        <v>4023</v>
      </c>
      <c r="C408" s="549" t="s">
        <v>2511</v>
      </c>
      <c r="D408" s="151" t="s">
        <v>4693</v>
      </c>
      <c r="E408" s="154"/>
      <c r="F408" s="175"/>
    </row>
    <row r="409" spans="2:6" s="148" customFormat="1" ht="15" customHeight="1" outlineLevel="1" x14ac:dyDescent="0.2">
      <c r="B409" s="60" t="s">
        <v>4024</v>
      </c>
      <c r="C409" s="549" t="s">
        <v>2512</v>
      </c>
      <c r="D409" s="151" t="s">
        <v>4693</v>
      </c>
      <c r="E409" s="154"/>
      <c r="F409" s="175"/>
    </row>
    <row r="410" spans="2:6" s="148" customFormat="1" ht="15" customHeight="1" outlineLevel="1" x14ac:dyDescent="0.2">
      <c r="B410" s="60" t="s">
        <v>4025</v>
      </c>
      <c r="C410" s="549" t="s">
        <v>2513</v>
      </c>
      <c r="D410" s="151" t="s">
        <v>4693</v>
      </c>
      <c r="E410" s="154"/>
      <c r="F410" s="175"/>
    </row>
    <row r="411" spans="2:6" s="148" customFormat="1" ht="15" customHeight="1" outlineLevel="1" x14ac:dyDescent="0.2">
      <c r="B411" s="60" t="s">
        <v>4026</v>
      </c>
      <c r="C411" s="549" t="s">
        <v>2514</v>
      </c>
      <c r="D411" s="151" t="s">
        <v>4693</v>
      </c>
      <c r="E411" s="154"/>
      <c r="F411" s="175"/>
    </row>
    <row r="412" spans="2:6" s="148" customFormat="1" ht="15" customHeight="1" outlineLevel="1" x14ac:dyDescent="0.2">
      <c r="B412" s="60" t="s">
        <v>4027</v>
      </c>
      <c r="C412" s="549" t="s">
        <v>2515</v>
      </c>
      <c r="D412" s="151" t="s">
        <v>4693</v>
      </c>
      <c r="E412" s="154"/>
      <c r="F412" s="175"/>
    </row>
    <row r="413" spans="2:6" s="148" customFormat="1" ht="15" customHeight="1" outlineLevel="1" x14ac:dyDescent="0.2">
      <c r="B413" s="60" t="s">
        <v>4028</v>
      </c>
      <c r="C413" s="549" t="s">
        <v>2516</v>
      </c>
      <c r="D413" s="151" t="s">
        <v>4693</v>
      </c>
      <c r="E413" s="154"/>
      <c r="F413" s="175"/>
    </row>
    <row r="414" spans="2:6" s="148" customFormat="1" ht="15" customHeight="1" outlineLevel="1" x14ac:dyDescent="0.2">
      <c r="B414" s="60" t="s">
        <v>4029</v>
      </c>
      <c r="C414" s="549" t="s">
        <v>2517</v>
      </c>
      <c r="D414" s="151" t="s">
        <v>4693</v>
      </c>
      <c r="E414" s="154"/>
      <c r="F414" s="175"/>
    </row>
    <row r="415" spans="2:6" s="148" customFormat="1" ht="15" customHeight="1" outlineLevel="1" x14ac:dyDescent="0.2">
      <c r="B415" s="60" t="s">
        <v>4030</v>
      </c>
      <c r="C415" s="549" t="s">
        <v>2518</v>
      </c>
      <c r="D415" s="151" t="s">
        <v>4693</v>
      </c>
      <c r="E415" s="154"/>
      <c r="F415" s="175"/>
    </row>
    <row r="416" spans="2:6" s="148" customFormat="1" ht="15" customHeight="1" outlineLevel="1" x14ac:dyDescent="0.2">
      <c r="B416" s="60" t="s">
        <v>4031</v>
      </c>
      <c r="C416" s="549" t="s">
        <v>2519</v>
      </c>
      <c r="D416" s="151" t="s">
        <v>4693</v>
      </c>
      <c r="E416" s="154"/>
      <c r="F416" s="175"/>
    </row>
    <row r="417" spans="2:6" s="79" customFormat="1" ht="15" customHeight="1" x14ac:dyDescent="0.2">
      <c r="B417" s="60" t="s">
        <v>4032</v>
      </c>
      <c r="C417" s="425">
        <v>1.5</v>
      </c>
      <c r="D417" s="131" t="s">
        <v>4683</v>
      </c>
      <c r="E417" s="91">
        <f>SUM(E418:E437)</f>
        <v>0</v>
      </c>
      <c r="F417" s="92">
        <f>SUM(F418:F437)</f>
        <v>0</v>
      </c>
    </row>
    <row r="418" spans="2:6" s="148" customFormat="1" ht="15" customHeight="1" outlineLevel="1" x14ac:dyDescent="0.2">
      <c r="B418" s="60" t="s">
        <v>4033</v>
      </c>
      <c r="C418" s="549" t="s">
        <v>2520</v>
      </c>
      <c r="D418" s="151" t="s">
        <v>4693</v>
      </c>
      <c r="E418" s="154"/>
      <c r="F418" s="175"/>
    </row>
    <row r="419" spans="2:6" s="148" customFormat="1" ht="15" customHeight="1" outlineLevel="1" x14ac:dyDescent="0.2">
      <c r="B419" s="60" t="s">
        <v>4034</v>
      </c>
      <c r="C419" s="549" t="s">
        <v>2521</v>
      </c>
      <c r="D419" s="151" t="s">
        <v>4693</v>
      </c>
      <c r="E419" s="154"/>
      <c r="F419" s="175"/>
    </row>
    <row r="420" spans="2:6" s="148" customFormat="1" ht="15" customHeight="1" outlineLevel="1" x14ac:dyDescent="0.2">
      <c r="B420" s="60" t="s">
        <v>4035</v>
      </c>
      <c r="C420" s="549" t="s">
        <v>2522</v>
      </c>
      <c r="D420" s="151" t="s">
        <v>4693</v>
      </c>
      <c r="E420" s="154"/>
      <c r="F420" s="175"/>
    </row>
    <row r="421" spans="2:6" s="148" customFormat="1" ht="15" customHeight="1" outlineLevel="1" x14ac:dyDescent="0.2">
      <c r="B421" s="60" t="s">
        <v>4036</v>
      </c>
      <c r="C421" s="549" t="s">
        <v>2523</v>
      </c>
      <c r="D421" s="151" t="s">
        <v>4693</v>
      </c>
      <c r="E421" s="154"/>
      <c r="F421" s="175"/>
    </row>
    <row r="422" spans="2:6" s="148" customFormat="1" ht="15" customHeight="1" outlineLevel="1" x14ac:dyDescent="0.2">
      <c r="B422" s="60" t="s">
        <v>4037</v>
      </c>
      <c r="C422" s="549" t="s">
        <v>2524</v>
      </c>
      <c r="D422" s="151" t="s">
        <v>4693</v>
      </c>
      <c r="E422" s="154"/>
      <c r="F422" s="175"/>
    </row>
    <row r="423" spans="2:6" s="148" customFormat="1" ht="15" customHeight="1" outlineLevel="1" x14ac:dyDescent="0.2">
      <c r="B423" s="60" t="s">
        <v>4038</v>
      </c>
      <c r="C423" s="549" t="s">
        <v>2525</v>
      </c>
      <c r="D423" s="151" t="s">
        <v>4693</v>
      </c>
      <c r="E423" s="154"/>
      <c r="F423" s="175"/>
    </row>
    <row r="424" spans="2:6" s="148" customFormat="1" ht="15" customHeight="1" outlineLevel="1" x14ac:dyDescent="0.2">
      <c r="B424" s="60" t="s">
        <v>4039</v>
      </c>
      <c r="C424" s="549" t="s">
        <v>2526</v>
      </c>
      <c r="D424" s="151" t="s">
        <v>4693</v>
      </c>
      <c r="E424" s="154"/>
      <c r="F424" s="175"/>
    </row>
    <row r="425" spans="2:6" s="148" customFormat="1" ht="15" customHeight="1" outlineLevel="1" x14ac:dyDescent="0.2">
      <c r="B425" s="60" t="s">
        <v>4040</v>
      </c>
      <c r="C425" s="549" t="s">
        <v>2527</v>
      </c>
      <c r="D425" s="151" t="s">
        <v>4693</v>
      </c>
      <c r="E425" s="154"/>
      <c r="F425" s="175"/>
    </row>
    <row r="426" spans="2:6" s="148" customFormat="1" ht="15" customHeight="1" outlineLevel="1" x14ac:dyDescent="0.2">
      <c r="B426" s="60" t="s">
        <v>4041</v>
      </c>
      <c r="C426" s="549" t="s">
        <v>2528</v>
      </c>
      <c r="D426" s="151" t="s">
        <v>4693</v>
      </c>
      <c r="E426" s="154"/>
      <c r="F426" s="175"/>
    </row>
    <row r="427" spans="2:6" s="148" customFormat="1" ht="15" customHeight="1" outlineLevel="1" x14ac:dyDescent="0.2">
      <c r="B427" s="60" t="s">
        <v>4042</v>
      </c>
      <c r="C427" s="549" t="s">
        <v>2529</v>
      </c>
      <c r="D427" s="151" t="s">
        <v>4693</v>
      </c>
      <c r="E427" s="154"/>
      <c r="F427" s="175"/>
    </row>
    <row r="428" spans="2:6" s="148" customFormat="1" ht="15" customHeight="1" outlineLevel="1" x14ac:dyDescent="0.2">
      <c r="B428" s="60" t="s">
        <v>4043</v>
      </c>
      <c r="C428" s="549" t="s">
        <v>2530</v>
      </c>
      <c r="D428" s="151" t="s">
        <v>4693</v>
      </c>
      <c r="E428" s="154"/>
      <c r="F428" s="175"/>
    </row>
    <row r="429" spans="2:6" s="148" customFormat="1" ht="15" customHeight="1" outlineLevel="1" x14ac:dyDescent="0.2">
      <c r="B429" s="60" t="s">
        <v>4044</v>
      </c>
      <c r="C429" s="549" t="s">
        <v>2531</v>
      </c>
      <c r="D429" s="151" t="s">
        <v>4693</v>
      </c>
      <c r="E429" s="154"/>
      <c r="F429" s="175"/>
    </row>
    <row r="430" spans="2:6" s="148" customFormat="1" ht="15" customHeight="1" outlineLevel="1" x14ac:dyDescent="0.2">
      <c r="B430" s="60" t="s">
        <v>4045</v>
      </c>
      <c r="C430" s="549" t="s">
        <v>2532</v>
      </c>
      <c r="D430" s="151" t="s">
        <v>4693</v>
      </c>
      <c r="E430" s="154"/>
      <c r="F430" s="175"/>
    </row>
    <row r="431" spans="2:6" s="148" customFormat="1" ht="15" customHeight="1" outlineLevel="1" x14ac:dyDescent="0.2">
      <c r="B431" s="60" t="s">
        <v>4046</v>
      </c>
      <c r="C431" s="549" t="s">
        <v>2533</v>
      </c>
      <c r="D431" s="151" t="s">
        <v>4693</v>
      </c>
      <c r="E431" s="154"/>
      <c r="F431" s="175"/>
    </row>
    <row r="432" spans="2:6" s="148" customFormat="1" ht="15" customHeight="1" outlineLevel="1" x14ac:dyDescent="0.2">
      <c r="B432" s="60" t="s">
        <v>4047</v>
      </c>
      <c r="C432" s="549" t="s">
        <v>2534</v>
      </c>
      <c r="D432" s="151" t="s">
        <v>4693</v>
      </c>
      <c r="E432" s="154"/>
      <c r="F432" s="175"/>
    </row>
    <row r="433" spans="2:6" s="148" customFormat="1" ht="15" customHeight="1" outlineLevel="1" x14ac:dyDescent="0.2">
      <c r="B433" s="60" t="s">
        <v>4048</v>
      </c>
      <c r="C433" s="549" t="s">
        <v>2535</v>
      </c>
      <c r="D433" s="151" t="s">
        <v>4693</v>
      </c>
      <c r="E433" s="154"/>
      <c r="F433" s="175"/>
    </row>
    <row r="434" spans="2:6" s="148" customFormat="1" ht="15" customHeight="1" outlineLevel="1" x14ac:dyDescent="0.2">
      <c r="B434" s="60" t="s">
        <v>4049</v>
      </c>
      <c r="C434" s="549" t="s">
        <v>2536</v>
      </c>
      <c r="D434" s="151" t="s">
        <v>4693</v>
      </c>
      <c r="E434" s="154"/>
      <c r="F434" s="175"/>
    </row>
    <row r="435" spans="2:6" s="148" customFormat="1" ht="15" customHeight="1" outlineLevel="1" x14ac:dyDescent="0.2">
      <c r="B435" s="60" t="s">
        <v>4050</v>
      </c>
      <c r="C435" s="549" t="s">
        <v>2537</v>
      </c>
      <c r="D435" s="151" t="s">
        <v>4693</v>
      </c>
      <c r="E435" s="154"/>
      <c r="F435" s="175"/>
    </row>
    <row r="436" spans="2:6" s="148" customFormat="1" ht="15" customHeight="1" outlineLevel="1" x14ac:dyDescent="0.2">
      <c r="B436" s="60" t="s">
        <v>4051</v>
      </c>
      <c r="C436" s="549" t="s">
        <v>2538</v>
      </c>
      <c r="D436" s="151" t="s">
        <v>4693</v>
      </c>
      <c r="E436" s="154"/>
      <c r="F436" s="175"/>
    </row>
    <row r="437" spans="2:6" s="148" customFormat="1" ht="15" customHeight="1" outlineLevel="1" x14ac:dyDescent="0.2">
      <c r="B437" s="60" t="s">
        <v>4052</v>
      </c>
      <c r="C437" s="549" t="s">
        <v>2539</v>
      </c>
      <c r="D437" s="151" t="s">
        <v>4693</v>
      </c>
      <c r="E437" s="154"/>
      <c r="F437" s="175"/>
    </row>
    <row r="438" spans="2:6" s="79" customFormat="1" ht="15" customHeight="1" x14ac:dyDescent="0.2">
      <c r="B438" s="60" t="s">
        <v>4053</v>
      </c>
      <c r="C438" s="425">
        <v>1.6</v>
      </c>
      <c r="D438" s="131" t="s">
        <v>4680</v>
      </c>
      <c r="E438" s="91">
        <f>SUM(E439:E458)</f>
        <v>0</v>
      </c>
      <c r="F438" s="92">
        <f>SUM(F439:F458)</f>
        <v>0</v>
      </c>
    </row>
    <row r="439" spans="2:6" s="148" customFormat="1" ht="15" customHeight="1" outlineLevel="1" x14ac:dyDescent="0.2">
      <c r="B439" s="60" t="s">
        <v>4054</v>
      </c>
      <c r="C439" s="549" t="s">
        <v>2540</v>
      </c>
      <c r="D439" s="151" t="s">
        <v>4693</v>
      </c>
      <c r="E439" s="154"/>
      <c r="F439" s="175"/>
    </row>
    <row r="440" spans="2:6" s="148" customFormat="1" ht="15" customHeight="1" outlineLevel="1" x14ac:dyDescent="0.2">
      <c r="B440" s="60" t="s">
        <v>4055</v>
      </c>
      <c r="C440" s="549" t="s">
        <v>2541</v>
      </c>
      <c r="D440" s="151" t="s">
        <v>4693</v>
      </c>
      <c r="E440" s="154"/>
      <c r="F440" s="175"/>
    </row>
    <row r="441" spans="2:6" s="148" customFormat="1" ht="15" customHeight="1" outlineLevel="1" x14ac:dyDescent="0.2">
      <c r="B441" s="60" t="s">
        <v>4056</v>
      </c>
      <c r="C441" s="549" t="s">
        <v>2542</v>
      </c>
      <c r="D441" s="151" t="s">
        <v>4693</v>
      </c>
      <c r="E441" s="154"/>
      <c r="F441" s="175"/>
    </row>
    <row r="442" spans="2:6" s="148" customFormat="1" ht="15" customHeight="1" outlineLevel="1" x14ac:dyDescent="0.2">
      <c r="B442" s="60" t="s">
        <v>4057</v>
      </c>
      <c r="C442" s="549" t="s">
        <v>2543</v>
      </c>
      <c r="D442" s="151" t="s">
        <v>4693</v>
      </c>
      <c r="E442" s="154"/>
      <c r="F442" s="175"/>
    </row>
    <row r="443" spans="2:6" s="148" customFormat="1" ht="15" customHeight="1" outlineLevel="1" x14ac:dyDescent="0.2">
      <c r="B443" s="60" t="s">
        <v>4058</v>
      </c>
      <c r="C443" s="549" t="s">
        <v>2544</v>
      </c>
      <c r="D443" s="151" t="s">
        <v>4693</v>
      </c>
      <c r="E443" s="154"/>
      <c r="F443" s="175"/>
    </row>
    <row r="444" spans="2:6" s="148" customFormat="1" ht="15" customHeight="1" outlineLevel="1" x14ac:dyDescent="0.2">
      <c r="B444" s="60" t="s">
        <v>4059</v>
      </c>
      <c r="C444" s="549" t="s">
        <v>2545</v>
      </c>
      <c r="D444" s="151" t="s">
        <v>4693</v>
      </c>
      <c r="E444" s="154"/>
      <c r="F444" s="175"/>
    </row>
    <row r="445" spans="2:6" s="148" customFormat="1" ht="15" customHeight="1" outlineLevel="1" x14ac:dyDescent="0.2">
      <c r="B445" s="60" t="s">
        <v>4060</v>
      </c>
      <c r="C445" s="549" t="s">
        <v>2546</v>
      </c>
      <c r="D445" s="151" t="s">
        <v>4693</v>
      </c>
      <c r="E445" s="154"/>
      <c r="F445" s="175"/>
    </row>
    <row r="446" spans="2:6" s="148" customFormat="1" ht="15" customHeight="1" outlineLevel="1" x14ac:dyDescent="0.2">
      <c r="B446" s="60" t="s">
        <v>4061</v>
      </c>
      <c r="C446" s="549" t="s">
        <v>2547</v>
      </c>
      <c r="D446" s="151" t="s">
        <v>4693</v>
      </c>
      <c r="E446" s="154"/>
      <c r="F446" s="175"/>
    </row>
    <row r="447" spans="2:6" s="148" customFormat="1" ht="15" customHeight="1" outlineLevel="1" x14ac:dyDescent="0.2">
      <c r="B447" s="60" t="s">
        <v>4062</v>
      </c>
      <c r="C447" s="549" t="s">
        <v>2548</v>
      </c>
      <c r="D447" s="151" t="s">
        <v>4693</v>
      </c>
      <c r="E447" s="154"/>
      <c r="F447" s="175"/>
    </row>
    <row r="448" spans="2:6" s="148" customFormat="1" ht="15" customHeight="1" outlineLevel="1" x14ac:dyDescent="0.2">
      <c r="B448" s="60" t="s">
        <v>4063</v>
      </c>
      <c r="C448" s="549" t="s">
        <v>2549</v>
      </c>
      <c r="D448" s="151" t="s">
        <v>4693</v>
      </c>
      <c r="E448" s="154"/>
      <c r="F448" s="175"/>
    </row>
    <row r="449" spans="2:6" s="148" customFormat="1" ht="15" customHeight="1" outlineLevel="1" x14ac:dyDescent="0.2">
      <c r="B449" s="60" t="s">
        <v>4064</v>
      </c>
      <c r="C449" s="549" t="s">
        <v>2550</v>
      </c>
      <c r="D449" s="151" t="s">
        <v>4693</v>
      </c>
      <c r="E449" s="154"/>
      <c r="F449" s="175"/>
    </row>
    <row r="450" spans="2:6" s="148" customFormat="1" ht="15" customHeight="1" outlineLevel="1" x14ac:dyDescent="0.2">
      <c r="B450" s="60" t="s">
        <v>4065</v>
      </c>
      <c r="C450" s="549" t="s">
        <v>2551</v>
      </c>
      <c r="D450" s="151" t="s">
        <v>4693</v>
      </c>
      <c r="E450" s="154"/>
      <c r="F450" s="175"/>
    </row>
    <row r="451" spans="2:6" s="148" customFormat="1" ht="15" customHeight="1" outlineLevel="1" x14ac:dyDescent="0.2">
      <c r="B451" s="60" t="s">
        <v>4066</v>
      </c>
      <c r="C451" s="549" t="s">
        <v>2552</v>
      </c>
      <c r="D451" s="151" t="s">
        <v>4693</v>
      </c>
      <c r="E451" s="154"/>
      <c r="F451" s="175"/>
    </row>
    <row r="452" spans="2:6" s="148" customFormat="1" ht="15" customHeight="1" outlineLevel="1" x14ac:dyDescent="0.2">
      <c r="B452" s="60" t="s">
        <v>4067</v>
      </c>
      <c r="C452" s="549" t="s">
        <v>2553</v>
      </c>
      <c r="D452" s="151" t="s">
        <v>4693</v>
      </c>
      <c r="E452" s="154"/>
      <c r="F452" s="175"/>
    </row>
    <row r="453" spans="2:6" s="148" customFormat="1" ht="15" customHeight="1" outlineLevel="1" x14ac:dyDescent="0.2">
      <c r="B453" s="60" t="s">
        <v>4068</v>
      </c>
      <c r="C453" s="549" t="s">
        <v>2554</v>
      </c>
      <c r="D453" s="151" t="s">
        <v>4693</v>
      </c>
      <c r="E453" s="154"/>
      <c r="F453" s="175"/>
    </row>
    <row r="454" spans="2:6" s="148" customFormat="1" ht="15" customHeight="1" outlineLevel="1" x14ac:dyDescent="0.2">
      <c r="B454" s="60" t="s">
        <v>4069</v>
      </c>
      <c r="C454" s="549" t="s">
        <v>2555</v>
      </c>
      <c r="D454" s="151" t="s">
        <v>4693</v>
      </c>
      <c r="E454" s="154"/>
      <c r="F454" s="175"/>
    </row>
    <row r="455" spans="2:6" s="148" customFormat="1" ht="15" customHeight="1" outlineLevel="1" x14ac:dyDescent="0.2">
      <c r="B455" s="60" t="s">
        <v>4070</v>
      </c>
      <c r="C455" s="549" t="s">
        <v>2556</v>
      </c>
      <c r="D455" s="151" t="s">
        <v>4693</v>
      </c>
      <c r="E455" s="154"/>
      <c r="F455" s="175"/>
    </row>
    <row r="456" spans="2:6" s="148" customFormat="1" ht="15" customHeight="1" outlineLevel="1" x14ac:dyDescent="0.2">
      <c r="B456" s="60" t="s">
        <v>4071</v>
      </c>
      <c r="C456" s="549" t="s">
        <v>2557</v>
      </c>
      <c r="D456" s="151" t="s">
        <v>4693</v>
      </c>
      <c r="E456" s="154"/>
      <c r="F456" s="175"/>
    </row>
    <row r="457" spans="2:6" s="148" customFormat="1" ht="15" customHeight="1" outlineLevel="1" x14ac:dyDescent="0.2">
      <c r="B457" s="60" t="s">
        <v>4072</v>
      </c>
      <c r="C457" s="549" t="s">
        <v>2558</v>
      </c>
      <c r="D457" s="151" t="s">
        <v>4693</v>
      </c>
      <c r="E457" s="154"/>
      <c r="F457" s="175"/>
    </row>
    <row r="458" spans="2:6" s="148" customFormat="1" ht="15" customHeight="1" outlineLevel="1" x14ac:dyDescent="0.2">
      <c r="B458" s="60" t="s">
        <v>4073</v>
      </c>
      <c r="C458" s="549" t="s">
        <v>2559</v>
      </c>
      <c r="D458" s="151" t="s">
        <v>4693</v>
      </c>
      <c r="E458" s="154"/>
      <c r="F458" s="175"/>
    </row>
    <row r="459" spans="2:6" s="132" customFormat="1" ht="15" customHeight="1" collapsed="1" x14ac:dyDescent="0.2">
      <c r="B459" s="60" t="s">
        <v>4074</v>
      </c>
      <c r="C459" s="397">
        <v>2</v>
      </c>
      <c r="D459" s="150" t="s">
        <v>116</v>
      </c>
      <c r="E459" s="635">
        <f>E460+E481+E502+E523+E544+E565</f>
        <v>0</v>
      </c>
      <c r="F459" s="638">
        <f>F460+F481+F502+F523+F544+F565</f>
        <v>0</v>
      </c>
    </row>
    <row r="460" spans="2:6" s="79" customFormat="1" ht="15" customHeight="1" x14ac:dyDescent="0.2">
      <c r="B460" s="60" t="s">
        <v>4075</v>
      </c>
      <c r="C460" s="425">
        <v>2.1</v>
      </c>
      <c r="D460" s="131" t="s">
        <v>117</v>
      </c>
      <c r="E460" s="91">
        <f>SUM(E461:E480)</f>
        <v>0</v>
      </c>
      <c r="F460" s="92">
        <f>SUM(F461:F480)</f>
        <v>0</v>
      </c>
    </row>
    <row r="461" spans="2:6" s="148" customFormat="1" ht="15" customHeight="1" outlineLevel="1" x14ac:dyDescent="0.2">
      <c r="B461" s="60" t="s">
        <v>4076</v>
      </c>
      <c r="C461" s="549" t="s">
        <v>448</v>
      </c>
      <c r="D461" s="151" t="s">
        <v>122</v>
      </c>
      <c r="E461" s="154"/>
      <c r="F461" s="175"/>
    </row>
    <row r="462" spans="2:6" s="148" customFormat="1" ht="15" customHeight="1" outlineLevel="1" x14ac:dyDescent="0.2">
      <c r="B462" s="60" t="s">
        <v>4077</v>
      </c>
      <c r="C462" s="549" t="s">
        <v>449</v>
      </c>
      <c r="D462" s="151" t="s">
        <v>122</v>
      </c>
      <c r="E462" s="154"/>
      <c r="F462" s="175"/>
    </row>
    <row r="463" spans="2:6" s="148" customFormat="1" ht="15" customHeight="1" outlineLevel="1" x14ac:dyDescent="0.2">
      <c r="B463" s="60" t="s">
        <v>4078</v>
      </c>
      <c r="C463" s="549" t="s">
        <v>562</v>
      </c>
      <c r="D463" s="151" t="s">
        <v>122</v>
      </c>
      <c r="E463" s="154"/>
      <c r="F463" s="175"/>
    </row>
    <row r="464" spans="2:6" s="148" customFormat="1" ht="15" customHeight="1" outlineLevel="1" x14ac:dyDescent="0.2">
      <c r="B464" s="60" t="s">
        <v>4079</v>
      </c>
      <c r="C464" s="549" t="s">
        <v>563</v>
      </c>
      <c r="D464" s="151" t="s">
        <v>122</v>
      </c>
      <c r="E464" s="154"/>
      <c r="F464" s="175"/>
    </row>
    <row r="465" spans="2:6" s="148" customFormat="1" ht="15" customHeight="1" outlineLevel="1" x14ac:dyDescent="0.2">
      <c r="B465" s="60" t="s">
        <v>4080</v>
      </c>
      <c r="C465" s="549" t="s">
        <v>564</v>
      </c>
      <c r="D465" s="151" t="s">
        <v>122</v>
      </c>
      <c r="E465" s="154"/>
      <c r="F465" s="175"/>
    </row>
    <row r="466" spans="2:6" s="148" customFormat="1" ht="15" customHeight="1" outlineLevel="1" x14ac:dyDescent="0.2">
      <c r="B466" s="60" t="s">
        <v>4081</v>
      </c>
      <c r="C466" s="549" t="s">
        <v>565</v>
      </c>
      <c r="D466" s="151" t="s">
        <v>122</v>
      </c>
      <c r="E466" s="154"/>
      <c r="F466" s="175"/>
    </row>
    <row r="467" spans="2:6" s="148" customFormat="1" ht="15" customHeight="1" outlineLevel="1" x14ac:dyDescent="0.2">
      <c r="B467" s="60" t="s">
        <v>4082</v>
      </c>
      <c r="C467" s="549" t="s">
        <v>566</v>
      </c>
      <c r="D467" s="151" t="s">
        <v>122</v>
      </c>
      <c r="E467" s="154"/>
      <c r="F467" s="175"/>
    </row>
    <row r="468" spans="2:6" s="148" customFormat="1" ht="15" customHeight="1" outlineLevel="1" x14ac:dyDescent="0.2">
      <c r="B468" s="60" t="s">
        <v>4083</v>
      </c>
      <c r="C468" s="549" t="s">
        <v>567</v>
      </c>
      <c r="D468" s="151" t="s">
        <v>122</v>
      </c>
      <c r="E468" s="154"/>
      <c r="F468" s="175"/>
    </row>
    <row r="469" spans="2:6" s="148" customFormat="1" ht="15" customHeight="1" outlineLevel="1" x14ac:dyDescent="0.2">
      <c r="B469" s="60" t="s">
        <v>4084</v>
      </c>
      <c r="C469" s="549" t="s">
        <v>568</v>
      </c>
      <c r="D469" s="151" t="s">
        <v>122</v>
      </c>
      <c r="E469" s="154"/>
      <c r="F469" s="175"/>
    </row>
    <row r="470" spans="2:6" s="148" customFormat="1" ht="15" customHeight="1" outlineLevel="1" x14ac:dyDescent="0.2">
      <c r="B470" s="60" t="s">
        <v>4085</v>
      </c>
      <c r="C470" s="549" t="s">
        <v>569</v>
      </c>
      <c r="D470" s="151" t="s">
        <v>122</v>
      </c>
      <c r="E470" s="154"/>
      <c r="F470" s="175"/>
    </row>
    <row r="471" spans="2:6" s="148" customFormat="1" ht="15" customHeight="1" outlineLevel="1" x14ac:dyDescent="0.2">
      <c r="B471" s="60" t="s">
        <v>4086</v>
      </c>
      <c r="C471" s="549" t="s">
        <v>570</v>
      </c>
      <c r="D471" s="151" t="s">
        <v>122</v>
      </c>
      <c r="E471" s="154"/>
      <c r="F471" s="175"/>
    </row>
    <row r="472" spans="2:6" s="148" customFormat="1" ht="15" customHeight="1" outlineLevel="1" x14ac:dyDescent="0.2">
      <c r="B472" s="60" t="s">
        <v>4087</v>
      </c>
      <c r="C472" s="549" t="s">
        <v>571</v>
      </c>
      <c r="D472" s="151" t="s">
        <v>122</v>
      </c>
      <c r="E472" s="154"/>
      <c r="F472" s="175"/>
    </row>
    <row r="473" spans="2:6" s="148" customFormat="1" ht="15" customHeight="1" outlineLevel="1" x14ac:dyDescent="0.2">
      <c r="B473" s="60" t="s">
        <v>4088</v>
      </c>
      <c r="C473" s="549" t="s">
        <v>572</v>
      </c>
      <c r="D473" s="151" t="s">
        <v>122</v>
      </c>
      <c r="E473" s="154"/>
      <c r="F473" s="175"/>
    </row>
    <row r="474" spans="2:6" s="148" customFormat="1" ht="15" customHeight="1" outlineLevel="1" x14ac:dyDescent="0.2">
      <c r="B474" s="60" t="s">
        <v>4089</v>
      </c>
      <c r="C474" s="549" t="s">
        <v>573</v>
      </c>
      <c r="D474" s="151" t="s">
        <v>122</v>
      </c>
      <c r="E474" s="154"/>
      <c r="F474" s="175"/>
    </row>
    <row r="475" spans="2:6" s="148" customFormat="1" ht="15" customHeight="1" outlineLevel="1" x14ac:dyDescent="0.2">
      <c r="B475" s="60" t="s">
        <v>4090</v>
      </c>
      <c r="C475" s="549" t="s">
        <v>574</v>
      </c>
      <c r="D475" s="151" t="s">
        <v>122</v>
      </c>
      <c r="E475" s="154"/>
      <c r="F475" s="175"/>
    </row>
    <row r="476" spans="2:6" s="148" customFormat="1" ht="15" customHeight="1" outlineLevel="1" x14ac:dyDescent="0.2">
      <c r="B476" s="60" t="s">
        <v>4091</v>
      </c>
      <c r="C476" s="549" t="s">
        <v>575</v>
      </c>
      <c r="D476" s="151" t="s">
        <v>122</v>
      </c>
      <c r="E476" s="154"/>
      <c r="F476" s="175"/>
    </row>
    <row r="477" spans="2:6" s="148" customFormat="1" ht="15" customHeight="1" outlineLevel="1" x14ac:dyDescent="0.2">
      <c r="B477" s="60" t="s">
        <v>4092</v>
      </c>
      <c r="C477" s="549" t="s">
        <v>576</v>
      </c>
      <c r="D477" s="151" t="s">
        <v>122</v>
      </c>
      <c r="E477" s="154"/>
      <c r="F477" s="175"/>
    </row>
    <row r="478" spans="2:6" s="148" customFormat="1" ht="15" customHeight="1" outlineLevel="1" x14ac:dyDescent="0.2">
      <c r="B478" s="60" t="s">
        <v>4093</v>
      </c>
      <c r="C478" s="549" t="s">
        <v>577</v>
      </c>
      <c r="D478" s="151" t="s">
        <v>122</v>
      </c>
      <c r="E478" s="154"/>
      <c r="F478" s="175"/>
    </row>
    <row r="479" spans="2:6" s="148" customFormat="1" ht="15" customHeight="1" outlineLevel="1" x14ac:dyDescent="0.2">
      <c r="B479" s="60" t="s">
        <v>4094</v>
      </c>
      <c r="C479" s="549" t="s">
        <v>578</v>
      </c>
      <c r="D479" s="151" t="s">
        <v>122</v>
      </c>
      <c r="E479" s="154"/>
      <c r="F479" s="175"/>
    </row>
    <row r="480" spans="2:6" s="148" customFormat="1" ht="15" customHeight="1" outlineLevel="1" x14ac:dyDescent="0.2">
      <c r="B480" s="60" t="s">
        <v>4095</v>
      </c>
      <c r="C480" s="549" t="s">
        <v>579</v>
      </c>
      <c r="D480" s="151" t="s">
        <v>122</v>
      </c>
      <c r="E480" s="154"/>
      <c r="F480" s="175"/>
    </row>
    <row r="481" spans="2:6" s="79" customFormat="1" ht="15" customHeight="1" x14ac:dyDescent="0.2">
      <c r="B481" s="60" t="s">
        <v>4096</v>
      </c>
      <c r="C481" s="425">
        <v>2.2000000000000002</v>
      </c>
      <c r="D481" s="131" t="s">
        <v>4684</v>
      </c>
      <c r="E481" s="91">
        <f>SUM(E482:E501)</f>
        <v>0</v>
      </c>
      <c r="F481" s="92">
        <f>SUM(F482:F501)</f>
        <v>0</v>
      </c>
    </row>
    <row r="482" spans="2:6" s="148" customFormat="1" ht="15" customHeight="1" outlineLevel="1" x14ac:dyDescent="0.2">
      <c r="B482" s="60" t="s">
        <v>4097</v>
      </c>
      <c r="C482" s="549" t="s">
        <v>580</v>
      </c>
      <c r="D482" s="151" t="s">
        <v>122</v>
      </c>
      <c r="E482" s="154"/>
      <c r="F482" s="175"/>
    </row>
    <row r="483" spans="2:6" s="148" customFormat="1" ht="15" customHeight="1" outlineLevel="1" x14ac:dyDescent="0.2">
      <c r="B483" s="60" t="s">
        <v>4098</v>
      </c>
      <c r="C483" s="549" t="s">
        <v>581</v>
      </c>
      <c r="D483" s="151" t="s">
        <v>122</v>
      </c>
      <c r="E483" s="154"/>
      <c r="F483" s="175"/>
    </row>
    <row r="484" spans="2:6" s="148" customFormat="1" ht="15" customHeight="1" outlineLevel="1" x14ac:dyDescent="0.2">
      <c r="B484" s="60" t="s">
        <v>4099</v>
      </c>
      <c r="C484" s="549" t="s">
        <v>582</v>
      </c>
      <c r="D484" s="151" t="s">
        <v>122</v>
      </c>
      <c r="E484" s="154"/>
      <c r="F484" s="175"/>
    </row>
    <row r="485" spans="2:6" s="148" customFormat="1" ht="15" customHeight="1" outlineLevel="1" x14ac:dyDescent="0.2">
      <c r="B485" s="60" t="s">
        <v>4100</v>
      </c>
      <c r="C485" s="549" t="s">
        <v>583</v>
      </c>
      <c r="D485" s="151" t="s">
        <v>122</v>
      </c>
      <c r="E485" s="154"/>
      <c r="F485" s="175"/>
    </row>
    <row r="486" spans="2:6" s="148" customFormat="1" ht="15" customHeight="1" outlineLevel="1" x14ac:dyDescent="0.2">
      <c r="B486" s="60" t="s">
        <v>4101</v>
      </c>
      <c r="C486" s="549" t="s">
        <v>584</v>
      </c>
      <c r="D486" s="151" t="s">
        <v>122</v>
      </c>
      <c r="E486" s="154"/>
      <c r="F486" s="175"/>
    </row>
    <row r="487" spans="2:6" s="148" customFormat="1" ht="15" customHeight="1" outlineLevel="1" x14ac:dyDescent="0.2">
      <c r="B487" s="60" t="s">
        <v>4102</v>
      </c>
      <c r="C487" s="549" t="s">
        <v>585</v>
      </c>
      <c r="D487" s="151" t="s">
        <v>122</v>
      </c>
      <c r="E487" s="154"/>
      <c r="F487" s="175"/>
    </row>
    <row r="488" spans="2:6" s="148" customFormat="1" ht="15" customHeight="1" outlineLevel="1" x14ac:dyDescent="0.2">
      <c r="B488" s="60" t="s">
        <v>4103</v>
      </c>
      <c r="C488" s="549" t="s">
        <v>586</v>
      </c>
      <c r="D488" s="151" t="s">
        <v>122</v>
      </c>
      <c r="E488" s="154"/>
      <c r="F488" s="175"/>
    </row>
    <row r="489" spans="2:6" s="148" customFormat="1" ht="15" customHeight="1" outlineLevel="1" x14ac:dyDescent="0.2">
      <c r="B489" s="60" t="s">
        <v>4104</v>
      </c>
      <c r="C489" s="549" t="s">
        <v>587</v>
      </c>
      <c r="D489" s="151" t="s">
        <v>122</v>
      </c>
      <c r="E489" s="154"/>
      <c r="F489" s="175"/>
    </row>
    <row r="490" spans="2:6" s="148" customFormat="1" ht="15" customHeight="1" outlineLevel="1" x14ac:dyDescent="0.2">
      <c r="B490" s="60" t="s">
        <v>4105</v>
      </c>
      <c r="C490" s="549" t="s">
        <v>588</v>
      </c>
      <c r="D490" s="151" t="s">
        <v>122</v>
      </c>
      <c r="E490" s="154"/>
      <c r="F490" s="175"/>
    </row>
    <row r="491" spans="2:6" s="148" customFormat="1" ht="15" customHeight="1" outlineLevel="1" x14ac:dyDescent="0.2">
      <c r="B491" s="60" t="s">
        <v>4106</v>
      </c>
      <c r="C491" s="549" t="s">
        <v>589</v>
      </c>
      <c r="D491" s="151" t="s">
        <v>122</v>
      </c>
      <c r="E491" s="154"/>
      <c r="F491" s="175"/>
    </row>
    <row r="492" spans="2:6" s="148" customFormat="1" ht="15" customHeight="1" outlineLevel="1" x14ac:dyDescent="0.2">
      <c r="B492" s="60" t="s">
        <v>4107</v>
      </c>
      <c r="C492" s="549" t="s">
        <v>590</v>
      </c>
      <c r="D492" s="151" t="s">
        <v>122</v>
      </c>
      <c r="E492" s="154"/>
      <c r="F492" s="175"/>
    </row>
    <row r="493" spans="2:6" s="148" customFormat="1" ht="15" customHeight="1" outlineLevel="1" x14ac:dyDescent="0.2">
      <c r="B493" s="60" t="s">
        <v>4108</v>
      </c>
      <c r="C493" s="549" t="s">
        <v>591</v>
      </c>
      <c r="D493" s="151" t="s">
        <v>122</v>
      </c>
      <c r="E493" s="154"/>
      <c r="F493" s="175"/>
    </row>
    <row r="494" spans="2:6" s="148" customFormat="1" ht="15" customHeight="1" outlineLevel="1" x14ac:dyDescent="0.2">
      <c r="B494" s="60" t="s">
        <v>4109</v>
      </c>
      <c r="C494" s="549" t="s">
        <v>592</v>
      </c>
      <c r="D494" s="151" t="s">
        <v>122</v>
      </c>
      <c r="E494" s="154"/>
      <c r="F494" s="175"/>
    </row>
    <row r="495" spans="2:6" s="148" customFormat="1" ht="15" customHeight="1" outlineLevel="1" x14ac:dyDescent="0.2">
      <c r="B495" s="60" t="s">
        <v>4110</v>
      </c>
      <c r="C495" s="549" t="s">
        <v>593</v>
      </c>
      <c r="D495" s="151" t="s">
        <v>122</v>
      </c>
      <c r="E495" s="154"/>
      <c r="F495" s="175"/>
    </row>
    <row r="496" spans="2:6" s="148" customFormat="1" ht="15" customHeight="1" outlineLevel="1" x14ac:dyDescent="0.2">
      <c r="B496" s="60" t="s">
        <v>4111</v>
      </c>
      <c r="C496" s="549" t="s">
        <v>594</v>
      </c>
      <c r="D496" s="151" t="s">
        <v>122</v>
      </c>
      <c r="E496" s="154"/>
      <c r="F496" s="175"/>
    </row>
    <row r="497" spans="2:6" s="148" customFormat="1" ht="15" customHeight="1" outlineLevel="1" x14ac:dyDescent="0.2">
      <c r="B497" s="60" t="s">
        <v>4112</v>
      </c>
      <c r="C497" s="549" t="s">
        <v>595</v>
      </c>
      <c r="D497" s="151" t="s">
        <v>122</v>
      </c>
      <c r="E497" s="154"/>
      <c r="F497" s="175"/>
    </row>
    <row r="498" spans="2:6" s="148" customFormat="1" ht="15" customHeight="1" outlineLevel="1" x14ac:dyDescent="0.2">
      <c r="B498" s="60" t="s">
        <v>4113</v>
      </c>
      <c r="C498" s="549" t="s">
        <v>596</v>
      </c>
      <c r="D498" s="151" t="s">
        <v>122</v>
      </c>
      <c r="E498" s="154"/>
      <c r="F498" s="175"/>
    </row>
    <row r="499" spans="2:6" s="148" customFormat="1" ht="15" customHeight="1" outlineLevel="1" x14ac:dyDescent="0.2">
      <c r="B499" s="60" t="s">
        <v>4114</v>
      </c>
      <c r="C499" s="549" t="s">
        <v>597</v>
      </c>
      <c r="D499" s="151" t="s">
        <v>122</v>
      </c>
      <c r="E499" s="154"/>
      <c r="F499" s="175"/>
    </row>
    <row r="500" spans="2:6" s="148" customFormat="1" ht="15" customHeight="1" outlineLevel="1" x14ac:dyDescent="0.2">
      <c r="B500" s="60" t="s">
        <v>4115</v>
      </c>
      <c r="C500" s="549" t="s">
        <v>598</v>
      </c>
      <c r="D500" s="151" t="s">
        <v>122</v>
      </c>
      <c r="E500" s="154"/>
      <c r="F500" s="175"/>
    </row>
    <row r="501" spans="2:6" s="148" customFormat="1" ht="15" customHeight="1" outlineLevel="1" x14ac:dyDescent="0.2">
      <c r="B501" s="60" t="s">
        <v>4116</v>
      </c>
      <c r="C501" s="549" t="s">
        <v>599</v>
      </c>
      <c r="D501" s="151" t="s">
        <v>122</v>
      </c>
      <c r="E501" s="154"/>
      <c r="F501" s="175"/>
    </row>
    <row r="502" spans="2:6" s="79" customFormat="1" ht="15" customHeight="1" x14ac:dyDescent="0.2">
      <c r="B502" s="60" t="s">
        <v>4117</v>
      </c>
      <c r="C502" s="425">
        <v>2.2999999999999998</v>
      </c>
      <c r="D502" s="131" t="s">
        <v>119</v>
      </c>
      <c r="E502" s="91">
        <f>SUM(E503:E522)</f>
        <v>0</v>
      </c>
      <c r="F502" s="92">
        <f>SUM(F503:F522)</f>
        <v>0</v>
      </c>
    </row>
    <row r="503" spans="2:6" s="148" customFormat="1" ht="15" customHeight="1" outlineLevel="1" x14ac:dyDescent="0.2">
      <c r="B503" s="60" t="s">
        <v>4118</v>
      </c>
      <c r="C503" s="549" t="s">
        <v>1604</v>
      </c>
      <c r="D503" s="151" t="s">
        <v>122</v>
      </c>
      <c r="E503" s="154"/>
      <c r="F503" s="175"/>
    </row>
    <row r="504" spans="2:6" s="148" customFormat="1" ht="15" customHeight="1" outlineLevel="1" x14ac:dyDescent="0.2">
      <c r="B504" s="60" t="s">
        <v>4119</v>
      </c>
      <c r="C504" s="549" t="s">
        <v>1605</v>
      </c>
      <c r="D504" s="151" t="s">
        <v>122</v>
      </c>
      <c r="E504" s="154"/>
      <c r="F504" s="175"/>
    </row>
    <row r="505" spans="2:6" s="148" customFormat="1" ht="15" customHeight="1" outlineLevel="1" x14ac:dyDescent="0.2">
      <c r="B505" s="60" t="s">
        <v>4120</v>
      </c>
      <c r="C505" s="549" t="s">
        <v>1606</v>
      </c>
      <c r="D505" s="151" t="s">
        <v>122</v>
      </c>
      <c r="E505" s="154"/>
      <c r="F505" s="175"/>
    </row>
    <row r="506" spans="2:6" s="148" customFormat="1" ht="15" customHeight="1" outlineLevel="1" x14ac:dyDescent="0.2">
      <c r="B506" s="60" t="s">
        <v>4121</v>
      </c>
      <c r="C506" s="549" t="s">
        <v>1607</v>
      </c>
      <c r="D506" s="151" t="s">
        <v>122</v>
      </c>
      <c r="E506" s="154"/>
      <c r="F506" s="175"/>
    </row>
    <row r="507" spans="2:6" s="148" customFormat="1" ht="15" customHeight="1" outlineLevel="1" x14ac:dyDescent="0.2">
      <c r="B507" s="60" t="s">
        <v>4122</v>
      </c>
      <c r="C507" s="549" t="s">
        <v>1608</v>
      </c>
      <c r="D507" s="151" t="s">
        <v>122</v>
      </c>
      <c r="E507" s="154"/>
      <c r="F507" s="175"/>
    </row>
    <row r="508" spans="2:6" s="148" customFormat="1" ht="15" customHeight="1" outlineLevel="1" x14ac:dyDescent="0.2">
      <c r="B508" s="60" t="s">
        <v>4123</v>
      </c>
      <c r="C508" s="549" t="s">
        <v>1609</v>
      </c>
      <c r="D508" s="151" t="s">
        <v>122</v>
      </c>
      <c r="E508" s="154"/>
      <c r="F508" s="175"/>
    </row>
    <row r="509" spans="2:6" s="148" customFormat="1" ht="15" customHeight="1" outlineLevel="1" x14ac:dyDescent="0.2">
      <c r="B509" s="60" t="s">
        <v>4124</v>
      </c>
      <c r="C509" s="549" t="s">
        <v>1610</v>
      </c>
      <c r="D509" s="151" t="s">
        <v>122</v>
      </c>
      <c r="E509" s="154"/>
      <c r="F509" s="175"/>
    </row>
    <row r="510" spans="2:6" s="148" customFormat="1" ht="15" customHeight="1" outlineLevel="1" x14ac:dyDescent="0.2">
      <c r="B510" s="60" t="s">
        <v>4125</v>
      </c>
      <c r="C510" s="549" t="s">
        <v>1611</v>
      </c>
      <c r="D510" s="151" t="s">
        <v>122</v>
      </c>
      <c r="E510" s="154"/>
      <c r="F510" s="175"/>
    </row>
    <row r="511" spans="2:6" s="148" customFormat="1" ht="15" customHeight="1" outlineLevel="1" x14ac:dyDescent="0.2">
      <c r="B511" s="60" t="s">
        <v>4126</v>
      </c>
      <c r="C511" s="549" t="s">
        <v>1612</v>
      </c>
      <c r="D511" s="151" t="s">
        <v>122</v>
      </c>
      <c r="E511" s="154"/>
      <c r="F511" s="175"/>
    </row>
    <row r="512" spans="2:6" s="148" customFormat="1" ht="15" customHeight="1" outlineLevel="1" x14ac:dyDescent="0.2">
      <c r="B512" s="60" t="s">
        <v>4127</v>
      </c>
      <c r="C512" s="549" t="s">
        <v>1613</v>
      </c>
      <c r="D512" s="151" t="s">
        <v>122</v>
      </c>
      <c r="E512" s="154"/>
      <c r="F512" s="175"/>
    </row>
    <row r="513" spans="2:6" s="148" customFormat="1" ht="15" customHeight="1" outlineLevel="1" x14ac:dyDescent="0.2">
      <c r="B513" s="60" t="s">
        <v>4128</v>
      </c>
      <c r="C513" s="549" t="s">
        <v>1614</v>
      </c>
      <c r="D513" s="151" t="s">
        <v>122</v>
      </c>
      <c r="E513" s="154"/>
      <c r="F513" s="175"/>
    </row>
    <row r="514" spans="2:6" s="148" customFormat="1" ht="15" customHeight="1" outlineLevel="1" x14ac:dyDescent="0.2">
      <c r="B514" s="60" t="s">
        <v>4129</v>
      </c>
      <c r="C514" s="549" t="s">
        <v>1615</v>
      </c>
      <c r="D514" s="151" t="s">
        <v>122</v>
      </c>
      <c r="E514" s="154"/>
      <c r="F514" s="175"/>
    </row>
    <row r="515" spans="2:6" s="148" customFormat="1" ht="15" customHeight="1" outlineLevel="1" x14ac:dyDescent="0.2">
      <c r="B515" s="60" t="s">
        <v>4130</v>
      </c>
      <c r="C515" s="549" t="s">
        <v>1616</v>
      </c>
      <c r="D515" s="151" t="s">
        <v>122</v>
      </c>
      <c r="E515" s="154"/>
      <c r="F515" s="175"/>
    </row>
    <row r="516" spans="2:6" s="148" customFormat="1" ht="15" customHeight="1" outlineLevel="1" x14ac:dyDescent="0.2">
      <c r="B516" s="60" t="s">
        <v>4131</v>
      </c>
      <c r="C516" s="549" t="s">
        <v>1617</v>
      </c>
      <c r="D516" s="151" t="s">
        <v>122</v>
      </c>
      <c r="E516" s="154"/>
      <c r="F516" s="175"/>
    </row>
    <row r="517" spans="2:6" s="148" customFormat="1" ht="15" customHeight="1" outlineLevel="1" x14ac:dyDescent="0.2">
      <c r="B517" s="60" t="s">
        <v>4132</v>
      </c>
      <c r="C517" s="549" t="s">
        <v>1618</v>
      </c>
      <c r="D517" s="151" t="s">
        <v>122</v>
      </c>
      <c r="E517" s="154"/>
      <c r="F517" s="175"/>
    </row>
    <row r="518" spans="2:6" s="148" customFormat="1" ht="15" customHeight="1" outlineLevel="1" x14ac:dyDescent="0.2">
      <c r="B518" s="60" t="s">
        <v>4133</v>
      </c>
      <c r="C518" s="549" t="s">
        <v>1619</v>
      </c>
      <c r="D518" s="151" t="s">
        <v>122</v>
      </c>
      <c r="E518" s="154"/>
      <c r="F518" s="175"/>
    </row>
    <row r="519" spans="2:6" s="148" customFormat="1" ht="15" customHeight="1" outlineLevel="1" x14ac:dyDescent="0.2">
      <c r="B519" s="60" t="s">
        <v>4134</v>
      </c>
      <c r="C519" s="549" t="s">
        <v>1620</v>
      </c>
      <c r="D519" s="151" t="s">
        <v>122</v>
      </c>
      <c r="E519" s="154"/>
      <c r="F519" s="175"/>
    </row>
    <row r="520" spans="2:6" s="148" customFormat="1" ht="15" customHeight="1" outlineLevel="1" x14ac:dyDescent="0.2">
      <c r="B520" s="60" t="s">
        <v>4135</v>
      </c>
      <c r="C520" s="549" t="s">
        <v>1621</v>
      </c>
      <c r="D520" s="151" t="s">
        <v>122</v>
      </c>
      <c r="E520" s="154"/>
      <c r="F520" s="175"/>
    </row>
    <row r="521" spans="2:6" s="148" customFormat="1" ht="15" customHeight="1" outlineLevel="1" x14ac:dyDescent="0.2">
      <c r="B521" s="60" t="s">
        <v>4136</v>
      </c>
      <c r="C521" s="549" t="s">
        <v>1622</v>
      </c>
      <c r="D521" s="151" t="s">
        <v>122</v>
      </c>
      <c r="E521" s="154"/>
      <c r="F521" s="175"/>
    </row>
    <row r="522" spans="2:6" s="148" customFormat="1" ht="15" customHeight="1" outlineLevel="1" x14ac:dyDescent="0.2">
      <c r="B522" s="60" t="s">
        <v>4137</v>
      </c>
      <c r="C522" s="549" t="s">
        <v>1623</v>
      </c>
      <c r="D522" s="151" t="s">
        <v>122</v>
      </c>
      <c r="E522" s="154"/>
      <c r="F522" s="175"/>
    </row>
    <row r="523" spans="2:6" s="79" customFormat="1" ht="15" customHeight="1" x14ac:dyDescent="0.2">
      <c r="B523" s="60" t="s">
        <v>4138</v>
      </c>
      <c r="C523" s="425">
        <v>2.4</v>
      </c>
      <c r="D523" s="131" t="s">
        <v>123</v>
      </c>
      <c r="E523" s="91">
        <f>SUM(E524:E543)</f>
        <v>0</v>
      </c>
      <c r="F523" s="92">
        <f>SUM(F524:F543)</f>
        <v>0</v>
      </c>
    </row>
    <row r="524" spans="2:6" s="148" customFormat="1" ht="15" customHeight="1" outlineLevel="1" x14ac:dyDescent="0.2">
      <c r="B524" s="60" t="s">
        <v>4139</v>
      </c>
      <c r="C524" s="549" t="s">
        <v>1624</v>
      </c>
      <c r="D524" s="151" t="s">
        <v>122</v>
      </c>
      <c r="E524" s="154"/>
      <c r="F524" s="175"/>
    </row>
    <row r="525" spans="2:6" s="148" customFormat="1" ht="15" customHeight="1" outlineLevel="1" x14ac:dyDescent="0.2">
      <c r="B525" s="60" t="s">
        <v>4140</v>
      </c>
      <c r="C525" s="549" t="s">
        <v>1625</v>
      </c>
      <c r="D525" s="151" t="s">
        <v>122</v>
      </c>
      <c r="E525" s="154"/>
      <c r="F525" s="175"/>
    </row>
    <row r="526" spans="2:6" s="148" customFormat="1" ht="15" customHeight="1" outlineLevel="1" x14ac:dyDescent="0.2">
      <c r="B526" s="60" t="s">
        <v>4141</v>
      </c>
      <c r="C526" s="549" t="s">
        <v>1626</v>
      </c>
      <c r="D526" s="151" t="s">
        <v>122</v>
      </c>
      <c r="E526" s="154"/>
      <c r="F526" s="175"/>
    </row>
    <row r="527" spans="2:6" s="148" customFormat="1" ht="15" customHeight="1" outlineLevel="1" x14ac:dyDescent="0.2">
      <c r="B527" s="60" t="s">
        <v>4142</v>
      </c>
      <c r="C527" s="549" t="s">
        <v>1627</v>
      </c>
      <c r="D527" s="151" t="s">
        <v>122</v>
      </c>
      <c r="E527" s="154"/>
      <c r="F527" s="175"/>
    </row>
    <row r="528" spans="2:6" s="148" customFormat="1" ht="15" customHeight="1" outlineLevel="1" x14ac:dyDescent="0.2">
      <c r="B528" s="60" t="s">
        <v>4143</v>
      </c>
      <c r="C528" s="549" t="s">
        <v>1628</v>
      </c>
      <c r="D528" s="151" t="s">
        <v>122</v>
      </c>
      <c r="E528" s="154"/>
      <c r="F528" s="175"/>
    </row>
    <row r="529" spans="2:6" s="148" customFormat="1" ht="15" customHeight="1" outlineLevel="1" x14ac:dyDescent="0.2">
      <c r="B529" s="60" t="s">
        <v>4144</v>
      </c>
      <c r="C529" s="549" t="s">
        <v>1629</v>
      </c>
      <c r="D529" s="151" t="s">
        <v>122</v>
      </c>
      <c r="E529" s="154"/>
      <c r="F529" s="175"/>
    </row>
    <row r="530" spans="2:6" s="148" customFormat="1" ht="15" customHeight="1" outlineLevel="1" x14ac:dyDescent="0.2">
      <c r="B530" s="60" t="s">
        <v>4145</v>
      </c>
      <c r="C530" s="549" t="s">
        <v>1630</v>
      </c>
      <c r="D530" s="151" t="s">
        <v>122</v>
      </c>
      <c r="E530" s="154"/>
      <c r="F530" s="175"/>
    </row>
    <row r="531" spans="2:6" s="148" customFormat="1" ht="15" customHeight="1" outlineLevel="1" x14ac:dyDescent="0.2">
      <c r="B531" s="60" t="s">
        <v>4146</v>
      </c>
      <c r="C531" s="549" t="s">
        <v>1631</v>
      </c>
      <c r="D531" s="151" t="s">
        <v>122</v>
      </c>
      <c r="E531" s="154"/>
      <c r="F531" s="175"/>
    </row>
    <row r="532" spans="2:6" s="148" customFormat="1" ht="15" customHeight="1" outlineLevel="1" x14ac:dyDescent="0.2">
      <c r="B532" s="60" t="s">
        <v>4147</v>
      </c>
      <c r="C532" s="549" t="s">
        <v>1632</v>
      </c>
      <c r="D532" s="151" t="s">
        <v>122</v>
      </c>
      <c r="E532" s="154"/>
      <c r="F532" s="175"/>
    </row>
    <row r="533" spans="2:6" s="148" customFormat="1" ht="15" customHeight="1" outlineLevel="1" x14ac:dyDescent="0.2">
      <c r="B533" s="60" t="s">
        <v>4148</v>
      </c>
      <c r="C533" s="549" t="s">
        <v>1633</v>
      </c>
      <c r="D533" s="151" t="s">
        <v>122</v>
      </c>
      <c r="E533" s="154"/>
      <c r="F533" s="175"/>
    </row>
    <row r="534" spans="2:6" s="148" customFormat="1" ht="15" customHeight="1" outlineLevel="1" x14ac:dyDescent="0.2">
      <c r="B534" s="60" t="s">
        <v>4149</v>
      </c>
      <c r="C534" s="549" t="s">
        <v>1634</v>
      </c>
      <c r="D534" s="151" t="s">
        <v>122</v>
      </c>
      <c r="E534" s="154"/>
      <c r="F534" s="175"/>
    </row>
    <row r="535" spans="2:6" s="148" customFormat="1" ht="15" customHeight="1" outlineLevel="1" x14ac:dyDescent="0.2">
      <c r="B535" s="60" t="s">
        <v>4150</v>
      </c>
      <c r="C535" s="549" t="s">
        <v>1635</v>
      </c>
      <c r="D535" s="151" t="s">
        <v>122</v>
      </c>
      <c r="E535" s="154"/>
      <c r="F535" s="175"/>
    </row>
    <row r="536" spans="2:6" s="148" customFormat="1" ht="15" customHeight="1" outlineLevel="1" x14ac:dyDescent="0.2">
      <c r="B536" s="60" t="s">
        <v>4151</v>
      </c>
      <c r="C536" s="549" t="s">
        <v>1636</v>
      </c>
      <c r="D536" s="151" t="s">
        <v>122</v>
      </c>
      <c r="E536" s="154"/>
      <c r="F536" s="175"/>
    </row>
    <row r="537" spans="2:6" s="148" customFormat="1" ht="15" customHeight="1" outlineLevel="1" x14ac:dyDescent="0.2">
      <c r="B537" s="60" t="s">
        <v>4152</v>
      </c>
      <c r="C537" s="549" t="s">
        <v>1637</v>
      </c>
      <c r="D537" s="151" t="s">
        <v>122</v>
      </c>
      <c r="E537" s="154"/>
      <c r="F537" s="175"/>
    </row>
    <row r="538" spans="2:6" s="148" customFormat="1" ht="15" customHeight="1" outlineLevel="1" x14ac:dyDescent="0.2">
      <c r="B538" s="60" t="s">
        <v>4153</v>
      </c>
      <c r="C538" s="549" t="s">
        <v>1638</v>
      </c>
      <c r="D538" s="151" t="s">
        <v>122</v>
      </c>
      <c r="E538" s="154"/>
      <c r="F538" s="175"/>
    </row>
    <row r="539" spans="2:6" s="148" customFormat="1" ht="15" customHeight="1" outlineLevel="1" x14ac:dyDescent="0.2">
      <c r="B539" s="60" t="s">
        <v>4154</v>
      </c>
      <c r="C539" s="549" t="s">
        <v>1639</v>
      </c>
      <c r="D539" s="151" t="s">
        <v>122</v>
      </c>
      <c r="E539" s="154"/>
      <c r="F539" s="175"/>
    </row>
    <row r="540" spans="2:6" s="148" customFormat="1" ht="15" customHeight="1" outlineLevel="1" x14ac:dyDescent="0.2">
      <c r="B540" s="60" t="s">
        <v>4155</v>
      </c>
      <c r="C540" s="549" t="s">
        <v>1640</v>
      </c>
      <c r="D540" s="151" t="s">
        <v>122</v>
      </c>
      <c r="E540" s="154"/>
      <c r="F540" s="175"/>
    </row>
    <row r="541" spans="2:6" s="148" customFormat="1" ht="15" customHeight="1" outlineLevel="1" x14ac:dyDescent="0.2">
      <c r="B541" s="60" t="s">
        <v>4156</v>
      </c>
      <c r="C541" s="549" t="s">
        <v>1641</v>
      </c>
      <c r="D541" s="151" t="s">
        <v>122</v>
      </c>
      <c r="E541" s="154"/>
      <c r="F541" s="175"/>
    </row>
    <row r="542" spans="2:6" s="148" customFormat="1" ht="15" customHeight="1" outlineLevel="1" x14ac:dyDescent="0.2">
      <c r="B542" s="60" t="s">
        <v>4157</v>
      </c>
      <c r="C542" s="549" t="s">
        <v>1642</v>
      </c>
      <c r="D542" s="151" t="s">
        <v>122</v>
      </c>
      <c r="E542" s="154"/>
      <c r="F542" s="175"/>
    </row>
    <row r="543" spans="2:6" s="148" customFormat="1" ht="15" customHeight="1" outlineLevel="1" x14ac:dyDescent="0.2">
      <c r="B543" s="60" t="s">
        <v>4158</v>
      </c>
      <c r="C543" s="549" t="s">
        <v>1643</v>
      </c>
      <c r="D543" s="151" t="s">
        <v>122</v>
      </c>
      <c r="E543" s="154"/>
      <c r="F543" s="175"/>
    </row>
    <row r="544" spans="2:6" s="79" customFormat="1" ht="15" customHeight="1" x14ac:dyDescent="0.2">
      <c r="B544" s="60" t="s">
        <v>4159</v>
      </c>
      <c r="C544" s="425">
        <v>2.5</v>
      </c>
      <c r="D544" s="131" t="s">
        <v>118</v>
      </c>
      <c r="E544" s="91">
        <f>SUM(E545:E564)</f>
        <v>0</v>
      </c>
      <c r="F544" s="92">
        <f>SUM(F545:F564)</f>
        <v>0</v>
      </c>
    </row>
    <row r="545" spans="2:6" s="148" customFormat="1" ht="15" customHeight="1" outlineLevel="1" x14ac:dyDescent="0.2">
      <c r="B545" s="60" t="s">
        <v>4160</v>
      </c>
      <c r="C545" s="549" t="s">
        <v>2391</v>
      </c>
      <c r="D545" s="151" t="s">
        <v>122</v>
      </c>
      <c r="E545" s="154"/>
      <c r="F545" s="175"/>
    </row>
    <row r="546" spans="2:6" s="148" customFormat="1" ht="15" customHeight="1" outlineLevel="1" x14ac:dyDescent="0.2">
      <c r="B546" s="60" t="s">
        <v>4161</v>
      </c>
      <c r="C546" s="549" t="s">
        <v>2392</v>
      </c>
      <c r="D546" s="151" t="s">
        <v>122</v>
      </c>
      <c r="E546" s="154"/>
      <c r="F546" s="175"/>
    </row>
    <row r="547" spans="2:6" s="148" customFormat="1" ht="15" customHeight="1" outlineLevel="1" x14ac:dyDescent="0.2">
      <c r="B547" s="60" t="s">
        <v>4162</v>
      </c>
      <c r="C547" s="549" t="s">
        <v>2393</v>
      </c>
      <c r="D547" s="151" t="s">
        <v>122</v>
      </c>
      <c r="E547" s="154"/>
      <c r="F547" s="175"/>
    </row>
    <row r="548" spans="2:6" s="148" customFormat="1" ht="15" customHeight="1" outlineLevel="1" x14ac:dyDescent="0.2">
      <c r="B548" s="60" t="s">
        <v>4163</v>
      </c>
      <c r="C548" s="549" t="s">
        <v>2394</v>
      </c>
      <c r="D548" s="151" t="s">
        <v>122</v>
      </c>
      <c r="E548" s="154"/>
      <c r="F548" s="175"/>
    </row>
    <row r="549" spans="2:6" s="148" customFormat="1" ht="15" customHeight="1" outlineLevel="1" x14ac:dyDescent="0.2">
      <c r="B549" s="60" t="s">
        <v>4164</v>
      </c>
      <c r="C549" s="549" t="s">
        <v>2395</v>
      </c>
      <c r="D549" s="151" t="s">
        <v>122</v>
      </c>
      <c r="E549" s="154"/>
      <c r="F549" s="175"/>
    </row>
    <row r="550" spans="2:6" s="148" customFormat="1" ht="15" customHeight="1" outlineLevel="1" x14ac:dyDescent="0.2">
      <c r="B550" s="60" t="s">
        <v>4165</v>
      </c>
      <c r="C550" s="549" t="s">
        <v>2396</v>
      </c>
      <c r="D550" s="151" t="s">
        <v>122</v>
      </c>
      <c r="E550" s="154"/>
      <c r="F550" s="175"/>
    </row>
    <row r="551" spans="2:6" s="148" customFormat="1" ht="15" customHeight="1" outlineLevel="1" x14ac:dyDescent="0.2">
      <c r="B551" s="60" t="s">
        <v>4166</v>
      </c>
      <c r="C551" s="549" t="s">
        <v>2397</v>
      </c>
      <c r="D551" s="151" t="s">
        <v>122</v>
      </c>
      <c r="E551" s="154"/>
      <c r="F551" s="175"/>
    </row>
    <row r="552" spans="2:6" s="148" customFormat="1" ht="15" customHeight="1" outlineLevel="1" x14ac:dyDescent="0.2">
      <c r="B552" s="60" t="s">
        <v>4167</v>
      </c>
      <c r="C552" s="549" t="s">
        <v>2398</v>
      </c>
      <c r="D552" s="151" t="s">
        <v>122</v>
      </c>
      <c r="E552" s="154"/>
      <c r="F552" s="175"/>
    </row>
    <row r="553" spans="2:6" s="148" customFormat="1" ht="15" customHeight="1" outlineLevel="1" x14ac:dyDescent="0.2">
      <c r="B553" s="60" t="s">
        <v>4168</v>
      </c>
      <c r="C553" s="549" t="s">
        <v>2399</v>
      </c>
      <c r="D553" s="151" t="s">
        <v>122</v>
      </c>
      <c r="E553" s="154"/>
      <c r="F553" s="175"/>
    </row>
    <row r="554" spans="2:6" s="148" customFormat="1" ht="15" customHeight="1" outlineLevel="1" x14ac:dyDescent="0.2">
      <c r="B554" s="60" t="s">
        <v>4169</v>
      </c>
      <c r="C554" s="549" t="s">
        <v>2400</v>
      </c>
      <c r="D554" s="151" t="s">
        <v>122</v>
      </c>
      <c r="E554" s="154"/>
      <c r="F554" s="175"/>
    </row>
    <row r="555" spans="2:6" s="148" customFormat="1" ht="15" customHeight="1" outlineLevel="1" x14ac:dyDescent="0.2">
      <c r="B555" s="60" t="s">
        <v>4170</v>
      </c>
      <c r="C555" s="549" t="s">
        <v>2401</v>
      </c>
      <c r="D555" s="151" t="s">
        <v>122</v>
      </c>
      <c r="E555" s="154"/>
      <c r="F555" s="175"/>
    </row>
    <row r="556" spans="2:6" s="148" customFormat="1" ht="15" customHeight="1" outlineLevel="1" x14ac:dyDescent="0.2">
      <c r="B556" s="60" t="s">
        <v>4171</v>
      </c>
      <c r="C556" s="549" t="s">
        <v>2402</v>
      </c>
      <c r="D556" s="151" t="s">
        <v>122</v>
      </c>
      <c r="E556" s="154"/>
      <c r="F556" s="175"/>
    </row>
    <row r="557" spans="2:6" s="148" customFormat="1" ht="15" customHeight="1" outlineLevel="1" x14ac:dyDescent="0.2">
      <c r="B557" s="60" t="s">
        <v>4172</v>
      </c>
      <c r="C557" s="549" t="s">
        <v>2403</v>
      </c>
      <c r="D557" s="151" t="s">
        <v>122</v>
      </c>
      <c r="E557" s="154"/>
      <c r="F557" s="175"/>
    </row>
    <row r="558" spans="2:6" s="148" customFormat="1" ht="15" customHeight="1" outlineLevel="1" x14ac:dyDescent="0.2">
      <c r="B558" s="60" t="s">
        <v>4173</v>
      </c>
      <c r="C558" s="549" t="s">
        <v>2404</v>
      </c>
      <c r="D558" s="151" t="s">
        <v>122</v>
      </c>
      <c r="E558" s="154"/>
      <c r="F558" s="175"/>
    </row>
    <row r="559" spans="2:6" s="148" customFormat="1" ht="15" customHeight="1" outlineLevel="1" x14ac:dyDescent="0.2">
      <c r="B559" s="60" t="s">
        <v>4174</v>
      </c>
      <c r="C559" s="549" t="s">
        <v>2405</v>
      </c>
      <c r="D559" s="151" t="s">
        <v>122</v>
      </c>
      <c r="E559" s="154"/>
      <c r="F559" s="175"/>
    </row>
    <row r="560" spans="2:6" s="148" customFormat="1" ht="15" customHeight="1" outlineLevel="1" x14ac:dyDescent="0.2">
      <c r="B560" s="60" t="s">
        <v>4175</v>
      </c>
      <c r="C560" s="549" t="s">
        <v>2406</v>
      </c>
      <c r="D560" s="151" t="s">
        <v>122</v>
      </c>
      <c r="E560" s="154"/>
      <c r="F560" s="175"/>
    </row>
    <row r="561" spans="2:6" s="148" customFormat="1" ht="15" customHeight="1" outlineLevel="1" x14ac:dyDescent="0.2">
      <c r="B561" s="60" t="s">
        <v>4176</v>
      </c>
      <c r="C561" s="549" t="s">
        <v>2407</v>
      </c>
      <c r="D561" s="151" t="s">
        <v>122</v>
      </c>
      <c r="E561" s="154"/>
      <c r="F561" s="175"/>
    </row>
    <row r="562" spans="2:6" s="148" customFormat="1" ht="15" customHeight="1" outlineLevel="1" x14ac:dyDescent="0.2">
      <c r="B562" s="60" t="s">
        <v>4177</v>
      </c>
      <c r="C562" s="549" t="s">
        <v>2408</v>
      </c>
      <c r="D562" s="151" t="s">
        <v>122</v>
      </c>
      <c r="E562" s="154"/>
      <c r="F562" s="175"/>
    </row>
    <row r="563" spans="2:6" s="148" customFormat="1" ht="15" customHeight="1" outlineLevel="1" x14ac:dyDescent="0.2">
      <c r="B563" s="60" t="s">
        <v>4178</v>
      </c>
      <c r="C563" s="549" t="s">
        <v>2409</v>
      </c>
      <c r="D563" s="151" t="s">
        <v>122</v>
      </c>
      <c r="E563" s="154"/>
      <c r="F563" s="175"/>
    </row>
    <row r="564" spans="2:6" s="148" customFormat="1" ht="15" customHeight="1" outlineLevel="1" x14ac:dyDescent="0.2">
      <c r="B564" s="60" t="s">
        <v>4179</v>
      </c>
      <c r="C564" s="549" t="s">
        <v>2410</v>
      </c>
      <c r="D564" s="151" t="s">
        <v>122</v>
      </c>
      <c r="E564" s="154"/>
      <c r="F564" s="175"/>
    </row>
    <row r="565" spans="2:6" s="79" customFormat="1" ht="15" customHeight="1" x14ac:dyDescent="0.2">
      <c r="B565" s="60" t="s">
        <v>4180</v>
      </c>
      <c r="C565" s="425">
        <v>2.6</v>
      </c>
      <c r="D565" s="131" t="s">
        <v>4685</v>
      </c>
      <c r="E565" s="91">
        <f>SUM(E566:E585)</f>
        <v>0</v>
      </c>
      <c r="F565" s="92">
        <f>SUM(F566:F585)</f>
        <v>0</v>
      </c>
    </row>
    <row r="566" spans="2:6" s="148" customFormat="1" ht="15" customHeight="1" outlineLevel="1" x14ac:dyDescent="0.2">
      <c r="B566" s="60" t="s">
        <v>4181</v>
      </c>
      <c r="C566" s="506" t="s">
        <v>2411</v>
      </c>
      <c r="D566" s="151" t="s">
        <v>122</v>
      </c>
      <c r="E566" s="154"/>
      <c r="F566" s="175"/>
    </row>
    <row r="567" spans="2:6" s="148" customFormat="1" ht="15" customHeight="1" outlineLevel="1" x14ac:dyDescent="0.2">
      <c r="B567" s="60" t="s">
        <v>4182</v>
      </c>
      <c r="C567" s="506" t="s">
        <v>2412</v>
      </c>
      <c r="D567" s="151" t="s">
        <v>122</v>
      </c>
      <c r="E567" s="154"/>
      <c r="F567" s="175"/>
    </row>
    <row r="568" spans="2:6" s="148" customFormat="1" ht="15" customHeight="1" outlineLevel="1" x14ac:dyDescent="0.2">
      <c r="B568" s="60" t="s">
        <v>4183</v>
      </c>
      <c r="C568" s="506" t="s">
        <v>2413</v>
      </c>
      <c r="D568" s="151" t="s">
        <v>122</v>
      </c>
      <c r="E568" s="154"/>
      <c r="F568" s="175"/>
    </row>
    <row r="569" spans="2:6" s="148" customFormat="1" ht="15" customHeight="1" outlineLevel="1" x14ac:dyDescent="0.2">
      <c r="B569" s="60" t="s">
        <v>4184</v>
      </c>
      <c r="C569" s="506" t="s">
        <v>2414</v>
      </c>
      <c r="D569" s="151" t="s">
        <v>122</v>
      </c>
      <c r="E569" s="154"/>
      <c r="F569" s="175"/>
    </row>
    <row r="570" spans="2:6" s="148" customFormat="1" ht="15" customHeight="1" outlineLevel="1" x14ac:dyDescent="0.2">
      <c r="B570" s="60" t="s">
        <v>4185</v>
      </c>
      <c r="C570" s="506" t="s">
        <v>2415</v>
      </c>
      <c r="D570" s="151" t="s">
        <v>122</v>
      </c>
      <c r="E570" s="154"/>
      <c r="F570" s="175"/>
    </row>
    <row r="571" spans="2:6" s="148" customFormat="1" ht="15" customHeight="1" outlineLevel="1" x14ac:dyDescent="0.2">
      <c r="B571" s="60" t="s">
        <v>4186</v>
      </c>
      <c r="C571" s="506" t="s">
        <v>2416</v>
      </c>
      <c r="D571" s="151" t="s">
        <v>122</v>
      </c>
      <c r="E571" s="154"/>
      <c r="F571" s="175"/>
    </row>
    <row r="572" spans="2:6" s="148" customFormat="1" ht="15" customHeight="1" outlineLevel="1" x14ac:dyDescent="0.2">
      <c r="B572" s="60" t="s">
        <v>4187</v>
      </c>
      <c r="C572" s="506" t="s">
        <v>2417</v>
      </c>
      <c r="D572" s="151" t="s">
        <v>122</v>
      </c>
      <c r="E572" s="154"/>
      <c r="F572" s="175"/>
    </row>
    <row r="573" spans="2:6" s="148" customFormat="1" ht="15" customHeight="1" outlineLevel="1" x14ac:dyDescent="0.2">
      <c r="B573" s="60" t="s">
        <v>4188</v>
      </c>
      <c r="C573" s="506" t="s">
        <v>2418</v>
      </c>
      <c r="D573" s="151" t="s">
        <v>122</v>
      </c>
      <c r="E573" s="154"/>
      <c r="F573" s="175"/>
    </row>
    <row r="574" spans="2:6" s="148" customFormat="1" ht="15" customHeight="1" outlineLevel="1" x14ac:dyDescent="0.2">
      <c r="B574" s="60" t="s">
        <v>4189</v>
      </c>
      <c r="C574" s="506" t="s">
        <v>2419</v>
      </c>
      <c r="D574" s="151" t="s">
        <v>122</v>
      </c>
      <c r="E574" s="154"/>
      <c r="F574" s="175"/>
    </row>
    <row r="575" spans="2:6" s="148" customFormat="1" ht="15" customHeight="1" outlineLevel="1" x14ac:dyDescent="0.2">
      <c r="B575" s="60" t="s">
        <v>4190</v>
      </c>
      <c r="C575" s="506" t="s">
        <v>2420</v>
      </c>
      <c r="D575" s="151" t="s">
        <v>122</v>
      </c>
      <c r="E575" s="154"/>
      <c r="F575" s="175"/>
    </row>
    <row r="576" spans="2:6" s="148" customFormat="1" ht="15" customHeight="1" outlineLevel="1" x14ac:dyDescent="0.2">
      <c r="B576" s="60" t="s">
        <v>4191</v>
      </c>
      <c r="C576" s="506" t="s">
        <v>2421</v>
      </c>
      <c r="D576" s="151" t="s">
        <v>122</v>
      </c>
      <c r="E576" s="154"/>
      <c r="F576" s="175"/>
    </row>
    <row r="577" spans="2:6" s="148" customFormat="1" ht="15" customHeight="1" outlineLevel="1" x14ac:dyDescent="0.2">
      <c r="B577" s="60" t="s">
        <v>4192</v>
      </c>
      <c r="C577" s="506" t="s">
        <v>2422</v>
      </c>
      <c r="D577" s="151" t="s">
        <v>122</v>
      </c>
      <c r="E577" s="154"/>
      <c r="F577" s="175"/>
    </row>
    <row r="578" spans="2:6" s="148" customFormat="1" ht="15" customHeight="1" outlineLevel="1" x14ac:dyDescent="0.2">
      <c r="B578" s="60" t="s">
        <v>4193</v>
      </c>
      <c r="C578" s="506" t="s">
        <v>2423</v>
      </c>
      <c r="D578" s="151" t="s">
        <v>122</v>
      </c>
      <c r="E578" s="154"/>
      <c r="F578" s="175"/>
    </row>
    <row r="579" spans="2:6" s="148" customFormat="1" ht="15" customHeight="1" outlineLevel="1" x14ac:dyDescent="0.2">
      <c r="B579" s="60" t="s">
        <v>4194</v>
      </c>
      <c r="C579" s="506" t="s">
        <v>2424</v>
      </c>
      <c r="D579" s="151" t="s">
        <v>122</v>
      </c>
      <c r="E579" s="154"/>
      <c r="F579" s="175"/>
    </row>
    <row r="580" spans="2:6" s="148" customFormat="1" ht="15" customHeight="1" outlineLevel="1" x14ac:dyDescent="0.2">
      <c r="B580" s="60" t="s">
        <v>4195</v>
      </c>
      <c r="C580" s="506" t="s">
        <v>2425</v>
      </c>
      <c r="D580" s="151" t="s">
        <v>122</v>
      </c>
      <c r="E580" s="154"/>
      <c r="F580" s="175"/>
    </row>
    <row r="581" spans="2:6" s="148" customFormat="1" ht="15" customHeight="1" outlineLevel="1" x14ac:dyDescent="0.2">
      <c r="B581" s="60" t="s">
        <v>4196</v>
      </c>
      <c r="C581" s="506" t="s">
        <v>2426</v>
      </c>
      <c r="D581" s="151" t="s">
        <v>122</v>
      </c>
      <c r="E581" s="154"/>
      <c r="F581" s="175"/>
    </row>
    <row r="582" spans="2:6" s="148" customFormat="1" ht="15" customHeight="1" outlineLevel="1" x14ac:dyDescent="0.2">
      <c r="B582" s="60" t="s">
        <v>4197</v>
      </c>
      <c r="C582" s="506" t="s">
        <v>2427</v>
      </c>
      <c r="D582" s="151" t="s">
        <v>122</v>
      </c>
      <c r="E582" s="154"/>
      <c r="F582" s="175"/>
    </row>
    <row r="583" spans="2:6" s="148" customFormat="1" ht="15" customHeight="1" outlineLevel="1" x14ac:dyDescent="0.2">
      <c r="B583" s="60" t="s">
        <v>4198</v>
      </c>
      <c r="C583" s="506" t="s">
        <v>2428</v>
      </c>
      <c r="D583" s="151" t="s">
        <v>122</v>
      </c>
      <c r="E583" s="154"/>
      <c r="F583" s="175"/>
    </row>
    <row r="584" spans="2:6" s="148" customFormat="1" ht="15" customHeight="1" outlineLevel="1" x14ac:dyDescent="0.2">
      <c r="B584" s="60" t="s">
        <v>4199</v>
      </c>
      <c r="C584" s="506" t="s">
        <v>2429</v>
      </c>
      <c r="D584" s="151" t="s">
        <v>122</v>
      </c>
      <c r="E584" s="154"/>
      <c r="F584" s="175"/>
    </row>
    <row r="585" spans="2:6" s="148" customFormat="1" ht="15" customHeight="1" outlineLevel="1" x14ac:dyDescent="0.2">
      <c r="B585" s="60" t="s">
        <v>4200</v>
      </c>
      <c r="C585" s="506" t="s">
        <v>2430</v>
      </c>
      <c r="D585" s="151" t="s">
        <v>122</v>
      </c>
      <c r="E585" s="154"/>
      <c r="F585" s="175"/>
    </row>
    <row r="586" spans="2:6" s="132" customFormat="1" ht="15" customHeight="1" collapsed="1" x14ac:dyDescent="0.2">
      <c r="B586" s="60" t="s">
        <v>4201</v>
      </c>
      <c r="C586" s="397">
        <v>3</v>
      </c>
      <c r="D586" s="150" t="s">
        <v>197</v>
      </c>
      <c r="E586" s="635">
        <f>E587+E608+E629</f>
        <v>0</v>
      </c>
      <c r="F586" s="638">
        <f>F587+F608+F629</f>
        <v>0</v>
      </c>
    </row>
    <row r="587" spans="2:6" s="79" customFormat="1" ht="15" customHeight="1" x14ac:dyDescent="0.2">
      <c r="B587" s="60" t="s">
        <v>4202</v>
      </c>
      <c r="C587" s="425">
        <v>3.1</v>
      </c>
      <c r="D587" s="131" t="s">
        <v>124</v>
      </c>
      <c r="E587" s="91">
        <f>SUM(E588:E607)</f>
        <v>0</v>
      </c>
      <c r="F587" s="92">
        <f>SUM(F588:F607)</f>
        <v>0</v>
      </c>
    </row>
    <row r="588" spans="2:6" s="148" customFormat="1" ht="15" customHeight="1" outlineLevel="1" x14ac:dyDescent="0.2">
      <c r="B588" s="60" t="s">
        <v>4203</v>
      </c>
      <c r="C588" s="506" t="s">
        <v>450</v>
      </c>
      <c r="D588" s="151" t="s">
        <v>125</v>
      </c>
      <c r="E588" s="154"/>
      <c r="F588" s="175"/>
    </row>
    <row r="589" spans="2:6" s="148" customFormat="1" ht="15" customHeight="1" outlineLevel="1" x14ac:dyDescent="0.2">
      <c r="B589" s="60" t="s">
        <v>4204</v>
      </c>
      <c r="C589" s="506" t="s">
        <v>451</v>
      </c>
      <c r="D589" s="151" t="s">
        <v>125</v>
      </c>
      <c r="E589" s="154"/>
      <c r="F589" s="175"/>
    </row>
    <row r="590" spans="2:6" s="148" customFormat="1" ht="15" customHeight="1" outlineLevel="1" x14ac:dyDescent="0.2">
      <c r="B590" s="60" t="s">
        <v>4205</v>
      </c>
      <c r="C590" s="506" t="s">
        <v>458</v>
      </c>
      <c r="D590" s="151" t="s">
        <v>125</v>
      </c>
      <c r="E590" s="154"/>
      <c r="F590" s="175"/>
    </row>
    <row r="591" spans="2:6" s="148" customFormat="1" ht="15" customHeight="1" outlineLevel="1" x14ac:dyDescent="0.2">
      <c r="B591" s="60" t="s">
        <v>4206</v>
      </c>
      <c r="C591" s="506" t="s">
        <v>600</v>
      </c>
      <c r="D591" s="151" t="s">
        <v>125</v>
      </c>
      <c r="E591" s="154"/>
      <c r="F591" s="175"/>
    </row>
    <row r="592" spans="2:6" s="148" customFormat="1" ht="15" customHeight="1" outlineLevel="1" x14ac:dyDescent="0.2">
      <c r="B592" s="60" t="s">
        <v>4207</v>
      </c>
      <c r="C592" s="506" t="s">
        <v>601</v>
      </c>
      <c r="D592" s="151" t="s">
        <v>125</v>
      </c>
      <c r="E592" s="154"/>
      <c r="F592" s="175"/>
    </row>
    <row r="593" spans="2:6" s="148" customFormat="1" ht="15" customHeight="1" outlineLevel="1" x14ac:dyDescent="0.2">
      <c r="B593" s="60" t="s">
        <v>4208</v>
      </c>
      <c r="C593" s="506" t="s">
        <v>602</v>
      </c>
      <c r="D593" s="151" t="s">
        <v>125</v>
      </c>
      <c r="E593" s="154"/>
      <c r="F593" s="175"/>
    </row>
    <row r="594" spans="2:6" s="148" customFormat="1" ht="15" customHeight="1" outlineLevel="1" x14ac:dyDescent="0.2">
      <c r="B594" s="60" t="s">
        <v>4209</v>
      </c>
      <c r="C594" s="506" t="s">
        <v>603</v>
      </c>
      <c r="D594" s="151" t="s">
        <v>125</v>
      </c>
      <c r="E594" s="154"/>
      <c r="F594" s="175"/>
    </row>
    <row r="595" spans="2:6" s="148" customFormat="1" ht="15" customHeight="1" outlineLevel="1" x14ac:dyDescent="0.2">
      <c r="B595" s="60" t="s">
        <v>4210</v>
      </c>
      <c r="C595" s="506" t="s">
        <v>604</v>
      </c>
      <c r="D595" s="151" t="s">
        <v>125</v>
      </c>
      <c r="E595" s="154"/>
      <c r="F595" s="175"/>
    </row>
    <row r="596" spans="2:6" s="148" customFormat="1" ht="15" customHeight="1" outlineLevel="1" x14ac:dyDescent="0.2">
      <c r="B596" s="60" t="s">
        <v>4211</v>
      </c>
      <c r="C596" s="506" t="s">
        <v>605</v>
      </c>
      <c r="D596" s="151" t="s">
        <v>125</v>
      </c>
      <c r="E596" s="154"/>
      <c r="F596" s="175"/>
    </row>
    <row r="597" spans="2:6" s="148" customFormat="1" ht="15" customHeight="1" outlineLevel="1" x14ac:dyDescent="0.2">
      <c r="B597" s="60" t="s">
        <v>4212</v>
      </c>
      <c r="C597" s="506" t="s">
        <v>606</v>
      </c>
      <c r="D597" s="151" t="s">
        <v>125</v>
      </c>
      <c r="E597" s="154"/>
      <c r="F597" s="175"/>
    </row>
    <row r="598" spans="2:6" s="148" customFormat="1" ht="15" customHeight="1" outlineLevel="1" x14ac:dyDescent="0.2">
      <c r="B598" s="60" t="s">
        <v>4213</v>
      </c>
      <c r="C598" s="506" t="s">
        <v>607</v>
      </c>
      <c r="D598" s="151" t="s">
        <v>125</v>
      </c>
      <c r="E598" s="154"/>
      <c r="F598" s="175"/>
    </row>
    <row r="599" spans="2:6" s="148" customFormat="1" ht="15" customHeight="1" outlineLevel="1" x14ac:dyDescent="0.2">
      <c r="B599" s="60" t="s">
        <v>4214</v>
      </c>
      <c r="C599" s="506" t="s">
        <v>608</v>
      </c>
      <c r="D599" s="151" t="s">
        <v>125</v>
      </c>
      <c r="E599" s="154"/>
      <c r="F599" s="175"/>
    </row>
    <row r="600" spans="2:6" s="148" customFormat="1" ht="15" customHeight="1" outlineLevel="1" x14ac:dyDescent="0.2">
      <c r="B600" s="60" t="s">
        <v>4215</v>
      </c>
      <c r="C600" s="506" t="s">
        <v>609</v>
      </c>
      <c r="D600" s="151" t="s">
        <v>125</v>
      </c>
      <c r="E600" s="154"/>
      <c r="F600" s="175"/>
    </row>
    <row r="601" spans="2:6" s="148" customFormat="1" ht="15" customHeight="1" outlineLevel="1" x14ac:dyDescent="0.2">
      <c r="B601" s="60" t="s">
        <v>4216</v>
      </c>
      <c r="C601" s="506" t="s">
        <v>610</v>
      </c>
      <c r="D601" s="151" t="s">
        <v>125</v>
      </c>
      <c r="E601" s="154"/>
      <c r="F601" s="175"/>
    </row>
    <row r="602" spans="2:6" s="148" customFormat="1" ht="15" customHeight="1" outlineLevel="1" x14ac:dyDescent="0.2">
      <c r="B602" s="60" t="s">
        <v>4217</v>
      </c>
      <c r="C602" s="506" t="s">
        <v>611</v>
      </c>
      <c r="D602" s="151" t="s">
        <v>125</v>
      </c>
      <c r="E602" s="154"/>
      <c r="F602" s="175"/>
    </row>
    <row r="603" spans="2:6" s="148" customFormat="1" ht="15" customHeight="1" outlineLevel="1" x14ac:dyDescent="0.2">
      <c r="B603" s="60" t="s">
        <v>4218</v>
      </c>
      <c r="C603" s="506" t="s">
        <v>612</v>
      </c>
      <c r="D603" s="151" t="s">
        <v>125</v>
      </c>
      <c r="E603" s="154"/>
      <c r="F603" s="175"/>
    </row>
    <row r="604" spans="2:6" s="148" customFormat="1" ht="15" customHeight="1" outlineLevel="1" x14ac:dyDescent="0.2">
      <c r="B604" s="60" t="s">
        <v>4219</v>
      </c>
      <c r="C604" s="506" t="s">
        <v>613</v>
      </c>
      <c r="D604" s="151" t="s">
        <v>125</v>
      </c>
      <c r="E604" s="154"/>
      <c r="F604" s="175"/>
    </row>
    <row r="605" spans="2:6" s="148" customFormat="1" ht="15" customHeight="1" outlineLevel="1" x14ac:dyDescent="0.2">
      <c r="B605" s="60" t="s">
        <v>4220</v>
      </c>
      <c r="C605" s="506" t="s">
        <v>614</v>
      </c>
      <c r="D605" s="151" t="s">
        <v>125</v>
      </c>
      <c r="E605" s="154"/>
      <c r="F605" s="175"/>
    </row>
    <row r="606" spans="2:6" s="148" customFormat="1" ht="15" customHeight="1" outlineLevel="1" x14ac:dyDescent="0.2">
      <c r="B606" s="60" t="s">
        <v>4221</v>
      </c>
      <c r="C606" s="506" t="s">
        <v>615</v>
      </c>
      <c r="D606" s="151" t="s">
        <v>125</v>
      </c>
      <c r="E606" s="154"/>
      <c r="F606" s="175"/>
    </row>
    <row r="607" spans="2:6" s="148" customFormat="1" ht="15" customHeight="1" outlineLevel="1" x14ac:dyDescent="0.2">
      <c r="B607" s="60" t="s">
        <v>4222</v>
      </c>
      <c r="C607" s="506" t="s">
        <v>616</v>
      </c>
      <c r="D607" s="151" t="s">
        <v>125</v>
      </c>
      <c r="E607" s="154"/>
      <c r="F607" s="175"/>
    </row>
    <row r="608" spans="2:6" s="79" customFormat="1" ht="15" customHeight="1" x14ac:dyDescent="0.2">
      <c r="B608" s="60" t="s">
        <v>4223</v>
      </c>
      <c r="C608" s="425">
        <v>3.2</v>
      </c>
      <c r="D608" s="131" t="s">
        <v>126</v>
      </c>
      <c r="E608" s="91">
        <f>SUM(E609:E628)</f>
        <v>0</v>
      </c>
      <c r="F608" s="92">
        <f>SUM(F609:F628)</f>
        <v>0</v>
      </c>
    </row>
    <row r="609" spans="2:6" s="148" customFormat="1" ht="15" customHeight="1" outlineLevel="1" x14ac:dyDescent="0.2">
      <c r="B609" s="60" t="s">
        <v>4224</v>
      </c>
      <c r="C609" s="506" t="s">
        <v>454</v>
      </c>
      <c r="D609" s="151" t="s">
        <v>127</v>
      </c>
      <c r="E609" s="154"/>
      <c r="F609" s="175"/>
    </row>
    <row r="610" spans="2:6" s="148" customFormat="1" ht="15" customHeight="1" outlineLevel="1" x14ac:dyDescent="0.2">
      <c r="B610" s="60" t="s">
        <v>4225</v>
      </c>
      <c r="C610" s="506" t="s">
        <v>455</v>
      </c>
      <c r="D610" s="151" t="s">
        <v>127</v>
      </c>
      <c r="E610" s="154"/>
      <c r="F610" s="175"/>
    </row>
    <row r="611" spans="2:6" s="148" customFormat="1" ht="15" customHeight="1" outlineLevel="1" x14ac:dyDescent="0.2">
      <c r="B611" s="60" t="s">
        <v>4226</v>
      </c>
      <c r="C611" s="506" t="s">
        <v>459</v>
      </c>
      <c r="D611" s="151" t="s">
        <v>127</v>
      </c>
      <c r="E611" s="154"/>
      <c r="F611" s="175"/>
    </row>
    <row r="612" spans="2:6" s="148" customFormat="1" ht="15" customHeight="1" outlineLevel="1" x14ac:dyDescent="0.2">
      <c r="B612" s="60" t="s">
        <v>4227</v>
      </c>
      <c r="C612" s="506" t="s">
        <v>617</v>
      </c>
      <c r="D612" s="151" t="s">
        <v>127</v>
      </c>
      <c r="E612" s="154"/>
      <c r="F612" s="175"/>
    </row>
    <row r="613" spans="2:6" s="148" customFormat="1" ht="15" customHeight="1" outlineLevel="1" x14ac:dyDescent="0.2">
      <c r="B613" s="60" t="s">
        <v>4228</v>
      </c>
      <c r="C613" s="506" t="s">
        <v>618</v>
      </c>
      <c r="D613" s="151" t="s">
        <v>127</v>
      </c>
      <c r="E613" s="154"/>
      <c r="F613" s="175"/>
    </row>
    <row r="614" spans="2:6" s="148" customFormat="1" ht="15" customHeight="1" outlineLevel="1" x14ac:dyDescent="0.2">
      <c r="B614" s="60" t="s">
        <v>4229</v>
      </c>
      <c r="C614" s="506" t="s">
        <v>619</v>
      </c>
      <c r="D614" s="151" t="s">
        <v>127</v>
      </c>
      <c r="E614" s="154"/>
      <c r="F614" s="175"/>
    </row>
    <row r="615" spans="2:6" s="148" customFormat="1" ht="15" customHeight="1" outlineLevel="1" x14ac:dyDescent="0.2">
      <c r="B615" s="60" t="s">
        <v>4230</v>
      </c>
      <c r="C615" s="506" t="s">
        <v>620</v>
      </c>
      <c r="D615" s="151" t="s">
        <v>127</v>
      </c>
      <c r="E615" s="154"/>
      <c r="F615" s="175"/>
    </row>
    <row r="616" spans="2:6" s="148" customFormat="1" ht="15" customHeight="1" outlineLevel="1" x14ac:dyDescent="0.2">
      <c r="B616" s="60" t="s">
        <v>4231</v>
      </c>
      <c r="C616" s="506" t="s">
        <v>621</v>
      </c>
      <c r="D616" s="151" t="s">
        <v>127</v>
      </c>
      <c r="E616" s="154"/>
      <c r="F616" s="175"/>
    </row>
    <row r="617" spans="2:6" s="148" customFormat="1" ht="15" customHeight="1" outlineLevel="1" x14ac:dyDescent="0.2">
      <c r="B617" s="60" t="s">
        <v>4232</v>
      </c>
      <c r="C617" s="506" t="s">
        <v>622</v>
      </c>
      <c r="D617" s="151" t="s">
        <v>127</v>
      </c>
      <c r="E617" s="154"/>
      <c r="F617" s="175"/>
    </row>
    <row r="618" spans="2:6" s="148" customFormat="1" ht="15" customHeight="1" outlineLevel="1" x14ac:dyDescent="0.2">
      <c r="B618" s="60" t="s">
        <v>4233</v>
      </c>
      <c r="C618" s="506" t="s">
        <v>623</v>
      </c>
      <c r="D618" s="151" t="s">
        <v>127</v>
      </c>
      <c r="E618" s="154"/>
      <c r="F618" s="175"/>
    </row>
    <row r="619" spans="2:6" s="148" customFormat="1" ht="15" customHeight="1" outlineLevel="1" x14ac:dyDescent="0.2">
      <c r="B619" s="60" t="s">
        <v>4234</v>
      </c>
      <c r="C619" s="506" t="s">
        <v>624</v>
      </c>
      <c r="D619" s="151" t="s">
        <v>127</v>
      </c>
      <c r="E619" s="154"/>
      <c r="F619" s="175"/>
    </row>
    <row r="620" spans="2:6" s="148" customFormat="1" ht="15" customHeight="1" outlineLevel="1" x14ac:dyDescent="0.2">
      <c r="B620" s="60" t="s">
        <v>4235</v>
      </c>
      <c r="C620" s="506" t="s">
        <v>625</v>
      </c>
      <c r="D620" s="151" t="s">
        <v>127</v>
      </c>
      <c r="E620" s="154"/>
      <c r="F620" s="175"/>
    </row>
    <row r="621" spans="2:6" s="148" customFormat="1" ht="15" customHeight="1" outlineLevel="1" x14ac:dyDescent="0.2">
      <c r="B621" s="60" t="s">
        <v>4236</v>
      </c>
      <c r="C621" s="506" t="s">
        <v>626</v>
      </c>
      <c r="D621" s="151" t="s">
        <v>127</v>
      </c>
      <c r="E621" s="154"/>
      <c r="F621" s="175"/>
    </row>
    <row r="622" spans="2:6" s="148" customFormat="1" ht="15" customHeight="1" outlineLevel="1" x14ac:dyDescent="0.2">
      <c r="B622" s="60" t="s">
        <v>4237</v>
      </c>
      <c r="C622" s="506" t="s">
        <v>627</v>
      </c>
      <c r="D622" s="151" t="s">
        <v>127</v>
      </c>
      <c r="E622" s="154"/>
      <c r="F622" s="175"/>
    </row>
    <row r="623" spans="2:6" s="148" customFormat="1" ht="15" customHeight="1" outlineLevel="1" x14ac:dyDescent="0.2">
      <c r="B623" s="60" t="s">
        <v>4238</v>
      </c>
      <c r="C623" s="506" t="s">
        <v>628</v>
      </c>
      <c r="D623" s="151" t="s">
        <v>127</v>
      </c>
      <c r="E623" s="154"/>
      <c r="F623" s="175"/>
    </row>
    <row r="624" spans="2:6" s="148" customFormat="1" ht="15" customHeight="1" outlineLevel="1" x14ac:dyDescent="0.2">
      <c r="B624" s="60" t="s">
        <v>4239</v>
      </c>
      <c r="C624" s="506" t="s">
        <v>629</v>
      </c>
      <c r="D624" s="151" t="s">
        <v>127</v>
      </c>
      <c r="E624" s="154"/>
      <c r="F624" s="175"/>
    </row>
    <row r="625" spans="2:6" s="148" customFormat="1" ht="15" customHeight="1" outlineLevel="1" x14ac:dyDescent="0.2">
      <c r="B625" s="60" t="s">
        <v>4240</v>
      </c>
      <c r="C625" s="506" t="s">
        <v>630</v>
      </c>
      <c r="D625" s="151" t="s">
        <v>127</v>
      </c>
      <c r="E625" s="154"/>
      <c r="F625" s="175"/>
    </row>
    <row r="626" spans="2:6" s="148" customFormat="1" ht="15" customHeight="1" outlineLevel="1" x14ac:dyDescent="0.2">
      <c r="B626" s="60" t="s">
        <v>4241</v>
      </c>
      <c r="C626" s="506" t="s">
        <v>631</v>
      </c>
      <c r="D626" s="151" t="s">
        <v>127</v>
      </c>
      <c r="E626" s="154"/>
      <c r="F626" s="175"/>
    </row>
    <row r="627" spans="2:6" s="148" customFormat="1" ht="15" customHeight="1" outlineLevel="1" x14ac:dyDescent="0.2">
      <c r="B627" s="60" t="s">
        <v>4242</v>
      </c>
      <c r="C627" s="506" t="s">
        <v>632</v>
      </c>
      <c r="D627" s="151" t="s">
        <v>127</v>
      </c>
      <c r="E627" s="154"/>
      <c r="F627" s="175"/>
    </row>
    <row r="628" spans="2:6" s="148" customFormat="1" ht="15" customHeight="1" outlineLevel="1" x14ac:dyDescent="0.2">
      <c r="B628" s="60" t="s">
        <v>4243</v>
      </c>
      <c r="C628" s="506" t="s">
        <v>633</v>
      </c>
      <c r="D628" s="151" t="s">
        <v>127</v>
      </c>
      <c r="E628" s="154"/>
      <c r="F628" s="175"/>
    </row>
    <row r="629" spans="2:6" s="79" customFormat="1" ht="15" customHeight="1" x14ac:dyDescent="0.2">
      <c r="B629" s="60" t="s">
        <v>4244</v>
      </c>
      <c r="C629" s="425">
        <v>3.3</v>
      </c>
      <c r="D629" s="131" t="s">
        <v>128</v>
      </c>
      <c r="E629" s="91">
        <f>SUM(E630:E649)</f>
        <v>0</v>
      </c>
      <c r="F629" s="92">
        <f>SUM(F630:F649)</f>
        <v>0</v>
      </c>
    </row>
    <row r="630" spans="2:6" s="148" customFormat="1" ht="15" customHeight="1" outlineLevel="1" x14ac:dyDescent="0.2">
      <c r="B630" s="60" t="s">
        <v>4245</v>
      </c>
      <c r="C630" s="506" t="s">
        <v>1644</v>
      </c>
      <c r="D630" s="151" t="s">
        <v>127</v>
      </c>
      <c r="E630" s="154"/>
      <c r="F630" s="175"/>
    </row>
    <row r="631" spans="2:6" s="148" customFormat="1" ht="15" customHeight="1" outlineLevel="1" x14ac:dyDescent="0.2">
      <c r="B631" s="60" t="s">
        <v>4246</v>
      </c>
      <c r="C631" s="506" t="s">
        <v>1645</v>
      </c>
      <c r="D631" s="151" t="s">
        <v>127</v>
      </c>
      <c r="E631" s="154"/>
      <c r="F631" s="175"/>
    </row>
    <row r="632" spans="2:6" s="148" customFormat="1" ht="15" customHeight="1" outlineLevel="1" x14ac:dyDescent="0.2">
      <c r="B632" s="60" t="s">
        <v>4247</v>
      </c>
      <c r="C632" s="506" t="s">
        <v>1646</v>
      </c>
      <c r="D632" s="151" t="s">
        <v>127</v>
      </c>
      <c r="E632" s="154"/>
      <c r="F632" s="175"/>
    </row>
    <row r="633" spans="2:6" s="148" customFormat="1" ht="15" customHeight="1" outlineLevel="1" x14ac:dyDescent="0.2">
      <c r="B633" s="60" t="s">
        <v>4248</v>
      </c>
      <c r="C633" s="506" t="s">
        <v>1647</v>
      </c>
      <c r="D633" s="151" t="s">
        <v>127</v>
      </c>
      <c r="E633" s="154"/>
      <c r="F633" s="175"/>
    </row>
    <row r="634" spans="2:6" s="148" customFormat="1" ht="15" customHeight="1" outlineLevel="1" x14ac:dyDescent="0.2">
      <c r="B634" s="60" t="s">
        <v>4249</v>
      </c>
      <c r="C634" s="506" t="s">
        <v>1648</v>
      </c>
      <c r="D634" s="151" t="s">
        <v>127</v>
      </c>
      <c r="E634" s="154"/>
      <c r="F634" s="175"/>
    </row>
    <row r="635" spans="2:6" s="148" customFormat="1" ht="15" customHeight="1" outlineLevel="1" x14ac:dyDescent="0.2">
      <c r="B635" s="60" t="s">
        <v>4250</v>
      </c>
      <c r="C635" s="506" t="s">
        <v>1649</v>
      </c>
      <c r="D635" s="151" t="s">
        <v>127</v>
      </c>
      <c r="E635" s="154"/>
      <c r="F635" s="175"/>
    </row>
    <row r="636" spans="2:6" s="148" customFormat="1" ht="15" customHeight="1" outlineLevel="1" x14ac:dyDescent="0.2">
      <c r="B636" s="60" t="s">
        <v>4251</v>
      </c>
      <c r="C636" s="506" t="s">
        <v>1650</v>
      </c>
      <c r="D636" s="151" t="s">
        <v>127</v>
      </c>
      <c r="E636" s="154"/>
      <c r="F636" s="175"/>
    </row>
    <row r="637" spans="2:6" s="148" customFormat="1" ht="15" customHeight="1" outlineLevel="1" x14ac:dyDescent="0.2">
      <c r="B637" s="60" t="s">
        <v>4252</v>
      </c>
      <c r="C637" s="506" t="s">
        <v>1651</v>
      </c>
      <c r="D637" s="151" t="s">
        <v>127</v>
      </c>
      <c r="E637" s="154"/>
      <c r="F637" s="175"/>
    </row>
    <row r="638" spans="2:6" s="148" customFormat="1" ht="15" customHeight="1" outlineLevel="1" x14ac:dyDescent="0.2">
      <c r="B638" s="60" t="s">
        <v>4253</v>
      </c>
      <c r="C638" s="506" t="s">
        <v>1652</v>
      </c>
      <c r="D638" s="151" t="s">
        <v>127</v>
      </c>
      <c r="E638" s="154"/>
      <c r="F638" s="175"/>
    </row>
    <row r="639" spans="2:6" s="148" customFormat="1" ht="15" customHeight="1" outlineLevel="1" x14ac:dyDescent="0.2">
      <c r="B639" s="60" t="s">
        <v>4254</v>
      </c>
      <c r="C639" s="506" t="s">
        <v>1653</v>
      </c>
      <c r="D639" s="151" t="s">
        <v>127</v>
      </c>
      <c r="E639" s="154"/>
      <c r="F639" s="175"/>
    </row>
    <row r="640" spans="2:6" s="148" customFormat="1" ht="15" customHeight="1" outlineLevel="1" x14ac:dyDescent="0.2">
      <c r="B640" s="60" t="s">
        <v>4255</v>
      </c>
      <c r="C640" s="506" t="s">
        <v>1654</v>
      </c>
      <c r="D640" s="151" t="s">
        <v>127</v>
      </c>
      <c r="E640" s="154"/>
      <c r="F640" s="175"/>
    </row>
    <row r="641" spans="2:7" s="148" customFormat="1" ht="15" customHeight="1" outlineLevel="1" x14ac:dyDescent="0.2">
      <c r="B641" s="60" t="s">
        <v>4256</v>
      </c>
      <c r="C641" s="506" t="s">
        <v>1655</v>
      </c>
      <c r="D641" s="151" t="s">
        <v>127</v>
      </c>
      <c r="E641" s="154"/>
      <c r="F641" s="175"/>
    </row>
    <row r="642" spans="2:7" s="148" customFormat="1" ht="15" customHeight="1" outlineLevel="1" x14ac:dyDescent="0.2">
      <c r="B642" s="60" t="s">
        <v>4257</v>
      </c>
      <c r="C642" s="506" t="s">
        <v>1656</v>
      </c>
      <c r="D642" s="151" t="s">
        <v>127</v>
      </c>
      <c r="E642" s="154"/>
      <c r="F642" s="175"/>
    </row>
    <row r="643" spans="2:7" s="148" customFormat="1" ht="15" customHeight="1" outlineLevel="1" x14ac:dyDescent="0.2">
      <c r="B643" s="60" t="s">
        <v>4258</v>
      </c>
      <c r="C643" s="506" t="s">
        <v>1657</v>
      </c>
      <c r="D643" s="151" t="s">
        <v>127</v>
      </c>
      <c r="E643" s="154"/>
      <c r="F643" s="175"/>
    </row>
    <row r="644" spans="2:7" s="148" customFormat="1" ht="15" customHeight="1" outlineLevel="1" x14ac:dyDescent="0.2">
      <c r="B644" s="60" t="s">
        <v>4259</v>
      </c>
      <c r="C644" s="506" t="s">
        <v>1658</v>
      </c>
      <c r="D644" s="151" t="s">
        <v>127</v>
      </c>
      <c r="E644" s="154"/>
      <c r="F644" s="175"/>
    </row>
    <row r="645" spans="2:7" s="148" customFormat="1" ht="15" customHeight="1" outlineLevel="1" x14ac:dyDescent="0.2">
      <c r="B645" s="60" t="s">
        <v>4260</v>
      </c>
      <c r="C645" s="506" t="s">
        <v>1659</v>
      </c>
      <c r="D645" s="151" t="s">
        <v>127</v>
      </c>
      <c r="E645" s="154"/>
      <c r="F645" s="175"/>
    </row>
    <row r="646" spans="2:7" s="148" customFormat="1" ht="15" customHeight="1" outlineLevel="1" x14ac:dyDescent="0.2">
      <c r="B646" s="60" t="s">
        <v>4261</v>
      </c>
      <c r="C646" s="506" t="s">
        <v>1660</v>
      </c>
      <c r="D646" s="151" t="s">
        <v>127</v>
      </c>
      <c r="E646" s="154"/>
      <c r="F646" s="175"/>
    </row>
    <row r="647" spans="2:7" s="148" customFormat="1" ht="15" customHeight="1" outlineLevel="1" x14ac:dyDescent="0.2">
      <c r="B647" s="60" t="s">
        <v>4262</v>
      </c>
      <c r="C647" s="506" t="s">
        <v>1661</v>
      </c>
      <c r="D647" s="151" t="s">
        <v>127</v>
      </c>
      <c r="E647" s="154"/>
      <c r="F647" s="175"/>
    </row>
    <row r="648" spans="2:7" s="148" customFormat="1" ht="15" customHeight="1" outlineLevel="1" x14ac:dyDescent="0.2">
      <c r="B648" s="60" t="s">
        <v>4263</v>
      </c>
      <c r="C648" s="506" t="s">
        <v>1662</v>
      </c>
      <c r="D648" s="151" t="s">
        <v>127</v>
      </c>
      <c r="E648" s="154"/>
      <c r="F648" s="175"/>
    </row>
    <row r="649" spans="2:7" s="148" customFormat="1" ht="15" customHeight="1" outlineLevel="1" x14ac:dyDescent="0.2">
      <c r="B649" s="60" t="s">
        <v>4264</v>
      </c>
      <c r="C649" s="506" t="s">
        <v>1663</v>
      </c>
      <c r="D649" s="151" t="s">
        <v>127</v>
      </c>
      <c r="E649" s="154"/>
      <c r="F649" s="175"/>
    </row>
    <row r="650" spans="2:7" s="145" customFormat="1" ht="15" customHeight="1" thickBot="1" x14ac:dyDescent="0.25">
      <c r="B650" s="491" t="s">
        <v>4265</v>
      </c>
      <c r="C650" s="836" t="s">
        <v>3385</v>
      </c>
      <c r="D650" s="872"/>
      <c r="E650" s="241">
        <f>E332+E459+E586</f>
        <v>0</v>
      </c>
      <c r="F650" s="242">
        <f>F332+F459+F586</f>
        <v>0</v>
      </c>
      <c r="G650" s="132"/>
    </row>
    <row r="653" spans="2:7" x14ac:dyDescent="0.3">
      <c r="C653" s="782"/>
      <c r="D653" s="782"/>
      <c r="E653" s="782"/>
      <c r="F653" s="782"/>
    </row>
    <row r="654" spans="2:7" x14ac:dyDescent="0.2">
      <c r="C654" s="785"/>
      <c r="D654" s="785"/>
      <c r="E654" s="785"/>
      <c r="F654" s="785"/>
    </row>
    <row r="655" spans="2:7" x14ac:dyDescent="0.3">
      <c r="C655" s="782"/>
      <c r="D655" s="782"/>
      <c r="E655" s="782"/>
      <c r="F655" s="782"/>
    </row>
    <row r="656" spans="2:7" x14ac:dyDescent="0.2">
      <c r="C656" s="785"/>
      <c r="D656" s="785"/>
      <c r="E656" s="785"/>
      <c r="F656" s="785"/>
    </row>
    <row r="657" spans="3:6" x14ac:dyDescent="0.3">
      <c r="C657" s="782"/>
      <c r="D657" s="782"/>
      <c r="E657" s="782"/>
      <c r="F657" s="782"/>
    </row>
    <row r="658" spans="3:6" x14ac:dyDescent="0.2">
      <c r="C658" s="785"/>
      <c r="D658" s="785"/>
      <c r="E658" s="785"/>
      <c r="F658" s="785"/>
    </row>
  </sheetData>
  <customSheetViews>
    <customSheetView guid="{F18E25A1-ACAC-4BA2-9084-15C64EADD71F}" fitToPage="1" topLeftCell="A19">
      <selection activeCell="B48" sqref="B48"/>
      <pageMargins left="0.33" right="0.39" top="1" bottom="1" header="0.5" footer="0.5"/>
      <pageSetup paperSize="9" scale="70" fitToHeight="2" orientation="portrait" horizontalDpi="300" verticalDpi="300" r:id="rId1"/>
      <headerFooter alignWithMargins="0"/>
    </customSheetView>
    <customSheetView guid="{42441662-3193-455A-AAAC-E0697E2ED236}" showPageBreaks="1" fitToPage="1">
      <selection activeCell="C32" sqref="C32"/>
      <pageMargins left="0.33" right="0.39" top="1" bottom="1" header="0.5" footer="0.5"/>
      <pageSetup paperSize="9" scale="70" fitToHeight="2" orientation="portrait" horizontalDpi="300" verticalDpi="300" r:id="rId2"/>
      <headerFooter alignWithMargins="0"/>
    </customSheetView>
    <customSheetView guid="{AB1DC9E9-A3E4-4BE0-8A49-B02D340E9D12}" fitToPage="1" topLeftCell="A13">
      <selection activeCell="B5" sqref="B5"/>
      <pageMargins left="0.33" right="0.39" top="1" bottom="1" header="0.5" footer="0.5"/>
      <pageSetup paperSize="9" scale="91" fitToHeight="2" orientation="portrait" horizontalDpi="300" verticalDpi="300" r:id="rId3"/>
      <headerFooter alignWithMargins="0"/>
    </customSheetView>
    <customSheetView guid="{BC7A4191-54CC-4009-AB21-42ED557A5091}" showPageBreaks="1" fitToPage="1" showRuler="0">
      <selection activeCell="B22" sqref="B22"/>
      <pageMargins left="0.33" right="0.39" top="1" bottom="1" header="0.5" footer="0.5"/>
      <pageSetup paperSize="9" scale="91" fitToHeight="2" orientation="portrait" horizontalDpi="300" verticalDpi="300" r:id="rId4"/>
      <headerFooter alignWithMargins="0"/>
    </customSheetView>
  </customSheetViews>
  <mergeCells count="15">
    <mergeCell ref="C658:F658"/>
    <mergeCell ref="D4:F4"/>
    <mergeCell ref="C8:F8"/>
    <mergeCell ref="B1:C1"/>
    <mergeCell ref="E1:F1"/>
    <mergeCell ref="E5:F5"/>
    <mergeCell ref="B2:F2"/>
    <mergeCell ref="C328:D328"/>
    <mergeCell ref="C330:F330"/>
    <mergeCell ref="C650:D650"/>
    <mergeCell ref="C653:F653"/>
    <mergeCell ref="C654:F654"/>
    <mergeCell ref="C655:F655"/>
    <mergeCell ref="C656:F656"/>
    <mergeCell ref="C657:F657"/>
  </mergeCells>
  <phoneticPr fontId="3" type="noConversion"/>
  <pageMargins left="0.17" right="0.16" top="0.26" bottom="0.2" header="0.17" footer="0.17"/>
  <pageSetup paperSize="9" scale="90" fitToHeight="2" orientation="portrait" horizontalDpi="300" verticalDpi="300" r:id="rId5"/>
  <headerFooter alignWithMargins="0"/>
  <ignoredErrors>
    <ignoredError sqref="B10:B650"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theme="1" tint="4.9989318521683403E-2"/>
  </sheetPr>
  <dimension ref="B1:I81"/>
  <sheetViews>
    <sheetView showGridLines="0" zoomScale="90" zoomScaleNormal="90" workbookViewId="0">
      <pane ySplit="6" topLeftCell="A7" activePane="bottomLeft" state="frozen"/>
      <selection activeCell="C120" sqref="C120"/>
      <selection pane="bottomLeft" activeCell="L23" sqref="L23"/>
    </sheetView>
  </sheetViews>
  <sheetFormatPr defaultColWidth="9.140625" defaultRowHeight="15" x14ac:dyDescent="0.2"/>
  <cols>
    <col min="1" max="1" width="2" style="138" customWidth="1"/>
    <col min="2" max="2" width="11" style="138" customWidth="1"/>
    <col min="3" max="3" width="5.85546875" style="138" customWidth="1"/>
    <col min="4" max="4" width="81.7109375" style="138" customWidth="1"/>
    <col min="5" max="6" width="15.7109375" style="138" customWidth="1"/>
    <col min="7" max="16384" width="9.140625" style="138"/>
  </cols>
  <sheetData>
    <row r="1" spans="2:6" ht="15" customHeight="1" x14ac:dyDescent="0.2">
      <c r="B1" s="874" t="s">
        <v>315</v>
      </c>
      <c r="C1" s="874"/>
      <c r="D1" s="261"/>
      <c r="E1" s="832" t="s">
        <v>1233</v>
      </c>
      <c r="F1" s="832"/>
    </row>
    <row r="2" spans="2:6" ht="15" customHeight="1" x14ac:dyDescent="0.2">
      <c r="B2" s="874" t="s">
        <v>4688</v>
      </c>
      <c r="C2" s="874"/>
      <c r="D2" s="874"/>
      <c r="E2" s="874"/>
      <c r="F2" s="874"/>
    </row>
    <row r="3" spans="2:6" ht="15" customHeight="1" x14ac:dyDescent="0.2"/>
    <row r="4" spans="2:6" s="224" customFormat="1" ht="12.75" customHeight="1" x14ac:dyDescent="0.2">
      <c r="D4" s="876" t="s">
        <v>3409</v>
      </c>
      <c r="E4" s="876"/>
      <c r="F4" s="876"/>
    </row>
    <row r="5" spans="2:6" ht="15" customHeight="1" thickBot="1" x14ac:dyDescent="0.25">
      <c r="E5" s="875" t="s">
        <v>323</v>
      </c>
      <c r="F5" s="875"/>
    </row>
    <row r="6" spans="2:6" s="80" customFormat="1" ht="45" customHeight="1" thickBot="1" x14ac:dyDescent="0.25">
      <c r="B6" s="400" t="s">
        <v>4627</v>
      </c>
      <c r="C6" s="555" t="s">
        <v>1211</v>
      </c>
      <c r="D6" s="532"/>
      <c r="E6" s="403" t="s">
        <v>322</v>
      </c>
      <c r="F6" s="404" t="s">
        <v>333</v>
      </c>
    </row>
    <row r="7" spans="2:6" s="30" customFormat="1" ht="9" customHeight="1" x14ac:dyDescent="0.2">
      <c r="C7" s="132"/>
      <c r="D7" s="132"/>
      <c r="E7" s="262"/>
      <c r="F7" s="262"/>
    </row>
    <row r="8" spans="2:6" s="30" customFormat="1" ht="15" customHeight="1" thickBot="1" x14ac:dyDescent="0.25">
      <c r="C8" s="873" t="s">
        <v>3362</v>
      </c>
      <c r="D8" s="873"/>
      <c r="E8" s="873"/>
      <c r="F8" s="873"/>
    </row>
    <row r="9" spans="2:6" ht="15" customHeight="1" x14ac:dyDescent="0.2">
      <c r="B9" s="418" t="s">
        <v>3628</v>
      </c>
      <c r="C9" s="542">
        <v>1</v>
      </c>
      <c r="D9" s="550" t="s">
        <v>38</v>
      </c>
      <c r="E9" s="551">
        <f>'P&amp;C(NL)'!L45+'P&amp;C(NL)'!I232</f>
        <v>0</v>
      </c>
      <c r="F9" s="552">
        <f>'P&amp;C(NL)'!T45+'P&amp;C(NL)'!Q232</f>
        <v>0</v>
      </c>
    </row>
    <row r="10" spans="2:6" ht="15" customHeight="1" x14ac:dyDescent="0.2">
      <c r="B10" s="60" t="s">
        <v>3629</v>
      </c>
      <c r="C10" s="499">
        <v>2</v>
      </c>
      <c r="D10" s="264" t="s">
        <v>40</v>
      </c>
      <c r="E10" s="259">
        <f>'P&amp;C(NL)'!I91+'P&amp;C(NL)'!I279</f>
        <v>0</v>
      </c>
      <c r="F10" s="260">
        <f>'P&amp;C(NL)'!Q91+'P&amp;C(NL)'!Q279</f>
        <v>0</v>
      </c>
    </row>
    <row r="11" spans="2:6" ht="15" customHeight="1" x14ac:dyDescent="0.2">
      <c r="B11" s="60" t="s">
        <v>3630</v>
      </c>
      <c r="C11" s="499">
        <v>3</v>
      </c>
      <c r="D11" s="263" t="s">
        <v>9</v>
      </c>
      <c r="E11" s="259"/>
      <c r="F11" s="260"/>
    </row>
    <row r="12" spans="2:6" ht="15" customHeight="1" x14ac:dyDescent="0.2">
      <c r="B12" s="60" t="s">
        <v>3631</v>
      </c>
      <c r="C12" s="499">
        <v>4</v>
      </c>
      <c r="D12" s="265" t="s">
        <v>11</v>
      </c>
      <c r="E12" s="259"/>
      <c r="F12" s="260"/>
    </row>
    <row r="13" spans="2:6" s="143" customFormat="1" ht="15" customHeight="1" x14ac:dyDescent="0.2">
      <c r="B13" s="60" t="s">
        <v>3632</v>
      </c>
      <c r="C13" s="397">
        <v>5</v>
      </c>
      <c r="D13" s="235" t="s">
        <v>2833</v>
      </c>
      <c r="E13" s="239">
        <f>E9-E10-E11+E12</f>
        <v>0</v>
      </c>
      <c r="F13" s="240">
        <f>F9-F10-F11+F12</f>
        <v>0</v>
      </c>
    </row>
    <row r="14" spans="2:6" ht="15" customHeight="1" x14ac:dyDescent="0.2">
      <c r="B14" s="60" t="s">
        <v>3633</v>
      </c>
      <c r="C14" s="499">
        <v>6</v>
      </c>
      <c r="D14" s="264" t="s">
        <v>1206</v>
      </c>
      <c r="E14" s="259">
        <f>'P&amp;C(NL)'!L139+'P&amp;C(NL)'!I326</f>
        <v>0</v>
      </c>
      <c r="F14" s="260">
        <f>'P&amp;C(NL)'!T139+'P&amp;C(NL)'!Q326</f>
        <v>0</v>
      </c>
    </row>
    <row r="15" spans="2:6" ht="15" customHeight="1" x14ac:dyDescent="0.2">
      <c r="B15" s="60" t="s">
        <v>3634</v>
      </c>
      <c r="C15" s="499">
        <v>7</v>
      </c>
      <c r="D15" s="264" t="s">
        <v>1207</v>
      </c>
      <c r="E15" s="259">
        <f>'P&amp;C(NL)'!K186+'P&amp;C(NL)'!I373</f>
        <v>0</v>
      </c>
      <c r="F15" s="260">
        <f>'P&amp;C(NL)'!S186+'P&amp;C(NL)'!Q373</f>
        <v>0</v>
      </c>
    </row>
    <row r="16" spans="2:6" ht="15" customHeight="1" x14ac:dyDescent="0.2">
      <c r="B16" s="60" t="s">
        <v>3635</v>
      </c>
      <c r="C16" s="499">
        <v>8</v>
      </c>
      <c r="D16" s="263" t="s">
        <v>10</v>
      </c>
      <c r="E16" s="259"/>
      <c r="F16" s="260"/>
    </row>
    <row r="17" spans="2:9" ht="15" customHeight="1" x14ac:dyDescent="0.2">
      <c r="B17" s="60" t="s">
        <v>3636</v>
      </c>
      <c r="C17" s="499">
        <v>9</v>
      </c>
      <c r="D17" s="263" t="s">
        <v>12</v>
      </c>
      <c r="E17" s="259"/>
      <c r="F17" s="260"/>
    </row>
    <row r="18" spans="2:9" ht="15" customHeight="1" x14ac:dyDescent="0.2">
      <c r="B18" s="60" t="s">
        <v>3637</v>
      </c>
      <c r="C18" s="499">
        <v>10</v>
      </c>
      <c r="D18" s="263" t="s">
        <v>8</v>
      </c>
      <c r="E18" s="259"/>
      <c r="F18" s="260"/>
      <c r="H18" s="30"/>
      <c r="I18" s="30"/>
    </row>
    <row r="19" spans="2:9" s="143" customFormat="1" ht="15" customHeight="1" x14ac:dyDescent="0.2">
      <c r="B19" s="60" t="s">
        <v>3638</v>
      </c>
      <c r="C19" s="397">
        <v>11</v>
      </c>
      <c r="D19" s="235" t="s">
        <v>2836</v>
      </c>
      <c r="E19" s="239">
        <f>E14-E15+E16-E17-E18</f>
        <v>0</v>
      </c>
      <c r="F19" s="240">
        <f>F14-F15+F16-F17-F18</f>
        <v>0</v>
      </c>
      <c r="H19" s="132"/>
      <c r="I19" s="132"/>
    </row>
    <row r="20" spans="2:9" s="143" customFormat="1" ht="15" customHeight="1" x14ac:dyDescent="0.2">
      <c r="B20" s="60" t="s">
        <v>3639</v>
      </c>
      <c r="C20" s="397">
        <v>12</v>
      </c>
      <c r="D20" s="235" t="s">
        <v>1191</v>
      </c>
      <c r="E20" s="239"/>
      <c r="F20" s="240"/>
      <c r="H20" s="132"/>
    </row>
    <row r="21" spans="2:9" s="143" customFormat="1" ht="15" customHeight="1" x14ac:dyDescent="0.2">
      <c r="B21" s="60" t="s">
        <v>3640</v>
      </c>
      <c r="C21" s="397">
        <v>13</v>
      </c>
      <c r="D21" s="235" t="s">
        <v>2834</v>
      </c>
      <c r="E21" s="239">
        <f>'IS-COM'!E26</f>
        <v>0</v>
      </c>
      <c r="F21" s="240">
        <f>'IS-COM'!F26</f>
        <v>0</v>
      </c>
      <c r="H21" s="132"/>
    </row>
    <row r="22" spans="2:9" s="143" customFormat="1" ht="15" customHeight="1" thickBot="1" x14ac:dyDescent="0.25">
      <c r="B22" s="491" t="s">
        <v>3641</v>
      </c>
      <c r="C22" s="556">
        <v>14</v>
      </c>
      <c r="D22" s="270" t="s">
        <v>3155</v>
      </c>
      <c r="E22" s="241">
        <f>E13-E19-E20+E21</f>
        <v>0</v>
      </c>
      <c r="F22" s="242">
        <f>F13-F19-F20+F21</f>
        <v>0</v>
      </c>
    </row>
    <row r="23" spans="2:9" ht="9" customHeight="1" x14ac:dyDescent="0.2">
      <c r="C23" s="238"/>
      <c r="D23" s="266"/>
      <c r="E23" s="136"/>
      <c r="F23" s="136"/>
    </row>
    <row r="24" spans="2:9" ht="15" customHeight="1" thickBot="1" x14ac:dyDescent="0.25">
      <c r="C24" s="873" t="s">
        <v>3363</v>
      </c>
      <c r="D24" s="873"/>
      <c r="E24" s="873"/>
      <c r="F24" s="873"/>
    </row>
    <row r="25" spans="2:9" ht="15" customHeight="1" x14ac:dyDescent="0.2">
      <c r="B25" s="418" t="s">
        <v>3642</v>
      </c>
      <c r="C25" s="542">
        <v>15</v>
      </c>
      <c r="D25" s="550" t="s">
        <v>38</v>
      </c>
      <c r="E25" s="551">
        <f>'P&amp;C(L)'!L15+'P&amp;C(L)'!I69</f>
        <v>0</v>
      </c>
      <c r="F25" s="552">
        <f>'P&amp;C(L)'!T15+'P&amp;C(L)'!Q69</f>
        <v>0</v>
      </c>
    </row>
    <row r="26" spans="2:9" ht="15" customHeight="1" x14ac:dyDescent="0.2">
      <c r="B26" s="60" t="s">
        <v>3643</v>
      </c>
      <c r="C26" s="499">
        <v>16</v>
      </c>
      <c r="D26" s="264" t="s">
        <v>40</v>
      </c>
      <c r="E26" s="259">
        <f>'P&amp;C(L)'!I26+'P&amp;C(L)'!I80</f>
        <v>0</v>
      </c>
      <c r="F26" s="260">
        <f>'P&amp;C(L)'!Q26+'P&amp;C(L)'!Q80</f>
        <v>0</v>
      </c>
      <c r="H26" s="267"/>
    </row>
    <row r="27" spans="2:9" ht="15" customHeight="1" x14ac:dyDescent="0.2">
      <c r="B27" s="60" t="s">
        <v>3644</v>
      </c>
      <c r="C27" s="499">
        <v>17</v>
      </c>
      <c r="D27" s="263" t="s">
        <v>9</v>
      </c>
      <c r="E27" s="259"/>
      <c r="F27" s="260"/>
      <c r="H27" s="267"/>
    </row>
    <row r="28" spans="2:9" ht="15" customHeight="1" x14ac:dyDescent="0.2">
      <c r="B28" s="60" t="s">
        <v>3645</v>
      </c>
      <c r="C28" s="499">
        <v>18</v>
      </c>
      <c r="D28" s="263" t="s">
        <v>11</v>
      </c>
      <c r="E28" s="259"/>
      <c r="F28" s="260"/>
    </row>
    <row r="29" spans="2:9" s="143" customFormat="1" ht="15" customHeight="1" x14ac:dyDescent="0.2">
      <c r="B29" s="60" t="s">
        <v>3646</v>
      </c>
      <c r="C29" s="397">
        <v>19</v>
      </c>
      <c r="D29" s="235" t="s">
        <v>3349</v>
      </c>
      <c r="E29" s="239">
        <f>E25-E26-E27+E28</f>
        <v>0</v>
      </c>
      <c r="F29" s="240">
        <f>F25-F26-F27+F28</f>
        <v>0</v>
      </c>
    </row>
    <row r="30" spans="2:9" ht="15" customHeight="1" x14ac:dyDescent="0.2">
      <c r="B30" s="60" t="s">
        <v>3647</v>
      </c>
      <c r="C30" s="499">
        <v>20</v>
      </c>
      <c r="D30" s="264" t="s">
        <v>1206</v>
      </c>
      <c r="E30" s="259">
        <f>'P&amp;C(L)'!L38+'P&amp;C(L)'!I91</f>
        <v>0</v>
      </c>
      <c r="F30" s="260">
        <f>'P&amp;C(L)'!T38+'P&amp;C(L)'!Q91</f>
        <v>0</v>
      </c>
      <c r="H30" s="267"/>
    </row>
    <row r="31" spans="2:9" ht="15" customHeight="1" x14ac:dyDescent="0.2">
      <c r="B31" s="60" t="s">
        <v>3648</v>
      </c>
      <c r="C31" s="499">
        <v>21</v>
      </c>
      <c r="D31" s="264" t="s">
        <v>1208</v>
      </c>
      <c r="E31" s="259">
        <f>'P&amp;C(L)'!K50+'P&amp;C(L)'!E102</f>
        <v>0</v>
      </c>
      <c r="F31" s="260">
        <f>'P&amp;C(L)'!S50+'P&amp;C(L)'!M102</f>
        <v>0</v>
      </c>
    </row>
    <row r="32" spans="2:9" ht="15" customHeight="1" x14ac:dyDescent="0.2">
      <c r="B32" s="60" t="s">
        <v>3649</v>
      </c>
      <c r="C32" s="499">
        <v>22</v>
      </c>
      <c r="D32" s="263" t="s">
        <v>10</v>
      </c>
      <c r="E32" s="259"/>
      <c r="F32" s="260"/>
    </row>
    <row r="33" spans="2:6" ht="15" customHeight="1" x14ac:dyDescent="0.2">
      <c r="B33" s="60" t="s">
        <v>3650</v>
      </c>
      <c r="C33" s="499">
        <v>23</v>
      </c>
      <c r="D33" s="263" t="s">
        <v>12</v>
      </c>
      <c r="E33" s="259"/>
      <c r="F33" s="260"/>
    </row>
    <row r="34" spans="2:6" ht="15" customHeight="1" x14ac:dyDescent="0.2">
      <c r="B34" s="60" t="s">
        <v>3651</v>
      </c>
      <c r="C34" s="499">
        <v>24</v>
      </c>
      <c r="D34" s="263" t="s">
        <v>14</v>
      </c>
      <c r="E34" s="259"/>
      <c r="F34" s="260"/>
    </row>
    <row r="35" spans="2:6" s="143" customFormat="1" ht="15" customHeight="1" x14ac:dyDescent="0.2">
      <c r="B35" s="60" t="s">
        <v>3652</v>
      </c>
      <c r="C35" s="397">
        <v>25</v>
      </c>
      <c r="D35" s="235" t="s">
        <v>4689</v>
      </c>
      <c r="E35" s="239">
        <f>E30-E31+E32-E33-E34</f>
        <v>0</v>
      </c>
      <c r="F35" s="240">
        <f>F30-F31+F32-F33-F34</f>
        <v>0</v>
      </c>
    </row>
    <row r="36" spans="2:6" ht="15" customHeight="1" x14ac:dyDescent="0.2">
      <c r="B36" s="60" t="s">
        <v>3653</v>
      </c>
      <c r="C36" s="499">
        <v>26</v>
      </c>
      <c r="D36" s="264" t="s">
        <v>15</v>
      </c>
      <c r="E36" s="259"/>
      <c r="F36" s="260"/>
    </row>
    <row r="37" spans="2:6" ht="15" customHeight="1" x14ac:dyDescent="0.2">
      <c r="B37" s="60" t="s">
        <v>3654</v>
      </c>
      <c r="C37" s="499">
        <v>27</v>
      </c>
      <c r="D37" s="263" t="s">
        <v>16</v>
      </c>
      <c r="E37" s="259"/>
      <c r="F37" s="260"/>
    </row>
    <row r="38" spans="2:6" s="143" customFormat="1" ht="15" customHeight="1" x14ac:dyDescent="0.2">
      <c r="B38" s="60" t="s">
        <v>3655</v>
      </c>
      <c r="C38" s="397">
        <v>28</v>
      </c>
      <c r="D38" s="235" t="s">
        <v>3350</v>
      </c>
      <c r="E38" s="239">
        <f>E36-E37</f>
        <v>0</v>
      </c>
      <c r="F38" s="240">
        <f>F36-F37</f>
        <v>0</v>
      </c>
    </row>
    <row r="39" spans="2:6" s="143" customFormat="1" ht="15" customHeight="1" x14ac:dyDescent="0.2">
      <c r="B39" s="60" t="s">
        <v>3656</v>
      </c>
      <c r="C39" s="397">
        <v>29</v>
      </c>
      <c r="D39" s="235" t="s">
        <v>1190</v>
      </c>
      <c r="E39" s="239"/>
      <c r="F39" s="240"/>
    </row>
    <row r="40" spans="2:6" s="143" customFormat="1" ht="15" customHeight="1" x14ac:dyDescent="0.2">
      <c r="B40" s="60" t="s">
        <v>3657</v>
      </c>
      <c r="C40" s="397">
        <v>30</v>
      </c>
      <c r="D40" s="235" t="s">
        <v>2834</v>
      </c>
      <c r="E40" s="239">
        <f>'IS-COM'!E46</f>
        <v>0</v>
      </c>
      <c r="F40" s="240">
        <f>'IS-COM'!F46</f>
        <v>0</v>
      </c>
    </row>
    <row r="41" spans="2:6" s="143" customFormat="1" ht="15" customHeight="1" thickBot="1" x14ac:dyDescent="0.25">
      <c r="B41" s="491" t="s">
        <v>3658</v>
      </c>
      <c r="C41" s="556">
        <v>31</v>
      </c>
      <c r="D41" s="270" t="s">
        <v>3351</v>
      </c>
      <c r="E41" s="241">
        <f>E29-E35+E38-E39+E40</f>
        <v>0</v>
      </c>
      <c r="F41" s="242">
        <f>F29-F35+F38-F39+F40</f>
        <v>0</v>
      </c>
    </row>
    <row r="42" spans="2:6" s="132" customFormat="1" ht="9" customHeight="1" thickBot="1" x14ac:dyDescent="0.25">
      <c r="C42" s="238"/>
      <c r="D42" s="204"/>
      <c r="E42" s="203"/>
      <c r="F42" s="203"/>
    </row>
    <row r="43" spans="2:6" s="143" customFormat="1" ht="15" customHeight="1" thickBot="1" x14ac:dyDescent="0.25">
      <c r="B43" s="558" t="s">
        <v>3659</v>
      </c>
      <c r="C43" s="557">
        <v>32</v>
      </c>
      <c r="D43" s="362" t="s">
        <v>3386</v>
      </c>
      <c r="E43" s="271">
        <f>E22+E41</f>
        <v>0</v>
      </c>
      <c r="F43" s="272">
        <f>F22+F41</f>
        <v>0</v>
      </c>
    </row>
    <row r="44" spans="2:6" ht="9" customHeight="1" x14ac:dyDescent="0.2">
      <c r="C44" s="238"/>
      <c r="D44" s="204"/>
      <c r="E44" s="136"/>
      <c r="F44" s="136"/>
    </row>
    <row r="45" spans="2:6" ht="15" customHeight="1" thickBot="1" x14ac:dyDescent="0.25">
      <c r="C45" s="238"/>
      <c r="D45" s="873" t="s">
        <v>3364</v>
      </c>
      <c r="E45" s="873"/>
      <c r="F45" s="873"/>
    </row>
    <row r="46" spans="2:6" ht="15" customHeight="1" x14ac:dyDescent="0.2">
      <c r="B46" s="418" t="s">
        <v>3660</v>
      </c>
      <c r="C46" s="542">
        <v>33</v>
      </c>
      <c r="D46" s="553" t="s">
        <v>1229</v>
      </c>
      <c r="E46" s="551"/>
      <c r="F46" s="552"/>
    </row>
    <row r="47" spans="2:6" ht="15" customHeight="1" x14ac:dyDescent="0.2">
      <c r="B47" s="60" t="s">
        <v>3661</v>
      </c>
      <c r="C47" s="499">
        <v>34</v>
      </c>
      <c r="D47" s="264" t="s">
        <v>1230</v>
      </c>
      <c r="E47" s="259"/>
      <c r="F47" s="260"/>
    </row>
    <row r="48" spans="2:6" ht="15" customHeight="1" x14ac:dyDescent="0.2">
      <c r="B48" s="649" t="s">
        <v>3662</v>
      </c>
      <c r="C48" s="499">
        <v>35</v>
      </c>
      <c r="D48" s="264" t="s">
        <v>1205</v>
      </c>
      <c r="E48" s="259"/>
      <c r="F48" s="260"/>
    </row>
    <row r="49" spans="2:6" s="143" customFormat="1" ht="15" customHeight="1" thickBot="1" x14ac:dyDescent="0.25">
      <c r="B49" s="491" t="s">
        <v>3663</v>
      </c>
      <c r="C49" s="556">
        <v>36</v>
      </c>
      <c r="D49" s="270" t="s">
        <v>1234</v>
      </c>
      <c r="E49" s="241">
        <f>E46-E47-E48</f>
        <v>0</v>
      </c>
      <c r="F49" s="242">
        <f>F46-F47-F48</f>
        <v>0</v>
      </c>
    </row>
    <row r="50" spans="2:6" ht="8.25" customHeight="1" x14ac:dyDescent="0.2">
      <c r="C50" s="238"/>
      <c r="D50" s="266"/>
      <c r="E50" s="136"/>
      <c r="F50" s="136"/>
    </row>
    <row r="51" spans="2:6" ht="15" customHeight="1" thickBot="1" x14ac:dyDescent="0.25">
      <c r="C51" s="873" t="s">
        <v>3365</v>
      </c>
      <c r="D51" s="873"/>
      <c r="E51" s="873"/>
      <c r="F51" s="873"/>
    </row>
    <row r="52" spans="2:6" ht="15" customHeight="1" x14ac:dyDescent="0.2">
      <c r="B52" s="418" t="s">
        <v>3664</v>
      </c>
      <c r="C52" s="542">
        <v>37</v>
      </c>
      <c r="D52" s="550" t="s">
        <v>13</v>
      </c>
      <c r="E52" s="551">
        <f>'IS-D'!E704</f>
        <v>0</v>
      </c>
      <c r="F52" s="552">
        <f>'IS-D'!F704</f>
        <v>0</v>
      </c>
    </row>
    <row r="53" spans="2:6" ht="15" customHeight="1" x14ac:dyDescent="0.2">
      <c r="B53" s="60" t="s">
        <v>3665</v>
      </c>
      <c r="C53" s="499">
        <v>38</v>
      </c>
      <c r="D53" s="263" t="s">
        <v>6</v>
      </c>
      <c r="E53" s="259">
        <f>'IS-FA'!E93</f>
        <v>0</v>
      </c>
      <c r="F53" s="260">
        <f>'IS-FA'!F93</f>
        <v>0</v>
      </c>
    </row>
    <row r="54" spans="2:6" ht="15" customHeight="1" x14ac:dyDescent="0.2">
      <c r="B54" s="60" t="s">
        <v>3666</v>
      </c>
      <c r="C54" s="499">
        <v>39</v>
      </c>
      <c r="D54" s="263" t="s">
        <v>7</v>
      </c>
      <c r="E54" s="259">
        <f>'IS-FA'!E268</f>
        <v>0</v>
      </c>
      <c r="F54" s="260">
        <f>'IS-FA'!F268</f>
        <v>0</v>
      </c>
    </row>
    <row r="55" spans="2:6" ht="15" customHeight="1" x14ac:dyDescent="0.2">
      <c r="B55" s="60" t="s">
        <v>3667</v>
      </c>
      <c r="C55" s="499">
        <v>40</v>
      </c>
      <c r="D55" s="263" t="s">
        <v>17</v>
      </c>
      <c r="E55" s="259">
        <f>'IS-FA'!E443</f>
        <v>0</v>
      </c>
      <c r="F55" s="260">
        <f>'IS-FA'!F443</f>
        <v>0</v>
      </c>
    </row>
    <row r="56" spans="2:6" ht="15" customHeight="1" x14ac:dyDescent="0.2">
      <c r="B56" s="60" t="s">
        <v>3668</v>
      </c>
      <c r="C56" s="499">
        <v>41</v>
      </c>
      <c r="D56" s="263" t="s">
        <v>325</v>
      </c>
      <c r="E56" s="259">
        <f>'IS-I'!E203</f>
        <v>0</v>
      </c>
      <c r="F56" s="260">
        <f>'IS-I'!F203</f>
        <v>0</v>
      </c>
    </row>
    <row r="57" spans="2:6" ht="15" customHeight="1" x14ac:dyDescent="0.2">
      <c r="B57" s="60" t="s">
        <v>3669</v>
      </c>
      <c r="C57" s="499">
        <v>42</v>
      </c>
      <c r="D57" s="263" t="s">
        <v>326</v>
      </c>
      <c r="E57" s="259">
        <f>'IS-I'!E400</f>
        <v>0</v>
      </c>
      <c r="F57" s="260">
        <f>'IS-I'!F400</f>
        <v>0</v>
      </c>
    </row>
    <row r="58" spans="2:6" ht="15" customHeight="1" x14ac:dyDescent="0.2">
      <c r="B58" s="60" t="s">
        <v>3670</v>
      </c>
      <c r="C58" s="499">
        <v>43</v>
      </c>
      <c r="D58" s="263" t="s">
        <v>327</v>
      </c>
      <c r="E58" s="259">
        <f>'IS-IP &amp; L'!E73</f>
        <v>0</v>
      </c>
      <c r="F58" s="260">
        <f>'IS-IP &amp; L'!F73</f>
        <v>0</v>
      </c>
    </row>
    <row r="59" spans="2:6" ht="15" customHeight="1" x14ac:dyDescent="0.2">
      <c r="B59" s="60" t="s">
        <v>3671</v>
      </c>
      <c r="C59" s="499">
        <v>44</v>
      </c>
      <c r="D59" s="263" t="s">
        <v>338</v>
      </c>
      <c r="E59" s="259">
        <f>'IS-IP &amp; L'!E307</f>
        <v>0</v>
      </c>
      <c r="F59" s="260">
        <f>'IS-IP &amp; L'!F307</f>
        <v>0</v>
      </c>
    </row>
    <row r="60" spans="2:6" ht="15" customHeight="1" x14ac:dyDescent="0.2">
      <c r="B60" s="60" t="s">
        <v>3672</v>
      </c>
      <c r="C60" s="499">
        <v>45</v>
      </c>
      <c r="D60" s="263" t="s">
        <v>18</v>
      </c>
      <c r="E60" s="259"/>
      <c r="F60" s="260"/>
    </row>
    <row r="61" spans="2:6" s="266" customFormat="1" ht="15" customHeight="1" thickBot="1" x14ac:dyDescent="0.25">
      <c r="B61" s="491" t="s">
        <v>3673</v>
      </c>
      <c r="C61" s="559">
        <v>46</v>
      </c>
      <c r="D61" s="291" t="s">
        <v>3348</v>
      </c>
      <c r="E61" s="241">
        <f>SUM(E52:E60)</f>
        <v>0</v>
      </c>
      <c r="F61" s="242">
        <f>SUM(F52:F60)</f>
        <v>0</v>
      </c>
    </row>
    <row r="62" spans="2:6" s="266" customFormat="1" ht="9" customHeight="1" x14ac:dyDescent="0.2">
      <c r="C62" s="238"/>
      <c r="E62" s="203"/>
      <c r="F62" s="203"/>
    </row>
    <row r="63" spans="2:6" s="266" customFormat="1" ht="15" customHeight="1" thickBot="1" x14ac:dyDescent="0.25">
      <c r="C63" s="877" t="s">
        <v>3366</v>
      </c>
      <c r="D63" s="877"/>
      <c r="E63" s="877"/>
      <c r="F63" s="877"/>
    </row>
    <row r="64" spans="2:6" ht="15" customHeight="1" x14ac:dyDescent="0.2">
      <c r="B64" s="418" t="s">
        <v>3674</v>
      </c>
      <c r="C64" s="542">
        <v>47</v>
      </c>
      <c r="D64" s="554" t="s">
        <v>21</v>
      </c>
      <c r="E64" s="551">
        <f>'IS-Ex.S &amp; Ex.Ad'!E22</f>
        <v>0</v>
      </c>
      <c r="F64" s="552">
        <f>'IS-Ex.S &amp; Ex.Ad'!F22</f>
        <v>0</v>
      </c>
    </row>
    <row r="65" spans="2:6" ht="15" customHeight="1" x14ac:dyDescent="0.2">
      <c r="B65" s="60" t="s">
        <v>3675</v>
      </c>
      <c r="C65" s="499">
        <v>48</v>
      </c>
      <c r="D65" s="268" t="s">
        <v>22</v>
      </c>
      <c r="E65" s="259">
        <f>'IS-Ex.S &amp; Ex.Ad'!E41</f>
        <v>0</v>
      </c>
      <c r="F65" s="260">
        <f>'IS-Ex.S &amp; Ex.Ad'!F41</f>
        <v>0</v>
      </c>
    </row>
    <row r="66" spans="2:6" ht="15" customHeight="1" x14ac:dyDescent="0.2">
      <c r="B66" s="60" t="s">
        <v>3676</v>
      </c>
      <c r="C66" s="499">
        <v>49</v>
      </c>
      <c r="D66" s="268" t="s">
        <v>19</v>
      </c>
      <c r="E66" s="259">
        <f>'IS-Ex.T &amp; Ex.F &amp; O'!E12</f>
        <v>0</v>
      </c>
      <c r="F66" s="260">
        <f>'IS-Ex.T &amp; Ex.F &amp; O'!F12</f>
        <v>0</v>
      </c>
    </row>
    <row r="67" spans="2:6" ht="15" customHeight="1" x14ac:dyDescent="0.2">
      <c r="B67" s="60" t="s">
        <v>3677</v>
      </c>
      <c r="C67" s="499">
        <v>50</v>
      </c>
      <c r="D67" s="268" t="s">
        <v>23</v>
      </c>
      <c r="E67" s="259"/>
      <c r="F67" s="260"/>
    </row>
    <row r="68" spans="2:6" ht="15" customHeight="1" x14ac:dyDescent="0.2">
      <c r="B68" s="60" t="s">
        <v>3678</v>
      </c>
      <c r="C68" s="499">
        <v>51</v>
      </c>
      <c r="D68" s="268" t="s">
        <v>24</v>
      </c>
      <c r="E68" s="259">
        <f>'IS-Ex.T &amp; Ex.F &amp; O'!E111</f>
        <v>0</v>
      </c>
      <c r="F68" s="260">
        <f>'IS-Ex.T &amp; Ex.F &amp; O'!F111</f>
        <v>0</v>
      </c>
    </row>
    <row r="69" spans="2:6" ht="15" customHeight="1" x14ac:dyDescent="0.2">
      <c r="B69" s="60" t="s">
        <v>3679</v>
      </c>
      <c r="C69" s="499">
        <v>52</v>
      </c>
      <c r="D69" s="268" t="s">
        <v>39</v>
      </c>
      <c r="E69" s="259"/>
      <c r="F69" s="260"/>
    </row>
    <row r="70" spans="2:6" ht="15" customHeight="1" thickBot="1" x14ac:dyDescent="0.25">
      <c r="B70" s="486" t="s">
        <v>3680</v>
      </c>
      <c r="C70" s="560">
        <v>53</v>
      </c>
      <c r="D70" s="285" t="s">
        <v>2835</v>
      </c>
      <c r="E70" s="306">
        <f>'IS-Ex.T &amp; Ex.F &amp; O'!E124</f>
        <v>0</v>
      </c>
      <c r="F70" s="307">
        <f>'IS-Ex.T &amp; Ex.F &amp; O'!F124</f>
        <v>0</v>
      </c>
    </row>
    <row r="71" spans="2:6" s="30" customFormat="1" ht="9" customHeight="1" thickBot="1" x14ac:dyDescent="0.25">
      <c r="C71" s="9"/>
      <c r="D71" s="228"/>
      <c r="E71" s="284"/>
      <c r="F71" s="284"/>
    </row>
    <row r="72" spans="2:6" s="143" customFormat="1" ht="15" customHeight="1" x14ac:dyDescent="0.2">
      <c r="B72" s="418" t="s">
        <v>3681</v>
      </c>
      <c r="C72" s="406">
        <v>54</v>
      </c>
      <c r="D72" s="407" t="s">
        <v>3387</v>
      </c>
      <c r="E72" s="408">
        <f>E43+E49+E61-E64-E65-E66-E67-E68-E69+E70</f>
        <v>0</v>
      </c>
      <c r="F72" s="409">
        <f>F43+F49+F61-F64-F65-F66-F67-F68-F69+F70</f>
        <v>0</v>
      </c>
    </row>
    <row r="73" spans="2:6" s="143" customFormat="1" ht="15" customHeight="1" x14ac:dyDescent="0.2">
      <c r="B73" s="60" t="s">
        <v>3682</v>
      </c>
      <c r="C73" s="397">
        <v>55</v>
      </c>
      <c r="D73" s="290" t="s">
        <v>20</v>
      </c>
      <c r="E73" s="239"/>
      <c r="F73" s="240"/>
    </row>
    <row r="74" spans="2:6" s="143" customFormat="1" ht="15" customHeight="1" thickBot="1" x14ac:dyDescent="0.25">
      <c r="B74" s="491" t="s">
        <v>3683</v>
      </c>
      <c r="C74" s="556">
        <v>56</v>
      </c>
      <c r="D74" s="270" t="s">
        <v>3388</v>
      </c>
      <c r="E74" s="241">
        <f>E72-E73</f>
        <v>0</v>
      </c>
      <c r="F74" s="242">
        <f>F72-F73</f>
        <v>0</v>
      </c>
    </row>
    <row r="75" spans="2:6" x14ac:dyDescent="0.2">
      <c r="D75" s="269"/>
    </row>
    <row r="76" spans="2:6" x14ac:dyDescent="0.3">
      <c r="C76" s="782"/>
      <c r="D76" s="782"/>
      <c r="E76" s="782"/>
      <c r="F76" s="782"/>
    </row>
    <row r="77" spans="2:6" x14ac:dyDescent="0.2">
      <c r="C77" s="785"/>
      <c r="D77" s="785"/>
      <c r="E77" s="785"/>
      <c r="F77" s="785"/>
    </row>
    <row r="78" spans="2:6" x14ac:dyDescent="0.3">
      <c r="C78" s="782"/>
      <c r="D78" s="782"/>
      <c r="E78" s="782"/>
      <c r="F78" s="782"/>
    </row>
    <row r="79" spans="2:6" x14ac:dyDescent="0.2">
      <c r="C79" s="785"/>
      <c r="D79" s="785"/>
      <c r="E79" s="785"/>
      <c r="F79" s="785"/>
    </row>
    <row r="80" spans="2:6" x14ac:dyDescent="0.3">
      <c r="C80" s="782"/>
      <c r="D80" s="782"/>
      <c r="E80" s="782"/>
      <c r="F80" s="782"/>
    </row>
    <row r="81" spans="3:6" x14ac:dyDescent="0.2">
      <c r="C81" s="785"/>
      <c r="D81" s="785"/>
      <c r="E81" s="785"/>
      <c r="F81" s="785"/>
    </row>
  </sheetData>
  <customSheetViews>
    <customSheetView guid="{F18E25A1-ACAC-4BA2-9084-15C64EADD71F}" topLeftCell="A58">
      <selection activeCell="B57" sqref="B57"/>
      <pageMargins left="0.35" right="0.25" top="0.47" bottom="0.7" header="0.5" footer="0.68"/>
      <pageSetup scale="90" orientation="portrait" r:id="rId1"/>
      <headerFooter alignWithMargins="0"/>
    </customSheetView>
    <customSheetView guid="{42441662-3193-455A-AAAC-E0697E2ED236}" showPageBreaks="1">
      <selection activeCell="B87" sqref="B87"/>
      <pageMargins left="0.35" right="0.25" top="0.47" bottom="0.7" header="0.5" footer="0.68"/>
      <pageSetup scale="90" orientation="portrait" r:id="rId2"/>
      <headerFooter alignWithMargins="0"/>
    </customSheetView>
    <customSheetView guid="{AB1DC9E9-A3E4-4BE0-8A49-B02D340E9D12}" topLeftCell="A28">
      <selection activeCell="B5" sqref="B5"/>
      <pageMargins left="0.35" right="0.25" top="0.47" bottom="0.7" header="0.5" footer="0.68"/>
      <pageSetup scale="90" orientation="portrait" r:id="rId3"/>
      <headerFooter alignWithMargins="0"/>
    </customSheetView>
    <customSheetView guid="{BC7A4191-54CC-4009-AB21-42ED557A5091}" showPageBreaks="1" showRuler="0" topLeftCell="A23">
      <selection activeCell="B46" sqref="B46"/>
      <pageMargins left="0.35" right="0.25" top="0.47" bottom="0.7" header="0.5" footer="0.68"/>
      <pageSetup scale="90" orientation="portrait" r:id="rId4"/>
      <headerFooter alignWithMargins="0"/>
    </customSheetView>
  </customSheetViews>
  <mergeCells count="16">
    <mergeCell ref="C81:F81"/>
    <mergeCell ref="C8:F8"/>
    <mergeCell ref="C24:F24"/>
    <mergeCell ref="B1:C1"/>
    <mergeCell ref="E1:F1"/>
    <mergeCell ref="E5:F5"/>
    <mergeCell ref="D4:F4"/>
    <mergeCell ref="B2:F2"/>
    <mergeCell ref="D45:F45"/>
    <mergeCell ref="C51:F51"/>
    <mergeCell ref="C63:F63"/>
    <mergeCell ref="C76:F76"/>
    <mergeCell ref="C77:F77"/>
    <mergeCell ref="C78:F78"/>
    <mergeCell ref="C79:F79"/>
    <mergeCell ref="C80:F80"/>
  </mergeCells>
  <phoneticPr fontId="3" type="noConversion"/>
  <printOptions horizontalCentered="1"/>
  <pageMargins left="0.2" right="0.2" top="0.26" bottom="0.2" header="0.17" footer="0.17"/>
  <pageSetup scale="65" orientation="portrait" r:id="rId5"/>
  <headerFooter alignWithMargins="0"/>
  <ignoredErrors>
    <ignoredError sqref="B9:B74"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B1:H54"/>
  <sheetViews>
    <sheetView showGridLines="0" zoomScale="90" zoomScaleNormal="90" workbookViewId="0">
      <pane ySplit="6" topLeftCell="A7" activePane="bottomLeft" state="frozen"/>
      <selection activeCell="C120" sqref="C120"/>
      <selection pane="bottomLeft" activeCell="L19" sqref="L19"/>
    </sheetView>
  </sheetViews>
  <sheetFormatPr defaultColWidth="9.140625" defaultRowHeight="15" x14ac:dyDescent="0.3"/>
  <cols>
    <col min="1" max="1" width="2.140625" style="5" customWidth="1"/>
    <col min="2" max="2" width="11.42578125" style="5" customWidth="1"/>
    <col min="3" max="3" width="4.5703125" style="5" customWidth="1"/>
    <col min="4" max="4" width="79.140625" style="5" customWidth="1"/>
    <col min="5" max="6" width="16.140625" style="5" customWidth="1"/>
    <col min="7" max="16384" width="9.140625" style="5"/>
  </cols>
  <sheetData>
    <row r="1" spans="2:7" ht="15" customHeight="1" x14ac:dyDescent="0.3">
      <c r="B1" s="831" t="s">
        <v>315</v>
      </c>
      <c r="C1" s="831"/>
      <c r="E1" s="832" t="s">
        <v>1238</v>
      </c>
      <c r="F1" s="832"/>
    </row>
    <row r="2" spans="2:7" ht="15" customHeight="1" x14ac:dyDescent="0.3">
      <c r="B2" s="874" t="s">
        <v>4688</v>
      </c>
      <c r="C2" s="874"/>
      <c r="D2" s="874"/>
      <c r="E2" s="874"/>
      <c r="F2" s="874"/>
    </row>
    <row r="3" spans="2:7" ht="15" customHeight="1" x14ac:dyDescent="0.3"/>
    <row r="4" spans="2:7" s="187" customFormat="1" ht="15" customHeight="1" x14ac:dyDescent="0.35">
      <c r="B4" s="180"/>
      <c r="D4" s="815" t="s">
        <v>3341</v>
      </c>
      <c r="E4" s="815"/>
      <c r="F4" s="815"/>
    </row>
    <row r="5" spans="2:7" ht="15" customHeight="1" thickBot="1" x14ac:dyDescent="0.35">
      <c r="C5" s="12"/>
      <c r="D5" s="130"/>
      <c r="E5" s="802" t="s">
        <v>323</v>
      </c>
      <c r="F5" s="802"/>
    </row>
    <row r="6" spans="2:7" s="80" customFormat="1" ht="45" customHeight="1" thickBot="1" x14ac:dyDescent="0.25">
      <c r="B6" s="481" t="s">
        <v>4627</v>
      </c>
      <c r="C6" s="492" t="s">
        <v>1211</v>
      </c>
      <c r="D6" s="492"/>
      <c r="E6" s="416" t="s">
        <v>322</v>
      </c>
      <c r="F6" s="417" t="s">
        <v>333</v>
      </c>
    </row>
    <row r="7" spans="2:7" s="4" customFormat="1" ht="9" customHeight="1" x14ac:dyDescent="0.3">
      <c r="C7" s="12"/>
      <c r="D7" s="79"/>
      <c r="E7" s="53"/>
      <c r="F7" s="53"/>
    </row>
    <row r="8" spans="2:7" s="54" customFormat="1" ht="15" customHeight="1" x14ac:dyDescent="0.2">
      <c r="C8" s="870" t="s">
        <v>2</v>
      </c>
      <c r="D8" s="870"/>
      <c r="E8" s="870"/>
      <c r="F8" s="870"/>
    </row>
    <row r="9" spans="2:7" s="54" customFormat="1" ht="9" customHeight="1" thickBot="1" x14ac:dyDescent="0.25">
      <c r="C9" s="561"/>
      <c r="D9" s="561"/>
      <c r="E9" s="561"/>
      <c r="F9" s="561"/>
    </row>
    <row r="10" spans="2:7" s="10" customFormat="1" ht="15" customHeight="1" x14ac:dyDescent="0.3">
      <c r="B10" s="418" t="s">
        <v>3628</v>
      </c>
      <c r="C10" s="538">
        <v>1</v>
      </c>
      <c r="D10" s="493" t="s">
        <v>1235</v>
      </c>
      <c r="E10" s="530"/>
      <c r="F10" s="531"/>
    </row>
    <row r="11" spans="2:7" s="10" customFormat="1" ht="15" customHeight="1" x14ac:dyDescent="0.3">
      <c r="B11" s="60" t="s">
        <v>3629</v>
      </c>
      <c r="C11" s="524">
        <v>2</v>
      </c>
      <c r="D11" s="131" t="s">
        <v>3396</v>
      </c>
      <c r="E11" s="71"/>
      <c r="F11" s="74"/>
    </row>
    <row r="12" spans="2:7" s="10" customFormat="1" ht="15" customHeight="1" x14ac:dyDescent="0.3">
      <c r="B12" s="60" t="s">
        <v>3630</v>
      </c>
      <c r="C12" s="524">
        <v>3</v>
      </c>
      <c r="D12" s="131" t="s">
        <v>3397</v>
      </c>
      <c r="E12" s="71"/>
      <c r="F12" s="74"/>
    </row>
    <row r="13" spans="2:7" s="48" customFormat="1" ht="15" customHeight="1" x14ac:dyDescent="0.3">
      <c r="B13" s="60" t="s">
        <v>3631</v>
      </c>
      <c r="C13" s="562">
        <v>4</v>
      </c>
      <c r="D13" s="206" t="s">
        <v>2837</v>
      </c>
      <c r="E13" s="185">
        <f>E10+E11-E12</f>
        <v>0</v>
      </c>
      <c r="F13" s="186">
        <f>F10+F11-F12</f>
        <v>0</v>
      </c>
    </row>
    <row r="14" spans="2:7" ht="15" customHeight="1" x14ac:dyDescent="0.3">
      <c r="B14" s="60" t="s">
        <v>3632</v>
      </c>
      <c r="C14" s="524">
        <v>5</v>
      </c>
      <c r="D14" s="131" t="s">
        <v>0</v>
      </c>
      <c r="E14" s="71"/>
      <c r="F14" s="74"/>
      <c r="G14" s="10"/>
    </row>
    <row r="15" spans="2:7" ht="15" customHeight="1" x14ac:dyDescent="0.3">
      <c r="B15" s="60" t="s">
        <v>3633</v>
      </c>
      <c r="C15" s="524">
        <v>6</v>
      </c>
      <c r="D15" s="131" t="s">
        <v>1</v>
      </c>
      <c r="E15" s="71"/>
      <c r="F15" s="74"/>
      <c r="G15" s="10"/>
    </row>
    <row r="16" spans="2:7" ht="15" customHeight="1" x14ac:dyDescent="0.3">
      <c r="B16" s="60" t="s">
        <v>3634</v>
      </c>
      <c r="C16" s="524">
        <v>7</v>
      </c>
      <c r="D16" s="131" t="s">
        <v>3</v>
      </c>
      <c r="E16" s="71"/>
      <c r="F16" s="74"/>
      <c r="G16" s="10"/>
    </row>
    <row r="17" spans="2:8" s="48" customFormat="1" ht="15" customHeight="1" x14ac:dyDescent="0.3">
      <c r="B17" s="60" t="s">
        <v>3635</v>
      </c>
      <c r="C17" s="562">
        <v>8</v>
      </c>
      <c r="D17" s="206" t="s">
        <v>2838</v>
      </c>
      <c r="E17" s="185">
        <f>E14+E15-E16</f>
        <v>0</v>
      </c>
      <c r="F17" s="186">
        <f>F14+F15-F16</f>
        <v>0</v>
      </c>
    </row>
    <row r="18" spans="2:8" ht="15" customHeight="1" x14ac:dyDescent="0.3">
      <c r="B18" s="60" t="s">
        <v>3636</v>
      </c>
      <c r="C18" s="524">
        <v>9</v>
      </c>
      <c r="D18" s="131" t="s">
        <v>3392</v>
      </c>
      <c r="E18" s="71"/>
      <c r="F18" s="74"/>
      <c r="G18" s="10"/>
      <c r="H18" s="10"/>
    </row>
    <row r="19" spans="2:8" ht="15" customHeight="1" x14ac:dyDescent="0.3">
      <c r="B19" s="60" t="s">
        <v>3637</v>
      </c>
      <c r="C19" s="524">
        <v>10</v>
      </c>
      <c r="D19" s="131" t="s">
        <v>3394</v>
      </c>
      <c r="E19" s="71"/>
      <c r="F19" s="74"/>
      <c r="G19" s="10"/>
      <c r="H19" s="10"/>
    </row>
    <row r="20" spans="2:8" ht="15" customHeight="1" x14ac:dyDescent="0.3">
      <c r="B20" s="60" t="s">
        <v>3638</v>
      </c>
      <c r="C20" s="524">
        <v>11</v>
      </c>
      <c r="D20" s="131" t="s">
        <v>4</v>
      </c>
      <c r="E20" s="71"/>
      <c r="F20" s="74"/>
      <c r="G20" s="10"/>
      <c r="H20" s="10"/>
    </row>
    <row r="21" spans="2:8" s="48" customFormat="1" ht="15" customHeight="1" x14ac:dyDescent="0.3">
      <c r="B21" s="60" t="s">
        <v>3639</v>
      </c>
      <c r="C21" s="562">
        <v>12</v>
      </c>
      <c r="D21" s="206" t="s">
        <v>2839</v>
      </c>
      <c r="E21" s="185">
        <f>E18+E19-E20</f>
        <v>0</v>
      </c>
      <c r="F21" s="186">
        <f>F18+F19-F20</f>
        <v>0</v>
      </c>
    </row>
    <row r="22" spans="2:8" ht="15" customHeight="1" x14ac:dyDescent="0.3">
      <c r="B22" s="60" t="s">
        <v>3640</v>
      </c>
      <c r="C22" s="524">
        <v>13</v>
      </c>
      <c r="D22" s="131" t="s">
        <v>3393</v>
      </c>
      <c r="E22" s="71"/>
      <c r="F22" s="74"/>
      <c r="G22" s="10"/>
      <c r="H22" s="4"/>
    </row>
    <row r="23" spans="2:8" ht="15" customHeight="1" x14ac:dyDescent="0.3">
      <c r="B23" s="60" t="s">
        <v>3641</v>
      </c>
      <c r="C23" s="524">
        <v>14</v>
      </c>
      <c r="D23" s="131" t="s">
        <v>3395</v>
      </c>
      <c r="E23" s="71"/>
      <c r="F23" s="74"/>
      <c r="G23" s="10"/>
      <c r="H23" s="4"/>
    </row>
    <row r="24" spans="2:8" ht="15" customHeight="1" x14ac:dyDescent="0.3">
      <c r="B24" s="60" t="s">
        <v>3642</v>
      </c>
      <c r="C24" s="524">
        <v>15</v>
      </c>
      <c r="D24" s="131" t="s">
        <v>5</v>
      </c>
      <c r="E24" s="71"/>
      <c r="F24" s="74"/>
      <c r="G24" s="10"/>
      <c r="H24" s="10"/>
    </row>
    <row r="25" spans="2:8" s="48" customFormat="1" ht="15" customHeight="1" x14ac:dyDescent="0.3">
      <c r="B25" s="60" t="s">
        <v>3643</v>
      </c>
      <c r="C25" s="562">
        <v>16</v>
      </c>
      <c r="D25" s="206" t="s">
        <v>2840</v>
      </c>
      <c r="E25" s="185">
        <f>E22+E23-E24</f>
        <v>0</v>
      </c>
      <c r="F25" s="186">
        <f>F22+F23-F24</f>
        <v>0</v>
      </c>
    </row>
    <row r="26" spans="2:8" s="6" customFormat="1" ht="15" customHeight="1" thickBot="1" x14ac:dyDescent="0.35">
      <c r="B26" s="491" t="s">
        <v>3644</v>
      </c>
      <c r="C26" s="812" t="s">
        <v>2852</v>
      </c>
      <c r="D26" s="813"/>
      <c r="E26" s="243">
        <f>E13-E17-E21-E25</f>
        <v>0</v>
      </c>
      <c r="F26" s="244">
        <f>F13-F17-F21-F25</f>
        <v>0</v>
      </c>
      <c r="G26" s="14"/>
      <c r="H26" s="14"/>
    </row>
    <row r="27" spans="2:8" ht="9" customHeight="1" x14ac:dyDescent="0.3">
      <c r="C27" s="10"/>
      <c r="D27" s="10"/>
      <c r="E27" s="10"/>
      <c r="F27" s="10"/>
      <c r="G27" s="10"/>
    </row>
    <row r="28" spans="2:8" s="205" customFormat="1" ht="18" customHeight="1" x14ac:dyDescent="0.3">
      <c r="C28" s="870" t="s">
        <v>93</v>
      </c>
      <c r="D28" s="870"/>
      <c r="E28" s="870"/>
      <c r="F28" s="870"/>
    </row>
    <row r="29" spans="2:8" s="205" customFormat="1" ht="9" customHeight="1" thickBot="1" x14ac:dyDescent="0.35">
      <c r="C29" s="561"/>
      <c r="D29" s="561"/>
      <c r="E29" s="561"/>
      <c r="F29" s="561"/>
    </row>
    <row r="30" spans="2:8" ht="15" customHeight="1" x14ac:dyDescent="0.3">
      <c r="B30" s="418" t="s">
        <v>3645</v>
      </c>
      <c r="C30" s="538">
        <v>17</v>
      </c>
      <c r="D30" s="493" t="s">
        <v>1235</v>
      </c>
      <c r="E30" s="530"/>
      <c r="F30" s="531"/>
    </row>
    <row r="31" spans="2:8" ht="15" customHeight="1" x14ac:dyDescent="0.3">
      <c r="B31" s="60" t="s">
        <v>3646</v>
      </c>
      <c r="C31" s="524">
        <v>18</v>
      </c>
      <c r="D31" s="131" t="s">
        <v>3396</v>
      </c>
      <c r="E31" s="71"/>
      <c r="F31" s="74"/>
    </row>
    <row r="32" spans="2:8" ht="15" customHeight="1" x14ac:dyDescent="0.3">
      <c r="B32" s="60" t="s">
        <v>3647</v>
      </c>
      <c r="C32" s="524">
        <v>19</v>
      </c>
      <c r="D32" s="131" t="s">
        <v>3397</v>
      </c>
      <c r="E32" s="71"/>
      <c r="F32" s="74"/>
      <c r="G32" s="10"/>
    </row>
    <row r="33" spans="2:8" s="48" customFormat="1" ht="15" customHeight="1" x14ac:dyDescent="0.3">
      <c r="B33" s="60" t="s">
        <v>3648</v>
      </c>
      <c r="C33" s="562">
        <v>20</v>
      </c>
      <c r="D33" s="206" t="s">
        <v>2841</v>
      </c>
      <c r="E33" s="185">
        <f>E30+E31-E32</f>
        <v>0</v>
      </c>
      <c r="F33" s="186">
        <f>F30+F31-F32</f>
        <v>0</v>
      </c>
    </row>
    <row r="34" spans="2:8" ht="15" customHeight="1" x14ac:dyDescent="0.3">
      <c r="B34" s="60" t="s">
        <v>3649</v>
      </c>
      <c r="C34" s="524">
        <v>21</v>
      </c>
      <c r="D34" s="131" t="s">
        <v>0</v>
      </c>
      <c r="E34" s="71"/>
      <c r="F34" s="74"/>
      <c r="G34" s="10"/>
    </row>
    <row r="35" spans="2:8" ht="15" customHeight="1" x14ac:dyDescent="0.3">
      <c r="B35" s="60" t="s">
        <v>3650</v>
      </c>
      <c r="C35" s="524">
        <v>22</v>
      </c>
      <c r="D35" s="131" t="s">
        <v>1</v>
      </c>
      <c r="E35" s="71"/>
      <c r="F35" s="74"/>
      <c r="G35" s="10"/>
    </row>
    <row r="36" spans="2:8" ht="15" customHeight="1" x14ac:dyDescent="0.3">
      <c r="B36" s="60" t="s">
        <v>3651</v>
      </c>
      <c r="C36" s="524">
        <v>23</v>
      </c>
      <c r="D36" s="131" t="s">
        <v>3</v>
      </c>
      <c r="E36" s="71"/>
      <c r="F36" s="74"/>
      <c r="G36" s="10"/>
    </row>
    <row r="37" spans="2:8" s="48" customFormat="1" ht="15" customHeight="1" x14ac:dyDescent="0.3">
      <c r="B37" s="60" t="s">
        <v>3652</v>
      </c>
      <c r="C37" s="562">
        <v>24</v>
      </c>
      <c r="D37" s="206" t="s">
        <v>2842</v>
      </c>
      <c r="E37" s="185">
        <f>E34+E35-E36</f>
        <v>0</v>
      </c>
      <c r="F37" s="186">
        <f>F34+F35-F36</f>
        <v>0</v>
      </c>
    </row>
    <row r="38" spans="2:8" ht="15" customHeight="1" x14ac:dyDescent="0.3">
      <c r="B38" s="60" t="s">
        <v>3653</v>
      </c>
      <c r="C38" s="524">
        <v>25</v>
      </c>
      <c r="D38" s="131" t="s">
        <v>3392</v>
      </c>
      <c r="E38" s="71"/>
      <c r="F38" s="74"/>
      <c r="G38" s="10"/>
      <c r="H38" s="10"/>
    </row>
    <row r="39" spans="2:8" ht="15" customHeight="1" x14ac:dyDescent="0.3">
      <c r="B39" s="60" t="s">
        <v>3654</v>
      </c>
      <c r="C39" s="524">
        <v>26</v>
      </c>
      <c r="D39" s="131" t="s">
        <v>3394</v>
      </c>
      <c r="E39" s="71"/>
      <c r="F39" s="74"/>
      <c r="G39" s="10"/>
      <c r="H39" s="10"/>
    </row>
    <row r="40" spans="2:8" ht="15" customHeight="1" x14ac:dyDescent="0.3">
      <c r="B40" s="60" t="s">
        <v>3655</v>
      </c>
      <c r="C40" s="524">
        <v>27</v>
      </c>
      <c r="D40" s="131" t="s">
        <v>4</v>
      </c>
      <c r="E40" s="71"/>
      <c r="F40" s="74"/>
      <c r="G40" s="10"/>
      <c r="H40" s="10"/>
    </row>
    <row r="41" spans="2:8" s="48" customFormat="1" ht="15" customHeight="1" x14ac:dyDescent="0.3">
      <c r="B41" s="60" t="s">
        <v>3656</v>
      </c>
      <c r="C41" s="562">
        <v>28</v>
      </c>
      <c r="D41" s="206" t="s">
        <v>2843</v>
      </c>
      <c r="E41" s="185">
        <f>E38+E39-E40</f>
        <v>0</v>
      </c>
      <c r="F41" s="186">
        <f>F38+F39-F40</f>
        <v>0</v>
      </c>
    </row>
    <row r="42" spans="2:8" ht="15" customHeight="1" x14ac:dyDescent="0.3">
      <c r="B42" s="60" t="s">
        <v>3657</v>
      </c>
      <c r="C42" s="524">
        <v>29</v>
      </c>
      <c r="D42" s="131" t="s">
        <v>3393</v>
      </c>
      <c r="E42" s="71"/>
      <c r="F42" s="74"/>
      <c r="G42" s="10"/>
      <c r="H42" s="10"/>
    </row>
    <row r="43" spans="2:8" ht="15" customHeight="1" x14ac:dyDescent="0.3">
      <c r="B43" s="60" t="s">
        <v>3658</v>
      </c>
      <c r="C43" s="524">
        <v>30</v>
      </c>
      <c r="D43" s="131" t="s">
        <v>3395</v>
      </c>
      <c r="E43" s="71"/>
      <c r="F43" s="74"/>
      <c r="G43" s="10"/>
      <c r="H43" s="10"/>
    </row>
    <row r="44" spans="2:8" ht="15" customHeight="1" x14ac:dyDescent="0.3">
      <c r="B44" s="60" t="s">
        <v>3659</v>
      </c>
      <c r="C44" s="524">
        <v>31</v>
      </c>
      <c r="D44" s="131" t="s">
        <v>5</v>
      </c>
      <c r="E44" s="71"/>
      <c r="F44" s="74"/>
      <c r="G44" s="10"/>
      <c r="H44" s="10"/>
    </row>
    <row r="45" spans="2:8" s="48" customFormat="1" ht="15" customHeight="1" x14ac:dyDescent="0.3">
      <c r="B45" s="60" t="s">
        <v>3660</v>
      </c>
      <c r="C45" s="562">
        <v>32</v>
      </c>
      <c r="D45" s="206" t="s">
        <v>2844</v>
      </c>
      <c r="E45" s="185">
        <f>E42+E43-E44</f>
        <v>0</v>
      </c>
      <c r="F45" s="186">
        <f>F42+F43-F44</f>
        <v>0</v>
      </c>
    </row>
    <row r="46" spans="2:8" s="6" customFormat="1" ht="15" customHeight="1" thickBot="1" x14ac:dyDescent="0.35">
      <c r="B46" s="491" t="s">
        <v>3661</v>
      </c>
      <c r="C46" s="812" t="s">
        <v>2853</v>
      </c>
      <c r="D46" s="813"/>
      <c r="E46" s="243">
        <f>E33-E37-E41-E45</f>
        <v>0</v>
      </c>
      <c r="F46" s="244">
        <f>F33-F37-F41-F45</f>
        <v>0</v>
      </c>
      <c r="G46" s="14"/>
      <c r="H46" s="14"/>
    </row>
    <row r="47" spans="2:8" x14ac:dyDescent="0.3">
      <c r="E47" s="669"/>
      <c r="F47" s="669"/>
      <c r="G47" s="10"/>
    </row>
    <row r="48" spans="2:8" x14ac:dyDescent="0.3">
      <c r="G48" s="10"/>
    </row>
    <row r="49" spans="3:6" x14ac:dyDescent="0.3">
      <c r="C49" s="782"/>
      <c r="D49" s="782"/>
      <c r="E49" s="782"/>
      <c r="F49" s="782"/>
    </row>
    <row r="50" spans="3:6" x14ac:dyDescent="0.3">
      <c r="C50" s="785"/>
      <c r="D50" s="785"/>
      <c r="E50" s="785"/>
      <c r="F50" s="785"/>
    </row>
    <row r="51" spans="3:6" x14ac:dyDescent="0.3">
      <c r="C51" s="782"/>
      <c r="D51" s="782"/>
      <c r="E51" s="782"/>
      <c r="F51" s="782"/>
    </row>
    <row r="52" spans="3:6" x14ac:dyDescent="0.3">
      <c r="C52" s="785"/>
      <c r="D52" s="785"/>
      <c r="E52" s="785"/>
      <c r="F52" s="785"/>
    </row>
    <row r="53" spans="3:6" x14ac:dyDescent="0.3">
      <c r="C53" s="782"/>
      <c r="D53" s="782"/>
      <c r="E53" s="782"/>
      <c r="F53" s="782"/>
    </row>
    <row r="54" spans="3:6" x14ac:dyDescent="0.3">
      <c r="C54" s="785"/>
      <c r="D54" s="785"/>
      <c r="E54" s="785"/>
      <c r="F54" s="785"/>
    </row>
  </sheetData>
  <mergeCells count="15">
    <mergeCell ref="C54:F54"/>
    <mergeCell ref="B1:C1"/>
    <mergeCell ref="E1:F1"/>
    <mergeCell ref="E5:F5"/>
    <mergeCell ref="B2:F2"/>
    <mergeCell ref="D4:F4"/>
    <mergeCell ref="C26:D26"/>
    <mergeCell ref="C8:F8"/>
    <mergeCell ref="C28:F28"/>
    <mergeCell ref="C46:D46"/>
    <mergeCell ref="C49:F49"/>
    <mergeCell ref="C50:F50"/>
    <mergeCell ref="C51:F51"/>
    <mergeCell ref="C52:F52"/>
    <mergeCell ref="C53:F53"/>
  </mergeCells>
  <phoneticPr fontId="14" type="noConversion"/>
  <printOptions horizontalCentered="1"/>
  <pageMargins left="0.2" right="0.2" top="0.26" bottom="0.2" header="0.17" footer="0.17"/>
  <pageSetup scale="82" orientation="portrait" horizontalDpi="300" verticalDpi="300" r:id="rId1"/>
  <ignoredErrors>
    <ignoredError sqref="B10:B46"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ummaryRight="0"/>
  </sheetPr>
  <dimension ref="B1:I712"/>
  <sheetViews>
    <sheetView showGridLines="0" zoomScale="90" zoomScaleNormal="90" workbookViewId="0">
      <pane ySplit="6" topLeftCell="A7" activePane="bottomLeft" state="frozen"/>
      <selection activeCell="C120" sqref="C120"/>
      <selection pane="bottomLeft" activeCell="L20" sqref="L20"/>
    </sheetView>
  </sheetViews>
  <sheetFormatPr defaultColWidth="9.140625" defaultRowHeight="15" outlineLevelRow="2" x14ac:dyDescent="0.3"/>
  <cols>
    <col min="1" max="1" width="2" style="5" customWidth="1"/>
    <col min="2" max="2" width="11" style="5" customWidth="1"/>
    <col min="3" max="3" width="6.42578125" style="16" customWidth="1"/>
    <col min="4" max="4" width="87.5703125" style="5" customWidth="1"/>
    <col min="5" max="6" width="16.140625" style="5" customWidth="1"/>
    <col min="7" max="16384" width="9.140625" style="5"/>
  </cols>
  <sheetData>
    <row r="1" spans="2:7" x14ac:dyDescent="0.3">
      <c r="B1" s="799" t="s">
        <v>315</v>
      </c>
      <c r="C1" s="799"/>
      <c r="D1" s="42"/>
      <c r="E1" s="791" t="s">
        <v>1237</v>
      </c>
      <c r="F1" s="791"/>
      <c r="G1" s="18"/>
    </row>
    <row r="2" spans="2:7" x14ac:dyDescent="0.3">
      <c r="B2" s="874" t="s">
        <v>4688</v>
      </c>
      <c r="C2" s="874"/>
      <c r="D2" s="874"/>
      <c r="E2" s="874"/>
      <c r="F2" s="874"/>
    </row>
    <row r="3" spans="2:7" x14ac:dyDescent="0.3">
      <c r="C3" s="21"/>
    </row>
    <row r="4" spans="2:7" s="76" customFormat="1" ht="18" x14ac:dyDescent="0.35">
      <c r="B4" s="207"/>
      <c r="D4" s="881" t="s">
        <v>37</v>
      </c>
      <c r="E4" s="881"/>
      <c r="F4" s="881"/>
    </row>
    <row r="5" spans="2:7" ht="15.75" thickBot="1" x14ac:dyDescent="0.35">
      <c r="E5" s="880" t="s">
        <v>323</v>
      </c>
      <c r="F5" s="880"/>
    </row>
    <row r="6" spans="2:7" s="56" customFormat="1" ht="45.75" thickBot="1" x14ac:dyDescent="0.25">
      <c r="B6" s="481" t="s">
        <v>4627</v>
      </c>
      <c r="C6" s="492" t="s">
        <v>1211</v>
      </c>
      <c r="D6" s="492"/>
      <c r="E6" s="416" t="s">
        <v>322</v>
      </c>
      <c r="F6" s="417" t="s">
        <v>333</v>
      </c>
    </row>
    <row r="7" spans="2:7" s="10" customFormat="1" ht="9" customHeight="1" thickBot="1" x14ac:dyDescent="0.35">
      <c r="C7" s="78"/>
      <c r="D7" s="140"/>
      <c r="E7" s="53"/>
      <c r="F7" s="53"/>
    </row>
    <row r="8" spans="2:7" s="132" customFormat="1" ht="15" customHeight="1" x14ac:dyDescent="0.2">
      <c r="B8" s="418" t="s">
        <v>3628</v>
      </c>
      <c r="C8" s="564">
        <v>1</v>
      </c>
      <c r="D8" s="563" t="s">
        <v>3390</v>
      </c>
      <c r="E8" s="408">
        <f>E9+E52+E95+E138</f>
        <v>0</v>
      </c>
      <c r="F8" s="409">
        <f>F9+F52+F95+F138</f>
        <v>0</v>
      </c>
    </row>
    <row r="9" spans="2:7" s="93" customFormat="1" ht="15" customHeight="1" x14ac:dyDescent="0.2">
      <c r="B9" s="60" t="s">
        <v>3629</v>
      </c>
      <c r="C9" s="565">
        <v>2</v>
      </c>
      <c r="D9" s="168" t="s">
        <v>440</v>
      </c>
      <c r="E9" s="155">
        <f>E10+E31</f>
        <v>0</v>
      </c>
      <c r="F9" s="209">
        <f>F10+F31</f>
        <v>0</v>
      </c>
    </row>
    <row r="10" spans="2:7" s="30" customFormat="1" ht="15" customHeight="1" outlineLevel="1" x14ac:dyDescent="0.2">
      <c r="B10" s="60" t="s">
        <v>3630</v>
      </c>
      <c r="C10" s="499">
        <v>2.1</v>
      </c>
      <c r="D10" s="162" t="s">
        <v>35</v>
      </c>
      <c r="E10" s="91">
        <f>SUM(E11:E30)</f>
        <v>0</v>
      </c>
      <c r="F10" s="92">
        <f>SUM(F11:F30)</f>
        <v>0</v>
      </c>
    </row>
    <row r="11" spans="2:7" s="165" customFormat="1" ht="15" customHeight="1" outlineLevel="2" x14ac:dyDescent="0.2">
      <c r="B11" s="60" t="s">
        <v>3631</v>
      </c>
      <c r="C11" s="549" t="s">
        <v>448</v>
      </c>
      <c r="D11" s="166" t="s">
        <v>299</v>
      </c>
      <c r="E11" s="173"/>
      <c r="F11" s="174"/>
      <c r="G11" s="149"/>
    </row>
    <row r="12" spans="2:7" s="165" customFormat="1" ht="15" customHeight="1" outlineLevel="2" x14ac:dyDescent="0.2">
      <c r="B12" s="60" t="s">
        <v>3632</v>
      </c>
      <c r="C12" s="549" t="s">
        <v>449</v>
      </c>
      <c r="D12" s="166" t="s">
        <v>299</v>
      </c>
      <c r="E12" s="173"/>
      <c r="F12" s="174"/>
      <c r="G12" s="149"/>
    </row>
    <row r="13" spans="2:7" s="165" customFormat="1" ht="15" customHeight="1" outlineLevel="2" x14ac:dyDescent="0.2">
      <c r="B13" s="60" t="s">
        <v>3633</v>
      </c>
      <c r="C13" s="549" t="s">
        <v>562</v>
      </c>
      <c r="D13" s="166" t="s">
        <v>299</v>
      </c>
      <c r="E13" s="173"/>
      <c r="F13" s="174"/>
      <c r="G13" s="149"/>
    </row>
    <row r="14" spans="2:7" s="165" customFormat="1" ht="15" customHeight="1" outlineLevel="2" x14ac:dyDescent="0.2">
      <c r="B14" s="60" t="s">
        <v>3634</v>
      </c>
      <c r="C14" s="549" t="s">
        <v>563</v>
      </c>
      <c r="D14" s="166" t="s">
        <v>299</v>
      </c>
      <c r="E14" s="173"/>
      <c r="F14" s="174"/>
      <c r="G14" s="149"/>
    </row>
    <row r="15" spans="2:7" s="165" customFormat="1" ht="15" customHeight="1" outlineLevel="2" x14ac:dyDescent="0.2">
      <c r="B15" s="60" t="s">
        <v>3635</v>
      </c>
      <c r="C15" s="549" t="s">
        <v>564</v>
      </c>
      <c r="D15" s="166" t="s">
        <v>299</v>
      </c>
      <c r="E15" s="173"/>
      <c r="F15" s="174"/>
      <c r="G15" s="149"/>
    </row>
    <row r="16" spans="2:7" s="165" customFormat="1" ht="15" customHeight="1" outlineLevel="2" x14ac:dyDescent="0.2">
      <c r="B16" s="60" t="s">
        <v>3636</v>
      </c>
      <c r="C16" s="549" t="s">
        <v>565</v>
      </c>
      <c r="D16" s="166" t="s">
        <v>299</v>
      </c>
      <c r="E16" s="173"/>
      <c r="F16" s="174"/>
      <c r="G16" s="149"/>
    </row>
    <row r="17" spans="2:7" s="165" customFormat="1" ht="15" customHeight="1" outlineLevel="2" x14ac:dyDescent="0.2">
      <c r="B17" s="60" t="s">
        <v>3637</v>
      </c>
      <c r="C17" s="549" t="s">
        <v>566</v>
      </c>
      <c r="D17" s="166" t="s">
        <v>299</v>
      </c>
      <c r="E17" s="173"/>
      <c r="F17" s="174"/>
      <c r="G17" s="149"/>
    </row>
    <row r="18" spans="2:7" s="165" customFormat="1" ht="15" customHeight="1" outlineLevel="2" x14ac:dyDescent="0.2">
      <c r="B18" s="60" t="s">
        <v>3638</v>
      </c>
      <c r="C18" s="549" t="s">
        <v>567</v>
      </c>
      <c r="D18" s="166" t="s">
        <v>299</v>
      </c>
      <c r="E18" s="173"/>
      <c r="F18" s="174"/>
      <c r="G18" s="149"/>
    </row>
    <row r="19" spans="2:7" s="165" customFormat="1" ht="15" customHeight="1" outlineLevel="2" x14ac:dyDescent="0.2">
      <c r="B19" s="60" t="s">
        <v>3639</v>
      </c>
      <c r="C19" s="549" t="s">
        <v>568</v>
      </c>
      <c r="D19" s="166" t="s">
        <v>299</v>
      </c>
      <c r="E19" s="173"/>
      <c r="F19" s="174"/>
      <c r="G19" s="149"/>
    </row>
    <row r="20" spans="2:7" s="165" customFormat="1" ht="15" customHeight="1" outlineLevel="2" x14ac:dyDescent="0.2">
      <c r="B20" s="60" t="s">
        <v>3640</v>
      </c>
      <c r="C20" s="549" t="s">
        <v>569</v>
      </c>
      <c r="D20" s="166" t="s">
        <v>299</v>
      </c>
      <c r="E20" s="173"/>
      <c r="F20" s="174"/>
      <c r="G20" s="149"/>
    </row>
    <row r="21" spans="2:7" s="165" customFormat="1" ht="15" customHeight="1" outlineLevel="2" x14ac:dyDescent="0.2">
      <c r="B21" s="60" t="s">
        <v>3641</v>
      </c>
      <c r="C21" s="549" t="s">
        <v>570</v>
      </c>
      <c r="D21" s="166" t="s">
        <v>299</v>
      </c>
      <c r="E21" s="173"/>
      <c r="F21" s="174"/>
      <c r="G21" s="149"/>
    </row>
    <row r="22" spans="2:7" s="165" customFormat="1" ht="15" customHeight="1" outlineLevel="2" x14ac:dyDescent="0.2">
      <c r="B22" s="60" t="s">
        <v>3642</v>
      </c>
      <c r="C22" s="549" t="s">
        <v>571</v>
      </c>
      <c r="D22" s="166" t="s">
        <v>299</v>
      </c>
      <c r="E22" s="173"/>
      <c r="F22" s="174"/>
      <c r="G22" s="149"/>
    </row>
    <row r="23" spans="2:7" s="165" customFormat="1" ht="15" customHeight="1" outlineLevel="2" x14ac:dyDescent="0.2">
      <c r="B23" s="60" t="s">
        <v>3643</v>
      </c>
      <c r="C23" s="549" t="s">
        <v>572</v>
      </c>
      <c r="D23" s="166" t="s">
        <v>299</v>
      </c>
      <c r="E23" s="173"/>
      <c r="F23" s="174"/>
      <c r="G23" s="149"/>
    </row>
    <row r="24" spans="2:7" s="165" customFormat="1" ht="15" customHeight="1" outlineLevel="2" x14ac:dyDescent="0.2">
      <c r="B24" s="60" t="s">
        <v>3644</v>
      </c>
      <c r="C24" s="549" t="s">
        <v>573</v>
      </c>
      <c r="D24" s="166" t="s">
        <v>299</v>
      </c>
      <c r="E24" s="173"/>
      <c r="F24" s="174"/>
      <c r="G24" s="149"/>
    </row>
    <row r="25" spans="2:7" s="165" customFormat="1" ht="15" customHeight="1" outlineLevel="2" x14ac:dyDescent="0.2">
      <c r="B25" s="60" t="s">
        <v>3645</v>
      </c>
      <c r="C25" s="549" t="s">
        <v>574</v>
      </c>
      <c r="D25" s="166" t="s">
        <v>299</v>
      </c>
      <c r="E25" s="173"/>
      <c r="F25" s="174"/>
      <c r="G25" s="149"/>
    </row>
    <row r="26" spans="2:7" s="165" customFormat="1" ht="15" customHeight="1" outlineLevel="2" x14ac:dyDescent="0.2">
      <c r="B26" s="60" t="s">
        <v>3646</v>
      </c>
      <c r="C26" s="549" t="s">
        <v>575</v>
      </c>
      <c r="D26" s="166" t="s">
        <v>299</v>
      </c>
      <c r="E26" s="173"/>
      <c r="F26" s="174"/>
      <c r="G26" s="149"/>
    </row>
    <row r="27" spans="2:7" s="165" customFormat="1" ht="15" customHeight="1" outlineLevel="2" x14ac:dyDescent="0.2">
      <c r="B27" s="60" t="s">
        <v>3647</v>
      </c>
      <c r="C27" s="549" t="s">
        <v>576</v>
      </c>
      <c r="D27" s="166" t="s">
        <v>299</v>
      </c>
      <c r="E27" s="173"/>
      <c r="F27" s="174"/>
      <c r="G27" s="149"/>
    </row>
    <row r="28" spans="2:7" s="165" customFormat="1" ht="15" customHeight="1" outlineLevel="2" x14ac:dyDescent="0.2">
      <c r="B28" s="60" t="s">
        <v>3648</v>
      </c>
      <c r="C28" s="549" t="s">
        <v>577</v>
      </c>
      <c r="D28" s="166" t="s">
        <v>299</v>
      </c>
      <c r="E28" s="173"/>
      <c r="F28" s="174"/>
      <c r="G28" s="149"/>
    </row>
    <row r="29" spans="2:7" s="165" customFormat="1" ht="15" customHeight="1" outlineLevel="2" x14ac:dyDescent="0.2">
      <c r="B29" s="60" t="s">
        <v>3649</v>
      </c>
      <c r="C29" s="549" t="s">
        <v>578</v>
      </c>
      <c r="D29" s="166" t="s">
        <v>299</v>
      </c>
      <c r="E29" s="173"/>
      <c r="F29" s="174"/>
      <c r="G29" s="149"/>
    </row>
    <row r="30" spans="2:7" s="165" customFormat="1" ht="15" customHeight="1" outlineLevel="2" x14ac:dyDescent="0.2">
      <c r="B30" s="60" t="s">
        <v>3650</v>
      </c>
      <c r="C30" s="549" t="s">
        <v>579</v>
      </c>
      <c r="D30" s="166" t="s">
        <v>299</v>
      </c>
      <c r="E30" s="154"/>
      <c r="F30" s="175"/>
      <c r="G30" s="149"/>
    </row>
    <row r="31" spans="2:7" s="138" customFormat="1" ht="15" customHeight="1" outlineLevel="1" x14ac:dyDescent="0.2">
      <c r="B31" s="60" t="s">
        <v>3651</v>
      </c>
      <c r="C31" s="499">
        <v>2.2000000000000002</v>
      </c>
      <c r="D31" s="162" t="s">
        <v>36</v>
      </c>
      <c r="E31" s="91">
        <f>SUM(E32:E51)</f>
        <v>0</v>
      </c>
      <c r="F31" s="92">
        <f>SUM(F32:F51)</f>
        <v>0</v>
      </c>
      <c r="G31" s="30"/>
    </row>
    <row r="32" spans="2:7" s="165" customFormat="1" ht="15" customHeight="1" outlineLevel="2" x14ac:dyDescent="0.2">
      <c r="B32" s="60" t="s">
        <v>3652</v>
      </c>
      <c r="C32" s="549" t="s">
        <v>580</v>
      </c>
      <c r="D32" s="166" t="s">
        <v>299</v>
      </c>
      <c r="E32" s="173"/>
      <c r="F32" s="174"/>
      <c r="G32" s="149"/>
    </row>
    <row r="33" spans="2:7" s="165" customFormat="1" ht="15" customHeight="1" outlineLevel="2" x14ac:dyDescent="0.2">
      <c r="B33" s="60" t="s">
        <v>3653</v>
      </c>
      <c r="C33" s="549" t="s">
        <v>581</v>
      </c>
      <c r="D33" s="166" t="s">
        <v>299</v>
      </c>
      <c r="E33" s="173"/>
      <c r="F33" s="174"/>
      <c r="G33" s="149"/>
    </row>
    <row r="34" spans="2:7" s="165" customFormat="1" ht="15" customHeight="1" outlineLevel="2" x14ac:dyDescent="0.2">
      <c r="B34" s="60" t="s">
        <v>3654</v>
      </c>
      <c r="C34" s="549" t="s">
        <v>582</v>
      </c>
      <c r="D34" s="166" t="s">
        <v>299</v>
      </c>
      <c r="E34" s="173"/>
      <c r="F34" s="174"/>
    </row>
    <row r="35" spans="2:7" s="165" customFormat="1" ht="15" customHeight="1" outlineLevel="2" x14ac:dyDescent="0.2">
      <c r="B35" s="60" t="s">
        <v>3655</v>
      </c>
      <c r="C35" s="549" t="s">
        <v>583</v>
      </c>
      <c r="D35" s="166" t="s">
        <v>299</v>
      </c>
      <c r="E35" s="173"/>
      <c r="F35" s="174"/>
    </row>
    <row r="36" spans="2:7" s="165" customFormat="1" ht="15" customHeight="1" outlineLevel="2" x14ac:dyDescent="0.2">
      <c r="B36" s="60" t="s">
        <v>3656</v>
      </c>
      <c r="C36" s="549" t="s">
        <v>584</v>
      </c>
      <c r="D36" s="166" t="s">
        <v>299</v>
      </c>
      <c r="E36" s="173"/>
      <c r="F36" s="174"/>
    </row>
    <row r="37" spans="2:7" s="165" customFormat="1" ht="15" customHeight="1" outlineLevel="2" x14ac:dyDescent="0.2">
      <c r="B37" s="60" t="s">
        <v>3657</v>
      </c>
      <c r="C37" s="549" t="s">
        <v>585</v>
      </c>
      <c r="D37" s="166" t="s">
        <v>299</v>
      </c>
      <c r="E37" s="173"/>
      <c r="F37" s="174"/>
    </row>
    <row r="38" spans="2:7" s="165" customFormat="1" ht="15" customHeight="1" outlineLevel="2" x14ac:dyDescent="0.2">
      <c r="B38" s="60" t="s">
        <v>3658</v>
      </c>
      <c r="C38" s="549" t="s">
        <v>586</v>
      </c>
      <c r="D38" s="166" t="s">
        <v>299</v>
      </c>
      <c r="E38" s="173"/>
      <c r="F38" s="174"/>
    </row>
    <row r="39" spans="2:7" s="165" customFormat="1" ht="15" customHeight="1" outlineLevel="2" x14ac:dyDescent="0.2">
      <c r="B39" s="60" t="s">
        <v>3659</v>
      </c>
      <c r="C39" s="549" t="s">
        <v>587</v>
      </c>
      <c r="D39" s="166" t="s">
        <v>299</v>
      </c>
      <c r="E39" s="173"/>
      <c r="F39" s="174"/>
    </row>
    <row r="40" spans="2:7" s="165" customFormat="1" ht="15" customHeight="1" outlineLevel="2" x14ac:dyDescent="0.2">
      <c r="B40" s="60" t="s">
        <v>3660</v>
      </c>
      <c r="C40" s="549" t="s">
        <v>588</v>
      </c>
      <c r="D40" s="166" t="s">
        <v>299</v>
      </c>
      <c r="E40" s="173"/>
      <c r="F40" s="174"/>
    </row>
    <row r="41" spans="2:7" s="165" customFormat="1" ht="15" customHeight="1" outlineLevel="2" x14ac:dyDescent="0.2">
      <c r="B41" s="60" t="s">
        <v>3661</v>
      </c>
      <c r="C41" s="549" t="s">
        <v>589</v>
      </c>
      <c r="D41" s="166" t="s">
        <v>299</v>
      </c>
      <c r="E41" s="173"/>
      <c r="F41" s="174"/>
    </row>
    <row r="42" spans="2:7" s="165" customFormat="1" ht="15" customHeight="1" outlineLevel="2" x14ac:dyDescent="0.2">
      <c r="B42" s="60" t="s">
        <v>3662</v>
      </c>
      <c r="C42" s="549" t="s">
        <v>590</v>
      </c>
      <c r="D42" s="166" t="s">
        <v>299</v>
      </c>
      <c r="E42" s="173"/>
      <c r="F42" s="174"/>
    </row>
    <row r="43" spans="2:7" s="165" customFormat="1" ht="15" customHeight="1" outlineLevel="2" x14ac:dyDescent="0.2">
      <c r="B43" s="60" t="s">
        <v>3663</v>
      </c>
      <c r="C43" s="549" t="s">
        <v>591</v>
      </c>
      <c r="D43" s="166" t="s">
        <v>299</v>
      </c>
      <c r="E43" s="173"/>
      <c r="F43" s="174"/>
    </row>
    <row r="44" spans="2:7" s="165" customFormat="1" ht="15" customHeight="1" outlineLevel="2" x14ac:dyDescent="0.2">
      <c r="B44" s="60" t="s">
        <v>3664</v>
      </c>
      <c r="C44" s="549" t="s">
        <v>592</v>
      </c>
      <c r="D44" s="166" t="s">
        <v>299</v>
      </c>
      <c r="E44" s="173"/>
      <c r="F44" s="174"/>
    </row>
    <row r="45" spans="2:7" s="165" customFormat="1" ht="15" customHeight="1" outlineLevel="2" x14ac:dyDescent="0.2">
      <c r="B45" s="60" t="s">
        <v>3665</v>
      </c>
      <c r="C45" s="549" t="s">
        <v>593</v>
      </c>
      <c r="D45" s="166" t="s">
        <v>299</v>
      </c>
      <c r="E45" s="173"/>
      <c r="F45" s="174"/>
    </row>
    <row r="46" spans="2:7" s="165" customFormat="1" ht="15" customHeight="1" outlineLevel="2" x14ac:dyDescent="0.2">
      <c r="B46" s="60" t="s">
        <v>3666</v>
      </c>
      <c r="C46" s="549" t="s">
        <v>594</v>
      </c>
      <c r="D46" s="166" t="s">
        <v>299</v>
      </c>
      <c r="E46" s="173"/>
      <c r="F46" s="174"/>
    </row>
    <row r="47" spans="2:7" s="165" customFormat="1" ht="15" customHeight="1" outlineLevel="2" x14ac:dyDescent="0.2">
      <c r="B47" s="60" t="s">
        <v>3667</v>
      </c>
      <c r="C47" s="549" t="s">
        <v>595</v>
      </c>
      <c r="D47" s="166" t="s">
        <v>299</v>
      </c>
      <c r="E47" s="173"/>
      <c r="F47" s="174"/>
    </row>
    <row r="48" spans="2:7" s="165" customFormat="1" ht="15" customHeight="1" outlineLevel="2" x14ac:dyDescent="0.2">
      <c r="B48" s="60" t="s">
        <v>3668</v>
      </c>
      <c r="C48" s="549" t="s">
        <v>596</v>
      </c>
      <c r="D48" s="166" t="s">
        <v>299</v>
      </c>
      <c r="E48" s="173"/>
      <c r="F48" s="174"/>
    </row>
    <row r="49" spans="2:7" s="165" customFormat="1" ht="15" customHeight="1" outlineLevel="2" x14ac:dyDescent="0.2">
      <c r="B49" s="60" t="s">
        <v>3669</v>
      </c>
      <c r="C49" s="549" t="s">
        <v>597</v>
      </c>
      <c r="D49" s="166" t="s">
        <v>299</v>
      </c>
      <c r="E49" s="173"/>
      <c r="F49" s="174"/>
    </row>
    <row r="50" spans="2:7" s="165" customFormat="1" ht="15" customHeight="1" outlineLevel="2" x14ac:dyDescent="0.2">
      <c r="B50" s="60" t="s">
        <v>3670</v>
      </c>
      <c r="C50" s="549" t="s">
        <v>598</v>
      </c>
      <c r="D50" s="166" t="s">
        <v>299</v>
      </c>
      <c r="E50" s="173"/>
      <c r="F50" s="174"/>
    </row>
    <row r="51" spans="2:7" s="165" customFormat="1" ht="15" customHeight="1" outlineLevel="2" x14ac:dyDescent="0.2">
      <c r="B51" s="60" t="s">
        <v>3671</v>
      </c>
      <c r="C51" s="549" t="s">
        <v>599</v>
      </c>
      <c r="D51" s="166" t="s">
        <v>299</v>
      </c>
      <c r="E51" s="173"/>
      <c r="F51" s="174"/>
    </row>
    <row r="52" spans="2:7" s="159" customFormat="1" ht="15" customHeight="1" x14ac:dyDescent="0.2">
      <c r="B52" s="60" t="s">
        <v>3672</v>
      </c>
      <c r="C52" s="565">
        <v>3</v>
      </c>
      <c r="D52" s="168" t="s">
        <v>290</v>
      </c>
      <c r="E52" s="155">
        <f>E53+E74</f>
        <v>0</v>
      </c>
      <c r="F52" s="209">
        <f>F53+F74</f>
        <v>0</v>
      </c>
    </row>
    <row r="53" spans="2:7" s="138" customFormat="1" ht="15" customHeight="1" outlineLevel="1" x14ac:dyDescent="0.2">
      <c r="B53" s="60" t="s">
        <v>3673</v>
      </c>
      <c r="C53" s="499">
        <v>3.1</v>
      </c>
      <c r="D53" s="162" t="s">
        <v>35</v>
      </c>
      <c r="E53" s="91">
        <f>SUM(E54:E73)</f>
        <v>0</v>
      </c>
      <c r="F53" s="92">
        <f>SUM(F54:F73)</f>
        <v>0</v>
      </c>
      <c r="G53" s="30"/>
    </row>
    <row r="54" spans="2:7" s="165" customFormat="1" ht="15" customHeight="1" outlineLevel="2" x14ac:dyDescent="0.2">
      <c r="B54" s="60" t="s">
        <v>3674</v>
      </c>
      <c r="C54" s="549" t="s">
        <v>450</v>
      </c>
      <c r="D54" s="166" t="s">
        <v>299</v>
      </c>
      <c r="E54" s="173"/>
      <c r="F54" s="174"/>
      <c r="G54" s="149"/>
    </row>
    <row r="55" spans="2:7" s="165" customFormat="1" ht="15" customHeight="1" outlineLevel="2" x14ac:dyDescent="0.2">
      <c r="B55" s="60" t="s">
        <v>3675</v>
      </c>
      <c r="C55" s="549" t="s">
        <v>451</v>
      </c>
      <c r="D55" s="166" t="s">
        <v>299</v>
      </c>
      <c r="E55" s="173"/>
      <c r="F55" s="174"/>
      <c r="G55" s="149"/>
    </row>
    <row r="56" spans="2:7" s="165" customFormat="1" ht="15" customHeight="1" outlineLevel="2" x14ac:dyDescent="0.2">
      <c r="B56" s="60" t="s">
        <v>3676</v>
      </c>
      <c r="C56" s="549" t="s">
        <v>458</v>
      </c>
      <c r="D56" s="166" t="s">
        <v>299</v>
      </c>
      <c r="E56" s="173"/>
      <c r="F56" s="174"/>
      <c r="G56" s="149"/>
    </row>
    <row r="57" spans="2:7" s="165" customFormat="1" ht="15" customHeight="1" outlineLevel="2" x14ac:dyDescent="0.2">
      <c r="B57" s="60" t="s">
        <v>3677</v>
      </c>
      <c r="C57" s="549" t="s">
        <v>600</v>
      </c>
      <c r="D57" s="166" t="s">
        <v>299</v>
      </c>
      <c r="E57" s="173"/>
      <c r="F57" s="174"/>
      <c r="G57" s="149"/>
    </row>
    <row r="58" spans="2:7" s="165" customFormat="1" ht="15" customHeight="1" outlineLevel="2" x14ac:dyDescent="0.2">
      <c r="B58" s="60" t="s">
        <v>3678</v>
      </c>
      <c r="C58" s="549" t="s">
        <v>601</v>
      </c>
      <c r="D58" s="166" t="s">
        <v>299</v>
      </c>
      <c r="E58" s="173"/>
      <c r="F58" s="174"/>
      <c r="G58" s="149"/>
    </row>
    <row r="59" spans="2:7" s="165" customFormat="1" ht="15" customHeight="1" outlineLevel="2" x14ac:dyDescent="0.2">
      <c r="B59" s="60" t="s">
        <v>3679</v>
      </c>
      <c r="C59" s="549" t="s">
        <v>602</v>
      </c>
      <c r="D59" s="166" t="s">
        <v>299</v>
      </c>
      <c r="E59" s="173"/>
      <c r="F59" s="174"/>
      <c r="G59" s="149"/>
    </row>
    <row r="60" spans="2:7" s="165" customFormat="1" ht="15" customHeight="1" outlineLevel="2" x14ac:dyDescent="0.2">
      <c r="B60" s="60" t="s">
        <v>3680</v>
      </c>
      <c r="C60" s="549" t="s">
        <v>603</v>
      </c>
      <c r="D60" s="166" t="s">
        <v>299</v>
      </c>
      <c r="E60" s="173"/>
      <c r="F60" s="174"/>
      <c r="G60" s="149"/>
    </row>
    <row r="61" spans="2:7" s="165" customFormat="1" ht="15" customHeight="1" outlineLevel="2" x14ac:dyDescent="0.2">
      <c r="B61" s="60" t="s">
        <v>3681</v>
      </c>
      <c r="C61" s="549" t="s">
        <v>604</v>
      </c>
      <c r="D61" s="166" t="s">
        <v>299</v>
      </c>
      <c r="E61" s="173"/>
      <c r="F61" s="174"/>
      <c r="G61" s="149"/>
    </row>
    <row r="62" spans="2:7" s="165" customFormat="1" ht="15" customHeight="1" outlineLevel="2" x14ac:dyDescent="0.2">
      <c r="B62" s="60" t="s">
        <v>3682</v>
      </c>
      <c r="C62" s="549" t="s">
        <v>605</v>
      </c>
      <c r="D62" s="166" t="s">
        <v>299</v>
      </c>
      <c r="E62" s="173"/>
      <c r="F62" s="174"/>
      <c r="G62" s="149"/>
    </row>
    <row r="63" spans="2:7" s="165" customFormat="1" ht="15" customHeight="1" outlineLevel="2" x14ac:dyDescent="0.2">
      <c r="B63" s="60" t="s">
        <v>3683</v>
      </c>
      <c r="C63" s="549" t="s">
        <v>606</v>
      </c>
      <c r="D63" s="166" t="s">
        <v>299</v>
      </c>
      <c r="E63" s="173"/>
      <c r="F63" s="174"/>
      <c r="G63" s="149"/>
    </row>
    <row r="64" spans="2:7" s="165" customFormat="1" ht="15" customHeight="1" outlineLevel="2" x14ac:dyDescent="0.2">
      <c r="B64" s="60" t="s">
        <v>3684</v>
      </c>
      <c r="C64" s="549" t="s">
        <v>607</v>
      </c>
      <c r="D64" s="166" t="s">
        <v>299</v>
      </c>
      <c r="E64" s="173"/>
      <c r="F64" s="174"/>
      <c r="G64" s="149"/>
    </row>
    <row r="65" spans="2:7" s="165" customFormat="1" ht="15" customHeight="1" outlineLevel="2" x14ac:dyDescent="0.2">
      <c r="B65" s="60" t="s">
        <v>3685</v>
      </c>
      <c r="C65" s="549" t="s">
        <v>608</v>
      </c>
      <c r="D65" s="166" t="s">
        <v>299</v>
      </c>
      <c r="E65" s="173"/>
      <c r="F65" s="174"/>
      <c r="G65" s="149"/>
    </row>
    <row r="66" spans="2:7" s="165" customFormat="1" ht="15" customHeight="1" outlineLevel="2" x14ac:dyDescent="0.2">
      <c r="B66" s="60" t="s">
        <v>3686</v>
      </c>
      <c r="C66" s="549" t="s">
        <v>609</v>
      </c>
      <c r="D66" s="166" t="s">
        <v>299</v>
      </c>
      <c r="E66" s="173"/>
      <c r="F66" s="174"/>
      <c r="G66" s="149"/>
    </row>
    <row r="67" spans="2:7" s="165" customFormat="1" ht="15" customHeight="1" outlineLevel="2" x14ac:dyDescent="0.2">
      <c r="B67" s="60" t="s">
        <v>3687</v>
      </c>
      <c r="C67" s="549" t="s">
        <v>610</v>
      </c>
      <c r="D67" s="166" t="s">
        <v>299</v>
      </c>
      <c r="E67" s="173"/>
      <c r="F67" s="174"/>
      <c r="G67" s="149"/>
    </row>
    <row r="68" spans="2:7" s="165" customFormat="1" ht="15" customHeight="1" outlineLevel="2" x14ac:dyDescent="0.2">
      <c r="B68" s="60" t="s">
        <v>3688</v>
      </c>
      <c r="C68" s="549" t="s">
        <v>611</v>
      </c>
      <c r="D68" s="166" t="s">
        <v>299</v>
      </c>
      <c r="E68" s="173"/>
      <c r="F68" s="174"/>
      <c r="G68" s="149"/>
    </row>
    <row r="69" spans="2:7" s="165" customFormat="1" ht="15" customHeight="1" outlineLevel="2" x14ac:dyDescent="0.2">
      <c r="B69" s="60" t="s">
        <v>3689</v>
      </c>
      <c r="C69" s="549" t="s">
        <v>612</v>
      </c>
      <c r="D69" s="166" t="s">
        <v>299</v>
      </c>
      <c r="E69" s="173"/>
      <c r="F69" s="174"/>
      <c r="G69" s="149"/>
    </row>
    <row r="70" spans="2:7" s="165" customFormat="1" ht="15" customHeight="1" outlineLevel="2" x14ac:dyDescent="0.2">
      <c r="B70" s="60" t="s">
        <v>3690</v>
      </c>
      <c r="C70" s="549" t="s">
        <v>613</v>
      </c>
      <c r="D70" s="166" t="s">
        <v>299</v>
      </c>
      <c r="E70" s="173"/>
      <c r="F70" s="174"/>
      <c r="G70" s="149"/>
    </row>
    <row r="71" spans="2:7" s="165" customFormat="1" ht="15" customHeight="1" outlineLevel="2" x14ac:dyDescent="0.2">
      <c r="B71" s="60" t="s">
        <v>3691</v>
      </c>
      <c r="C71" s="549" t="s">
        <v>614</v>
      </c>
      <c r="D71" s="166" t="s">
        <v>299</v>
      </c>
      <c r="E71" s="173"/>
      <c r="F71" s="174"/>
      <c r="G71" s="149"/>
    </row>
    <row r="72" spans="2:7" s="165" customFormat="1" ht="15" customHeight="1" outlineLevel="2" x14ac:dyDescent="0.2">
      <c r="B72" s="60" t="s">
        <v>3692</v>
      </c>
      <c r="C72" s="549" t="s">
        <v>615</v>
      </c>
      <c r="D72" s="166" t="s">
        <v>299</v>
      </c>
      <c r="E72" s="173"/>
      <c r="F72" s="174"/>
      <c r="G72" s="149"/>
    </row>
    <row r="73" spans="2:7" s="165" customFormat="1" ht="15" customHeight="1" outlineLevel="2" x14ac:dyDescent="0.2">
      <c r="B73" s="60" t="s">
        <v>3693</v>
      </c>
      <c r="C73" s="549" t="s">
        <v>616</v>
      </c>
      <c r="D73" s="166" t="s">
        <v>299</v>
      </c>
      <c r="E73" s="173"/>
      <c r="F73" s="174"/>
      <c r="G73" s="149"/>
    </row>
    <row r="74" spans="2:7" s="138" customFormat="1" ht="15" customHeight="1" outlineLevel="1" x14ac:dyDescent="0.2">
      <c r="B74" s="60" t="s">
        <v>3694</v>
      </c>
      <c r="C74" s="499">
        <v>3.2</v>
      </c>
      <c r="D74" s="162" t="s">
        <v>36</v>
      </c>
      <c r="E74" s="91">
        <f>SUM(E75:E94)</f>
        <v>0</v>
      </c>
      <c r="F74" s="92">
        <f>SUM(F75:F94)</f>
        <v>0</v>
      </c>
      <c r="G74" s="30"/>
    </row>
    <row r="75" spans="2:7" s="165" customFormat="1" ht="15" customHeight="1" outlineLevel="2" x14ac:dyDescent="0.2">
      <c r="B75" s="60" t="s">
        <v>3695</v>
      </c>
      <c r="C75" s="549" t="s">
        <v>454</v>
      </c>
      <c r="D75" s="166" t="s">
        <v>299</v>
      </c>
      <c r="E75" s="173"/>
      <c r="F75" s="174"/>
      <c r="G75" s="149"/>
    </row>
    <row r="76" spans="2:7" s="165" customFormat="1" ht="15" customHeight="1" outlineLevel="2" x14ac:dyDescent="0.2">
      <c r="B76" s="60" t="s">
        <v>3696</v>
      </c>
      <c r="C76" s="549" t="s">
        <v>455</v>
      </c>
      <c r="D76" s="166" t="s">
        <v>299</v>
      </c>
      <c r="E76" s="173"/>
      <c r="F76" s="174"/>
      <c r="G76" s="149"/>
    </row>
    <row r="77" spans="2:7" s="165" customFormat="1" ht="15" customHeight="1" outlineLevel="2" x14ac:dyDescent="0.2">
      <c r="B77" s="60" t="s">
        <v>3697</v>
      </c>
      <c r="C77" s="549" t="s">
        <v>459</v>
      </c>
      <c r="D77" s="166" t="s">
        <v>299</v>
      </c>
      <c r="E77" s="173"/>
      <c r="F77" s="174"/>
      <c r="G77" s="149"/>
    </row>
    <row r="78" spans="2:7" s="165" customFormat="1" ht="15" customHeight="1" outlineLevel="2" x14ac:dyDescent="0.2">
      <c r="B78" s="60" t="s">
        <v>3698</v>
      </c>
      <c r="C78" s="549" t="s">
        <v>617</v>
      </c>
      <c r="D78" s="166" t="s">
        <v>299</v>
      </c>
      <c r="E78" s="173"/>
      <c r="F78" s="174"/>
      <c r="G78" s="149"/>
    </row>
    <row r="79" spans="2:7" s="165" customFormat="1" ht="15" customHeight="1" outlineLevel="2" x14ac:dyDescent="0.2">
      <c r="B79" s="60" t="s">
        <v>3699</v>
      </c>
      <c r="C79" s="549" t="s">
        <v>618</v>
      </c>
      <c r="D79" s="166" t="s">
        <v>299</v>
      </c>
      <c r="E79" s="173"/>
      <c r="F79" s="174"/>
    </row>
    <row r="80" spans="2:7" s="165" customFormat="1" ht="15" customHeight="1" outlineLevel="2" x14ac:dyDescent="0.2">
      <c r="B80" s="60" t="s">
        <v>3700</v>
      </c>
      <c r="C80" s="549" t="s">
        <v>619</v>
      </c>
      <c r="D80" s="166" t="s">
        <v>299</v>
      </c>
      <c r="E80" s="173"/>
      <c r="F80" s="174"/>
    </row>
    <row r="81" spans="2:6" s="165" customFormat="1" ht="15" customHeight="1" outlineLevel="2" x14ac:dyDescent="0.2">
      <c r="B81" s="60" t="s">
        <v>3701</v>
      </c>
      <c r="C81" s="549" t="s">
        <v>620</v>
      </c>
      <c r="D81" s="166" t="s">
        <v>299</v>
      </c>
      <c r="E81" s="173"/>
      <c r="F81" s="174"/>
    </row>
    <row r="82" spans="2:6" s="165" customFormat="1" ht="15" customHeight="1" outlineLevel="2" x14ac:dyDescent="0.2">
      <c r="B82" s="60" t="s">
        <v>3702</v>
      </c>
      <c r="C82" s="549" t="s">
        <v>621</v>
      </c>
      <c r="D82" s="166" t="s">
        <v>299</v>
      </c>
      <c r="E82" s="173"/>
      <c r="F82" s="174"/>
    </row>
    <row r="83" spans="2:6" s="165" customFormat="1" ht="15" customHeight="1" outlineLevel="2" x14ac:dyDescent="0.2">
      <c r="B83" s="60" t="s">
        <v>3703</v>
      </c>
      <c r="C83" s="549" t="s">
        <v>622</v>
      </c>
      <c r="D83" s="166" t="s">
        <v>299</v>
      </c>
      <c r="E83" s="173"/>
      <c r="F83" s="174"/>
    </row>
    <row r="84" spans="2:6" s="165" customFormat="1" ht="15" customHeight="1" outlineLevel="2" x14ac:dyDescent="0.2">
      <c r="B84" s="60" t="s">
        <v>3704</v>
      </c>
      <c r="C84" s="549" t="s">
        <v>623</v>
      </c>
      <c r="D84" s="166" t="s">
        <v>299</v>
      </c>
      <c r="E84" s="173"/>
      <c r="F84" s="174"/>
    </row>
    <row r="85" spans="2:6" s="165" customFormat="1" ht="15" customHeight="1" outlineLevel="2" x14ac:dyDescent="0.2">
      <c r="B85" s="60" t="s">
        <v>3705</v>
      </c>
      <c r="C85" s="549" t="s">
        <v>624</v>
      </c>
      <c r="D85" s="166" t="s">
        <v>299</v>
      </c>
      <c r="E85" s="173"/>
      <c r="F85" s="174"/>
    </row>
    <row r="86" spans="2:6" s="165" customFormat="1" ht="15" customHeight="1" outlineLevel="2" x14ac:dyDescent="0.2">
      <c r="B86" s="60" t="s">
        <v>3706</v>
      </c>
      <c r="C86" s="549" t="s">
        <v>625</v>
      </c>
      <c r="D86" s="166" t="s">
        <v>299</v>
      </c>
      <c r="E86" s="173"/>
      <c r="F86" s="174"/>
    </row>
    <row r="87" spans="2:6" s="165" customFormat="1" ht="15" customHeight="1" outlineLevel="2" x14ac:dyDescent="0.2">
      <c r="B87" s="60" t="s">
        <v>3707</v>
      </c>
      <c r="C87" s="549" t="s">
        <v>626</v>
      </c>
      <c r="D87" s="166" t="s">
        <v>299</v>
      </c>
      <c r="E87" s="173"/>
      <c r="F87" s="174"/>
    </row>
    <row r="88" spans="2:6" s="165" customFormat="1" ht="15" customHeight="1" outlineLevel="2" x14ac:dyDescent="0.2">
      <c r="B88" s="60" t="s">
        <v>3708</v>
      </c>
      <c r="C88" s="549" t="s">
        <v>627</v>
      </c>
      <c r="D88" s="166" t="s">
        <v>299</v>
      </c>
      <c r="E88" s="173"/>
      <c r="F88" s="174"/>
    </row>
    <row r="89" spans="2:6" s="165" customFormat="1" ht="15" customHeight="1" outlineLevel="2" x14ac:dyDescent="0.2">
      <c r="B89" s="60" t="s">
        <v>3709</v>
      </c>
      <c r="C89" s="549" t="s">
        <v>628</v>
      </c>
      <c r="D89" s="166" t="s">
        <v>299</v>
      </c>
      <c r="E89" s="173"/>
      <c r="F89" s="174"/>
    </row>
    <row r="90" spans="2:6" s="165" customFormat="1" ht="15" customHeight="1" outlineLevel="2" x14ac:dyDescent="0.2">
      <c r="B90" s="60" t="s">
        <v>3710</v>
      </c>
      <c r="C90" s="549" t="s">
        <v>629</v>
      </c>
      <c r="D90" s="166" t="s">
        <v>299</v>
      </c>
      <c r="E90" s="173"/>
      <c r="F90" s="174"/>
    </row>
    <row r="91" spans="2:6" s="165" customFormat="1" ht="15" customHeight="1" outlineLevel="2" x14ac:dyDescent="0.2">
      <c r="B91" s="60" t="s">
        <v>3711</v>
      </c>
      <c r="C91" s="549" t="s">
        <v>630</v>
      </c>
      <c r="D91" s="166" t="s">
        <v>299</v>
      </c>
      <c r="E91" s="173"/>
      <c r="F91" s="174"/>
    </row>
    <row r="92" spans="2:6" s="165" customFormat="1" ht="15" customHeight="1" outlineLevel="2" x14ac:dyDescent="0.2">
      <c r="B92" s="60" t="s">
        <v>3712</v>
      </c>
      <c r="C92" s="549" t="s">
        <v>631</v>
      </c>
      <c r="D92" s="166" t="s">
        <v>299</v>
      </c>
      <c r="E92" s="173"/>
      <c r="F92" s="174"/>
    </row>
    <row r="93" spans="2:6" s="165" customFormat="1" ht="15" customHeight="1" outlineLevel="2" x14ac:dyDescent="0.2">
      <c r="B93" s="60" t="s">
        <v>3713</v>
      </c>
      <c r="C93" s="549" t="s">
        <v>632</v>
      </c>
      <c r="D93" s="166" t="s">
        <v>299</v>
      </c>
      <c r="E93" s="173"/>
      <c r="F93" s="174"/>
    </row>
    <row r="94" spans="2:6" s="165" customFormat="1" ht="15" customHeight="1" outlineLevel="2" x14ac:dyDescent="0.2">
      <c r="B94" s="60" t="s">
        <v>3714</v>
      </c>
      <c r="C94" s="549" t="s">
        <v>633</v>
      </c>
      <c r="D94" s="166" t="s">
        <v>299</v>
      </c>
      <c r="E94" s="173"/>
      <c r="F94" s="174"/>
    </row>
    <row r="95" spans="2:6" s="159" customFormat="1" ht="15" customHeight="1" x14ac:dyDescent="0.2">
      <c r="B95" s="60" t="s">
        <v>3715</v>
      </c>
      <c r="C95" s="565">
        <v>4</v>
      </c>
      <c r="D95" s="168" t="s">
        <v>282</v>
      </c>
      <c r="E95" s="155">
        <f>E96+E117</f>
        <v>0</v>
      </c>
      <c r="F95" s="209">
        <f>F96+F117</f>
        <v>0</v>
      </c>
    </row>
    <row r="96" spans="2:6" s="138" customFormat="1" ht="15" customHeight="1" outlineLevel="1" x14ac:dyDescent="0.2">
      <c r="B96" s="60" t="s">
        <v>3716</v>
      </c>
      <c r="C96" s="499">
        <v>4.0999999999999996</v>
      </c>
      <c r="D96" s="162" t="s">
        <v>35</v>
      </c>
      <c r="E96" s="91">
        <f>SUM(E97:E116)</f>
        <v>0</v>
      </c>
      <c r="F96" s="92">
        <f>SUM(F97:F116)</f>
        <v>0</v>
      </c>
    </row>
    <row r="97" spans="2:6" s="165" customFormat="1" ht="15" customHeight="1" outlineLevel="2" x14ac:dyDescent="0.2">
      <c r="B97" s="60" t="s">
        <v>3717</v>
      </c>
      <c r="C97" s="549" t="s">
        <v>443</v>
      </c>
      <c r="D97" s="166" t="s">
        <v>299</v>
      </c>
      <c r="E97" s="173"/>
      <c r="F97" s="174"/>
    </row>
    <row r="98" spans="2:6" s="165" customFormat="1" ht="15" customHeight="1" outlineLevel="2" x14ac:dyDescent="0.2">
      <c r="B98" s="60" t="s">
        <v>3718</v>
      </c>
      <c r="C98" s="549" t="s">
        <v>442</v>
      </c>
      <c r="D98" s="166" t="s">
        <v>299</v>
      </c>
      <c r="E98" s="173"/>
      <c r="F98" s="174"/>
    </row>
    <row r="99" spans="2:6" s="165" customFormat="1" ht="15" customHeight="1" outlineLevel="2" x14ac:dyDescent="0.2">
      <c r="B99" s="60" t="s">
        <v>3719</v>
      </c>
      <c r="C99" s="549" t="s">
        <v>460</v>
      </c>
      <c r="D99" s="166" t="s">
        <v>299</v>
      </c>
      <c r="E99" s="173"/>
      <c r="F99" s="174"/>
    </row>
    <row r="100" spans="2:6" s="165" customFormat="1" ht="15" customHeight="1" outlineLevel="2" x14ac:dyDescent="0.2">
      <c r="B100" s="60" t="s">
        <v>3720</v>
      </c>
      <c r="C100" s="549" t="s">
        <v>634</v>
      </c>
      <c r="D100" s="166" t="s">
        <v>299</v>
      </c>
      <c r="E100" s="173"/>
      <c r="F100" s="174"/>
    </row>
    <row r="101" spans="2:6" s="165" customFormat="1" ht="15" customHeight="1" outlineLevel="2" x14ac:dyDescent="0.2">
      <c r="B101" s="60" t="s">
        <v>3721</v>
      </c>
      <c r="C101" s="549" t="s">
        <v>635</v>
      </c>
      <c r="D101" s="166" t="s">
        <v>299</v>
      </c>
      <c r="E101" s="173"/>
      <c r="F101" s="174"/>
    </row>
    <row r="102" spans="2:6" s="165" customFormat="1" ht="15" customHeight="1" outlineLevel="2" x14ac:dyDescent="0.2">
      <c r="B102" s="60" t="s">
        <v>3722</v>
      </c>
      <c r="C102" s="549" t="s">
        <v>636</v>
      </c>
      <c r="D102" s="166" t="s">
        <v>299</v>
      </c>
      <c r="E102" s="173"/>
      <c r="F102" s="174"/>
    </row>
    <row r="103" spans="2:6" s="165" customFormat="1" ht="15" customHeight="1" outlineLevel="2" x14ac:dyDescent="0.2">
      <c r="B103" s="60" t="s">
        <v>3723</v>
      </c>
      <c r="C103" s="549" t="s">
        <v>637</v>
      </c>
      <c r="D103" s="166" t="s">
        <v>299</v>
      </c>
      <c r="E103" s="173"/>
      <c r="F103" s="174"/>
    </row>
    <row r="104" spans="2:6" s="165" customFormat="1" ht="15" customHeight="1" outlineLevel="2" x14ac:dyDescent="0.2">
      <c r="B104" s="60" t="s">
        <v>3724</v>
      </c>
      <c r="C104" s="549" t="s">
        <v>638</v>
      </c>
      <c r="D104" s="166" t="s">
        <v>299</v>
      </c>
      <c r="E104" s="173"/>
      <c r="F104" s="174"/>
    </row>
    <row r="105" spans="2:6" s="165" customFormat="1" ht="15" customHeight="1" outlineLevel="2" x14ac:dyDescent="0.2">
      <c r="B105" s="60" t="s">
        <v>3725</v>
      </c>
      <c r="C105" s="549" t="s">
        <v>639</v>
      </c>
      <c r="D105" s="166" t="s">
        <v>299</v>
      </c>
      <c r="E105" s="173"/>
      <c r="F105" s="174"/>
    </row>
    <row r="106" spans="2:6" s="165" customFormat="1" ht="15" customHeight="1" outlineLevel="2" x14ac:dyDescent="0.2">
      <c r="B106" s="60" t="s">
        <v>3726</v>
      </c>
      <c r="C106" s="549" t="s">
        <v>640</v>
      </c>
      <c r="D106" s="166" t="s">
        <v>299</v>
      </c>
      <c r="E106" s="173"/>
      <c r="F106" s="174"/>
    </row>
    <row r="107" spans="2:6" s="165" customFormat="1" ht="15" customHeight="1" outlineLevel="2" x14ac:dyDescent="0.2">
      <c r="B107" s="60" t="s">
        <v>3727</v>
      </c>
      <c r="C107" s="549" t="s">
        <v>641</v>
      </c>
      <c r="D107" s="166" t="s">
        <v>299</v>
      </c>
      <c r="E107" s="173"/>
      <c r="F107" s="174"/>
    </row>
    <row r="108" spans="2:6" s="165" customFormat="1" ht="15" customHeight="1" outlineLevel="2" x14ac:dyDescent="0.2">
      <c r="B108" s="60" t="s">
        <v>3728</v>
      </c>
      <c r="C108" s="549" t="s">
        <v>642</v>
      </c>
      <c r="D108" s="166" t="s">
        <v>299</v>
      </c>
      <c r="E108" s="173"/>
      <c r="F108" s="174"/>
    </row>
    <row r="109" spans="2:6" s="165" customFormat="1" ht="15" customHeight="1" outlineLevel="2" x14ac:dyDescent="0.2">
      <c r="B109" s="60" t="s">
        <v>3729</v>
      </c>
      <c r="C109" s="549" t="s">
        <v>643</v>
      </c>
      <c r="D109" s="166" t="s">
        <v>299</v>
      </c>
      <c r="E109" s="173"/>
      <c r="F109" s="174"/>
    </row>
    <row r="110" spans="2:6" s="165" customFormat="1" ht="15" customHeight="1" outlineLevel="2" x14ac:dyDescent="0.2">
      <c r="B110" s="60" t="s">
        <v>3730</v>
      </c>
      <c r="C110" s="549" t="s">
        <v>644</v>
      </c>
      <c r="D110" s="166" t="s">
        <v>299</v>
      </c>
      <c r="E110" s="173"/>
      <c r="F110" s="174"/>
    </row>
    <row r="111" spans="2:6" s="165" customFormat="1" ht="15" customHeight="1" outlineLevel="2" x14ac:dyDescent="0.2">
      <c r="B111" s="60" t="s">
        <v>3731</v>
      </c>
      <c r="C111" s="549" t="s">
        <v>645</v>
      </c>
      <c r="D111" s="166" t="s">
        <v>299</v>
      </c>
      <c r="E111" s="173"/>
      <c r="F111" s="174"/>
    </row>
    <row r="112" spans="2:6" s="165" customFormat="1" ht="15" customHeight="1" outlineLevel="2" x14ac:dyDescent="0.2">
      <c r="B112" s="60" t="s">
        <v>3732</v>
      </c>
      <c r="C112" s="549" t="s">
        <v>646</v>
      </c>
      <c r="D112" s="166" t="s">
        <v>299</v>
      </c>
      <c r="E112" s="173"/>
      <c r="F112" s="174"/>
    </row>
    <row r="113" spans="2:6" s="165" customFormat="1" ht="15" customHeight="1" outlineLevel="2" x14ac:dyDescent="0.2">
      <c r="B113" s="60" t="s">
        <v>3733</v>
      </c>
      <c r="C113" s="549" t="s">
        <v>647</v>
      </c>
      <c r="D113" s="166" t="s">
        <v>299</v>
      </c>
      <c r="E113" s="173"/>
      <c r="F113" s="174"/>
    </row>
    <row r="114" spans="2:6" s="165" customFormat="1" ht="15" customHeight="1" outlineLevel="2" x14ac:dyDescent="0.2">
      <c r="B114" s="60" t="s">
        <v>3734</v>
      </c>
      <c r="C114" s="549" t="s">
        <v>648</v>
      </c>
      <c r="D114" s="166" t="s">
        <v>299</v>
      </c>
      <c r="E114" s="173"/>
      <c r="F114" s="174"/>
    </row>
    <row r="115" spans="2:6" s="165" customFormat="1" ht="15" customHeight="1" outlineLevel="2" x14ac:dyDescent="0.2">
      <c r="B115" s="60" t="s">
        <v>3735</v>
      </c>
      <c r="C115" s="549" t="s">
        <v>649</v>
      </c>
      <c r="D115" s="166" t="s">
        <v>299</v>
      </c>
      <c r="E115" s="173"/>
      <c r="F115" s="174"/>
    </row>
    <row r="116" spans="2:6" s="165" customFormat="1" ht="15" customHeight="1" outlineLevel="2" x14ac:dyDescent="0.2">
      <c r="B116" s="60" t="s">
        <v>3736</v>
      </c>
      <c r="C116" s="549" t="s">
        <v>650</v>
      </c>
      <c r="D116" s="166" t="s">
        <v>299</v>
      </c>
      <c r="E116" s="173"/>
      <c r="F116" s="174"/>
    </row>
    <row r="117" spans="2:6" s="138" customFormat="1" ht="15" customHeight="1" outlineLevel="1" x14ac:dyDescent="0.2">
      <c r="B117" s="60" t="s">
        <v>3737</v>
      </c>
      <c r="C117" s="499">
        <v>4.2</v>
      </c>
      <c r="D117" s="162" t="s">
        <v>36</v>
      </c>
      <c r="E117" s="91">
        <f>SUM(E118:E137)</f>
        <v>0</v>
      </c>
      <c r="F117" s="92">
        <f>SUM(F118:F137)</f>
        <v>0</v>
      </c>
    </row>
    <row r="118" spans="2:6" s="165" customFormat="1" ht="15" customHeight="1" outlineLevel="2" x14ac:dyDescent="0.2">
      <c r="B118" s="60" t="s">
        <v>3738</v>
      </c>
      <c r="C118" s="549" t="s">
        <v>444</v>
      </c>
      <c r="D118" s="166" t="s">
        <v>299</v>
      </c>
      <c r="E118" s="173"/>
      <c r="F118" s="174"/>
    </row>
    <row r="119" spans="2:6" s="165" customFormat="1" ht="15" customHeight="1" outlineLevel="2" x14ac:dyDescent="0.2">
      <c r="B119" s="60" t="s">
        <v>3739</v>
      </c>
      <c r="C119" s="549" t="s">
        <v>445</v>
      </c>
      <c r="D119" s="166" t="s">
        <v>299</v>
      </c>
      <c r="E119" s="173"/>
      <c r="F119" s="174"/>
    </row>
    <row r="120" spans="2:6" s="165" customFormat="1" ht="15" customHeight="1" outlineLevel="2" x14ac:dyDescent="0.2">
      <c r="B120" s="60" t="s">
        <v>3740</v>
      </c>
      <c r="C120" s="549" t="s">
        <v>461</v>
      </c>
      <c r="D120" s="166" t="s">
        <v>299</v>
      </c>
      <c r="E120" s="173"/>
      <c r="F120" s="174"/>
    </row>
    <row r="121" spans="2:6" s="165" customFormat="1" ht="15" customHeight="1" outlineLevel="2" x14ac:dyDescent="0.2">
      <c r="B121" s="60" t="s">
        <v>3741</v>
      </c>
      <c r="C121" s="549" t="s">
        <v>651</v>
      </c>
      <c r="D121" s="166" t="s">
        <v>299</v>
      </c>
      <c r="E121" s="173"/>
      <c r="F121" s="174"/>
    </row>
    <row r="122" spans="2:6" s="165" customFormat="1" ht="15" customHeight="1" outlineLevel="2" x14ac:dyDescent="0.2">
      <c r="B122" s="60" t="s">
        <v>3742</v>
      </c>
      <c r="C122" s="549" t="s">
        <v>652</v>
      </c>
      <c r="D122" s="166" t="s">
        <v>299</v>
      </c>
      <c r="E122" s="173"/>
      <c r="F122" s="174"/>
    </row>
    <row r="123" spans="2:6" s="165" customFormat="1" ht="15" customHeight="1" outlineLevel="2" x14ac:dyDescent="0.2">
      <c r="B123" s="60" t="s">
        <v>3743</v>
      </c>
      <c r="C123" s="549" t="s">
        <v>653</v>
      </c>
      <c r="D123" s="166" t="s">
        <v>299</v>
      </c>
      <c r="E123" s="173"/>
      <c r="F123" s="174"/>
    </row>
    <row r="124" spans="2:6" s="165" customFormat="1" ht="15" customHeight="1" outlineLevel="2" x14ac:dyDescent="0.2">
      <c r="B124" s="60" t="s">
        <v>3744</v>
      </c>
      <c r="C124" s="549" t="s">
        <v>654</v>
      </c>
      <c r="D124" s="166" t="s">
        <v>299</v>
      </c>
      <c r="E124" s="173"/>
      <c r="F124" s="174"/>
    </row>
    <row r="125" spans="2:6" s="165" customFormat="1" ht="15" customHeight="1" outlineLevel="2" x14ac:dyDescent="0.2">
      <c r="B125" s="60" t="s">
        <v>3745</v>
      </c>
      <c r="C125" s="549" t="s">
        <v>655</v>
      </c>
      <c r="D125" s="166" t="s">
        <v>299</v>
      </c>
      <c r="E125" s="173"/>
      <c r="F125" s="174"/>
    </row>
    <row r="126" spans="2:6" s="165" customFormat="1" ht="15" customHeight="1" outlineLevel="2" x14ac:dyDescent="0.2">
      <c r="B126" s="60" t="s">
        <v>3746</v>
      </c>
      <c r="C126" s="549" t="s">
        <v>656</v>
      </c>
      <c r="D126" s="166" t="s">
        <v>299</v>
      </c>
      <c r="E126" s="173"/>
      <c r="F126" s="174"/>
    </row>
    <row r="127" spans="2:6" s="165" customFormat="1" ht="15" customHeight="1" outlineLevel="2" x14ac:dyDescent="0.2">
      <c r="B127" s="60" t="s">
        <v>3747</v>
      </c>
      <c r="C127" s="549" t="s">
        <v>657</v>
      </c>
      <c r="D127" s="166" t="s">
        <v>299</v>
      </c>
      <c r="E127" s="173"/>
      <c r="F127" s="174"/>
    </row>
    <row r="128" spans="2:6" s="165" customFormat="1" ht="15" customHeight="1" outlineLevel="2" x14ac:dyDescent="0.2">
      <c r="B128" s="60" t="s">
        <v>3748</v>
      </c>
      <c r="C128" s="549" t="s">
        <v>658</v>
      </c>
      <c r="D128" s="166" t="s">
        <v>299</v>
      </c>
      <c r="E128" s="173"/>
      <c r="F128" s="174"/>
    </row>
    <row r="129" spans="2:6" s="165" customFormat="1" ht="15" customHeight="1" outlineLevel="2" x14ac:dyDescent="0.2">
      <c r="B129" s="60" t="s">
        <v>3749</v>
      </c>
      <c r="C129" s="549" t="s">
        <v>659</v>
      </c>
      <c r="D129" s="166" t="s">
        <v>299</v>
      </c>
      <c r="E129" s="173"/>
      <c r="F129" s="174"/>
    </row>
    <row r="130" spans="2:6" s="165" customFormat="1" ht="15" customHeight="1" outlineLevel="2" x14ac:dyDescent="0.2">
      <c r="B130" s="60" t="s">
        <v>3750</v>
      </c>
      <c r="C130" s="549" t="s">
        <v>660</v>
      </c>
      <c r="D130" s="166" t="s">
        <v>299</v>
      </c>
      <c r="E130" s="173"/>
      <c r="F130" s="174"/>
    </row>
    <row r="131" spans="2:6" s="165" customFormat="1" ht="15" customHeight="1" outlineLevel="2" x14ac:dyDescent="0.2">
      <c r="B131" s="60" t="s">
        <v>3751</v>
      </c>
      <c r="C131" s="549" t="s">
        <v>661</v>
      </c>
      <c r="D131" s="166" t="s">
        <v>299</v>
      </c>
      <c r="E131" s="173"/>
      <c r="F131" s="174"/>
    </row>
    <row r="132" spans="2:6" s="165" customFormat="1" ht="15" customHeight="1" outlineLevel="2" x14ac:dyDescent="0.2">
      <c r="B132" s="60" t="s">
        <v>3752</v>
      </c>
      <c r="C132" s="549" t="s">
        <v>662</v>
      </c>
      <c r="D132" s="166" t="s">
        <v>299</v>
      </c>
      <c r="E132" s="173"/>
      <c r="F132" s="174"/>
    </row>
    <row r="133" spans="2:6" s="165" customFormat="1" ht="15" customHeight="1" outlineLevel="2" x14ac:dyDescent="0.2">
      <c r="B133" s="60" t="s">
        <v>3753</v>
      </c>
      <c r="C133" s="549" t="s">
        <v>663</v>
      </c>
      <c r="D133" s="166" t="s">
        <v>299</v>
      </c>
      <c r="E133" s="173"/>
      <c r="F133" s="174"/>
    </row>
    <row r="134" spans="2:6" s="165" customFormat="1" ht="15" customHeight="1" outlineLevel="2" x14ac:dyDescent="0.2">
      <c r="B134" s="60" t="s">
        <v>3754</v>
      </c>
      <c r="C134" s="549" t="s">
        <v>664</v>
      </c>
      <c r="D134" s="166" t="s">
        <v>299</v>
      </c>
      <c r="E134" s="173"/>
      <c r="F134" s="174"/>
    </row>
    <row r="135" spans="2:6" s="165" customFormat="1" ht="15" customHeight="1" outlineLevel="2" x14ac:dyDescent="0.2">
      <c r="B135" s="60" t="s">
        <v>3755</v>
      </c>
      <c r="C135" s="549" t="s">
        <v>665</v>
      </c>
      <c r="D135" s="166" t="s">
        <v>299</v>
      </c>
      <c r="E135" s="173"/>
      <c r="F135" s="174"/>
    </row>
    <row r="136" spans="2:6" s="165" customFormat="1" ht="15" customHeight="1" outlineLevel="2" x14ac:dyDescent="0.2">
      <c r="B136" s="60" t="s">
        <v>3756</v>
      </c>
      <c r="C136" s="549" t="s">
        <v>666</v>
      </c>
      <c r="D136" s="166" t="s">
        <v>299</v>
      </c>
      <c r="E136" s="173"/>
      <c r="F136" s="174"/>
    </row>
    <row r="137" spans="2:6" s="165" customFormat="1" ht="15" customHeight="1" outlineLevel="2" x14ac:dyDescent="0.2">
      <c r="B137" s="60" t="s">
        <v>3757</v>
      </c>
      <c r="C137" s="549" t="s">
        <v>667</v>
      </c>
      <c r="D137" s="166" t="s">
        <v>299</v>
      </c>
      <c r="E137" s="173"/>
      <c r="F137" s="174"/>
    </row>
    <row r="138" spans="2:6" s="159" customFormat="1" ht="15" customHeight="1" x14ac:dyDescent="0.2">
      <c r="B138" s="60" t="s">
        <v>3758</v>
      </c>
      <c r="C138" s="565">
        <v>5</v>
      </c>
      <c r="D138" s="168" t="s">
        <v>302</v>
      </c>
      <c r="E138" s="155">
        <f>E139+E160</f>
        <v>0</v>
      </c>
      <c r="F138" s="209">
        <f>F139+F160</f>
        <v>0</v>
      </c>
    </row>
    <row r="139" spans="2:6" s="138" customFormat="1" ht="15" customHeight="1" outlineLevel="1" x14ac:dyDescent="0.2">
      <c r="B139" s="651" t="s">
        <v>3759</v>
      </c>
      <c r="C139" s="652">
        <v>5.0999999999999996</v>
      </c>
      <c r="D139" s="653" t="s">
        <v>35</v>
      </c>
      <c r="E139" s="654">
        <f>SUM(E140:E159)</f>
        <v>0</v>
      </c>
      <c r="F139" s="655">
        <f>SUM(F140:F159)</f>
        <v>0</v>
      </c>
    </row>
    <row r="140" spans="2:6" s="165" customFormat="1" ht="15" customHeight="1" outlineLevel="2" x14ac:dyDescent="0.2">
      <c r="B140" s="60" t="s">
        <v>3760</v>
      </c>
      <c r="C140" s="549" t="s">
        <v>1724</v>
      </c>
      <c r="D140" s="166" t="s">
        <v>299</v>
      </c>
      <c r="E140" s="173"/>
      <c r="F140" s="174"/>
    </row>
    <row r="141" spans="2:6" s="165" customFormat="1" ht="15" customHeight="1" outlineLevel="2" x14ac:dyDescent="0.2">
      <c r="B141" s="60" t="s">
        <v>3761</v>
      </c>
      <c r="C141" s="549" t="s">
        <v>1725</v>
      </c>
      <c r="D141" s="166" t="s">
        <v>299</v>
      </c>
      <c r="E141" s="173"/>
      <c r="F141" s="174"/>
    </row>
    <row r="142" spans="2:6" s="165" customFormat="1" ht="15" customHeight="1" outlineLevel="2" x14ac:dyDescent="0.2">
      <c r="B142" s="60" t="s">
        <v>3762</v>
      </c>
      <c r="C142" s="549" t="s">
        <v>1726</v>
      </c>
      <c r="D142" s="166" t="s">
        <v>299</v>
      </c>
      <c r="E142" s="173"/>
      <c r="F142" s="174"/>
    </row>
    <row r="143" spans="2:6" s="165" customFormat="1" ht="15" customHeight="1" outlineLevel="2" x14ac:dyDescent="0.2">
      <c r="B143" s="60" t="s">
        <v>3763</v>
      </c>
      <c r="C143" s="549" t="s">
        <v>1727</v>
      </c>
      <c r="D143" s="166" t="s">
        <v>299</v>
      </c>
      <c r="E143" s="173"/>
      <c r="F143" s="174"/>
    </row>
    <row r="144" spans="2:6" s="165" customFormat="1" ht="15" customHeight="1" outlineLevel="2" x14ac:dyDescent="0.2">
      <c r="B144" s="60" t="s">
        <v>3764</v>
      </c>
      <c r="C144" s="549" t="s">
        <v>1728</v>
      </c>
      <c r="D144" s="166" t="s">
        <v>299</v>
      </c>
      <c r="E144" s="173"/>
      <c r="F144" s="174"/>
    </row>
    <row r="145" spans="2:6" s="165" customFormat="1" ht="15" customHeight="1" outlineLevel="2" x14ac:dyDescent="0.2">
      <c r="B145" s="60" t="s">
        <v>3765</v>
      </c>
      <c r="C145" s="549" t="s">
        <v>1729</v>
      </c>
      <c r="D145" s="166" t="s">
        <v>299</v>
      </c>
      <c r="E145" s="173"/>
      <c r="F145" s="174"/>
    </row>
    <row r="146" spans="2:6" s="165" customFormat="1" ht="15" customHeight="1" outlineLevel="2" x14ac:dyDescent="0.2">
      <c r="B146" s="60" t="s">
        <v>3766</v>
      </c>
      <c r="C146" s="549" t="s">
        <v>1730</v>
      </c>
      <c r="D146" s="166" t="s">
        <v>299</v>
      </c>
      <c r="E146" s="173"/>
      <c r="F146" s="174"/>
    </row>
    <row r="147" spans="2:6" s="165" customFormat="1" ht="15" customHeight="1" outlineLevel="2" x14ac:dyDescent="0.2">
      <c r="B147" s="60" t="s">
        <v>3767</v>
      </c>
      <c r="C147" s="549" t="s">
        <v>1731</v>
      </c>
      <c r="D147" s="166" t="s">
        <v>299</v>
      </c>
      <c r="E147" s="173"/>
      <c r="F147" s="174"/>
    </row>
    <row r="148" spans="2:6" s="165" customFormat="1" ht="15" customHeight="1" outlineLevel="2" x14ac:dyDescent="0.2">
      <c r="B148" s="60" t="s">
        <v>3768</v>
      </c>
      <c r="C148" s="549" t="s">
        <v>1732</v>
      </c>
      <c r="D148" s="166" t="s">
        <v>299</v>
      </c>
      <c r="E148" s="173"/>
      <c r="F148" s="174"/>
    </row>
    <row r="149" spans="2:6" s="165" customFormat="1" ht="15" customHeight="1" outlineLevel="2" x14ac:dyDescent="0.2">
      <c r="B149" s="60" t="s">
        <v>3769</v>
      </c>
      <c r="C149" s="549" t="s">
        <v>1733</v>
      </c>
      <c r="D149" s="166" t="s">
        <v>299</v>
      </c>
      <c r="E149" s="173"/>
      <c r="F149" s="174"/>
    </row>
    <row r="150" spans="2:6" s="165" customFormat="1" ht="15" customHeight="1" outlineLevel="2" x14ac:dyDescent="0.2">
      <c r="B150" s="60" t="s">
        <v>3770</v>
      </c>
      <c r="C150" s="549" t="s">
        <v>1734</v>
      </c>
      <c r="D150" s="166" t="s">
        <v>299</v>
      </c>
      <c r="E150" s="173"/>
      <c r="F150" s="174"/>
    </row>
    <row r="151" spans="2:6" s="165" customFormat="1" ht="15" customHeight="1" outlineLevel="2" x14ac:dyDescent="0.2">
      <c r="B151" s="60" t="s">
        <v>3771</v>
      </c>
      <c r="C151" s="549" t="s">
        <v>1735</v>
      </c>
      <c r="D151" s="166" t="s">
        <v>299</v>
      </c>
      <c r="E151" s="173"/>
      <c r="F151" s="174"/>
    </row>
    <row r="152" spans="2:6" s="165" customFormat="1" ht="15" customHeight="1" outlineLevel="2" x14ac:dyDescent="0.2">
      <c r="B152" s="60" t="s">
        <v>3772</v>
      </c>
      <c r="C152" s="549" t="s">
        <v>1736</v>
      </c>
      <c r="D152" s="166" t="s">
        <v>299</v>
      </c>
      <c r="E152" s="173"/>
      <c r="F152" s="174"/>
    </row>
    <row r="153" spans="2:6" s="165" customFormat="1" ht="15" customHeight="1" outlineLevel="2" x14ac:dyDescent="0.2">
      <c r="B153" s="60" t="s">
        <v>3773</v>
      </c>
      <c r="C153" s="549" t="s">
        <v>1737</v>
      </c>
      <c r="D153" s="166" t="s">
        <v>299</v>
      </c>
      <c r="E153" s="173"/>
      <c r="F153" s="174"/>
    </row>
    <row r="154" spans="2:6" s="165" customFormat="1" ht="15" customHeight="1" outlineLevel="2" x14ac:dyDescent="0.2">
      <c r="B154" s="60" t="s">
        <v>3774</v>
      </c>
      <c r="C154" s="549" t="s">
        <v>1738</v>
      </c>
      <c r="D154" s="166" t="s">
        <v>299</v>
      </c>
      <c r="E154" s="173"/>
      <c r="F154" s="174"/>
    </row>
    <row r="155" spans="2:6" s="165" customFormat="1" ht="15" customHeight="1" outlineLevel="2" x14ac:dyDescent="0.2">
      <c r="B155" s="60" t="s">
        <v>3775</v>
      </c>
      <c r="C155" s="549" t="s">
        <v>1739</v>
      </c>
      <c r="D155" s="166" t="s">
        <v>299</v>
      </c>
      <c r="E155" s="173"/>
      <c r="F155" s="174"/>
    </row>
    <row r="156" spans="2:6" s="165" customFormat="1" ht="15" customHeight="1" outlineLevel="2" x14ac:dyDescent="0.2">
      <c r="B156" s="60" t="s">
        <v>3776</v>
      </c>
      <c r="C156" s="549" t="s">
        <v>1740</v>
      </c>
      <c r="D156" s="166" t="s">
        <v>299</v>
      </c>
      <c r="E156" s="173"/>
      <c r="F156" s="174"/>
    </row>
    <row r="157" spans="2:6" s="165" customFormat="1" ht="15" customHeight="1" outlineLevel="2" x14ac:dyDescent="0.2">
      <c r="B157" s="60" t="s">
        <v>3777</v>
      </c>
      <c r="C157" s="549" t="s">
        <v>1741</v>
      </c>
      <c r="D157" s="166" t="s">
        <v>299</v>
      </c>
      <c r="E157" s="173"/>
      <c r="F157" s="174"/>
    </row>
    <row r="158" spans="2:6" s="165" customFormat="1" ht="15" customHeight="1" outlineLevel="2" x14ac:dyDescent="0.2">
      <c r="B158" s="60" t="s">
        <v>3778</v>
      </c>
      <c r="C158" s="549" t="s">
        <v>1742</v>
      </c>
      <c r="D158" s="166" t="s">
        <v>299</v>
      </c>
      <c r="E158" s="173"/>
      <c r="F158" s="174"/>
    </row>
    <row r="159" spans="2:6" s="165" customFormat="1" ht="15" customHeight="1" outlineLevel="2" x14ac:dyDescent="0.2">
      <c r="B159" s="60" t="s">
        <v>3779</v>
      </c>
      <c r="C159" s="549" t="s">
        <v>1743</v>
      </c>
      <c r="D159" s="166" t="s">
        <v>299</v>
      </c>
      <c r="E159" s="173"/>
      <c r="F159" s="174"/>
    </row>
    <row r="160" spans="2:6" s="138" customFormat="1" ht="15" customHeight="1" outlineLevel="1" x14ac:dyDescent="0.2">
      <c r="B160" s="60" t="s">
        <v>3780</v>
      </c>
      <c r="C160" s="499">
        <v>5.2</v>
      </c>
      <c r="D160" s="162" t="s">
        <v>36</v>
      </c>
      <c r="E160" s="91">
        <f>SUM(E161:E180)</f>
        <v>0</v>
      </c>
      <c r="F160" s="92">
        <f>SUM(F161:F180)</f>
        <v>0</v>
      </c>
    </row>
    <row r="161" spans="2:6" s="165" customFormat="1" ht="15" customHeight="1" outlineLevel="2" x14ac:dyDescent="0.2">
      <c r="B161" s="60" t="s">
        <v>3781</v>
      </c>
      <c r="C161" s="549" t="s">
        <v>1744</v>
      </c>
      <c r="D161" s="166" t="s">
        <v>299</v>
      </c>
      <c r="E161" s="173"/>
      <c r="F161" s="174"/>
    </row>
    <row r="162" spans="2:6" s="165" customFormat="1" ht="15" customHeight="1" outlineLevel="2" x14ac:dyDescent="0.2">
      <c r="B162" s="60" t="s">
        <v>3782</v>
      </c>
      <c r="C162" s="549" t="s">
        <v>1745</v>
      </c>
      <c r="D162" s="166" t="s">
        <v>299</v>
      </c>
      <c r="E162" s="173"/>
      <c r="F162" s="174"/>
    </row>
    <row r="163" spans="2:6" s="165" customFormat="1" ht="15" customHeight="1" outlineLevel="2" x14ac:dyDescent="0.2">
      <c r="B163" s="60" t="s">
        <v>3783</v>
      </c>
      <c r="C163" s="549" t="s">
        <v>1746</v>
      </c>
      <c r="D163" s="166" t="s">
        <v>299</v>
      </c>
      <c r="E163" s="173"/>
      <c r="F163" s="174"/>
    </row>
    <row r="164" spans="2:6" s="165" customFormat="1" ht="15" customHeight="1" outlineLevel="2" x14ac:dyDescent="0.2">
      <c r="B164" s="60" t="s">
        <v>3784</v>
      </c>
      <c r="C164" s="549" t="s">
        <v>1747</v>
      </c>
      <c r="D164" s="166" t="s">
        <v>299</v>
      </c>
      <c r="E164" s="173"/>
      <c r="F164" s="174"/>
    </row>
    <row r="165" spans="2:6" s="165" customFormat="1" ht="15" customHeight="1" outlineLevel="2" x14ac:dyDescent="0.2">
      <c r="B165" s="60" t="s">
        <v>3785</v>
      </c>
      <c r="C165" s="549" t="s">
        <v>1748</v>
      </c>
      <c r="D165" s="166" t="s">
        <v>299</v>
      </c>
      <c r="E165" s="173"/>
      <c r="F165" s="174"/>
    </row>
    <row r="166" spans="2:6" s="165" customFormat="1" ht="15" customHeight="1" outlineLevel="2" x14ac:dyDescent="0.2">
      <c r="B166" s="60" t="s">
        <v>3786</v>
      </c>
      <c r="C166" s="549" t="s">
        <v>1749</v>
      </c>
      <c r="D166" s="166" t="s">
        <v>299</v>
      </c>
      <c r="E166" s="173"/>
      <c r="F166" s="174"/>
    </row>
    <row r="167" spans="2:6" s="165" customFormat="1" ht="15" customHeight="1" outlineLevel="2" x14ac:dyDescent="0.2">
      <c r="B167" s="60" t="s">
        <v>3787</v>
      </c>
      <c r="C167" s="549" t="s">
        <v>1750</v>
      </c>
      <c r="D167" s="166" t="s">
        <v>299</v>
      </c>
      <c r="E167" s="173"/>
      <c r="F167" s="174"/>
    </row>
    <row r="168" spans="2:6" s="165" customFormat="1" ht="15" customHeight="1" outlineLevel="2" x14ac:dyDescent="0.2">
      <c r="B168" s="60" t="s">
        <v>3788</v>
      </c>
      <c r="C168" s="549" t="s">
        <v>1751</v>
      </c>
      <c r="D168" s="166" t="s">
        <v>299</v>
      </c>
      <c r="E168" s="173"/>
      <c r="F168" s="174"/>
    </row>
    <row r="169" spans="2:6" s="165" customFormat="1" ht="15" customHeight="1" outlineLevel="2" x14ac:dyDescent="0.2">
      <c r="B169" s="60" t="s">
        <v>3789</v>
      </c>
      <c r="C169" s="549" t="s">
        <v>1752</v>
      </c>
      <c r="D169" s="166" t="s">
        <v>299</v>
      </c>
      <c r="E169" s="173"/>
      <c r="F169" s="174"/>
    </row>
    <row r="170" spans="2:6" s="165" customFormat="1" ht="15" customHeight="1" outlineLevel="2" x14ac:dyDescent="0.2">
      <c r="B170" s="60" t="s">
        <v>3790</v>
      </c>
      <c r="C170" s="549" t="s">
        <v>1753</v>
      </c>
      <c r="D170" s="166" t="s">
        <v>299</v>
      </c>
      <c r="E170" s="173"/>
      <c r="F170" s="174"/>
    </row>
    <row r="171" spans="2:6" s="165" customFormat="1" ht="15" customHeight="1" outlineLevel="2" x14ac:dyDescent="0.2">
      <c r="B171" s="60" t="s">
        <v>3791</v>
      </c>
      <c r="C171" s="549" t="s">
        <v>1754</v>
      </c>
      <c r="D171" s="166" t="s">
        <v>299</v>
      </c>
      <c r="E171" s="173"/>
      <c r="F171" s="174"/>
    </row>
    <row r="172" spans="2:6" s="165" customFormat="1" ht="15" customHeight="1" outlineLevel="2" x14ac:dyDescent="0.2">
      <c r="B172" s="60" t="s">
        <v>3792</v>
      </c>
      <c r="C172" s="549" t="s">
        <v>1755</v>
      </c>
      <c r="D172" s="166" t="s">
        <v>299</v>
      </c>
      <c r="E172" s="173"/>
      <c r="F172" s="174"/>
    </row>
    <row r="173" spans="2:6" s="165" customFormat="1" ht="15" customHeight="1" outlineLevel="2" x14ac:dyDescent="0.2">
      <c r="B173" s="60" t="s">
        <v>3793</v>
      </c>
      <c r="C173" s="549" t="s">
        <v>1756</v>
      </c>
      <c r="D173" s="166" t="s">
        <v>299</v>
      </c>
      <c r="E173" s="173"/>
      <c r="F173" s="174"/>
    </row>
    <row r="174" spans="2:6" s="165" customFormat="1" ht="15" customHeight="1" outlineLevel="2" x14ac:dyDescent="0.2">
      <c r="B174" s="60" t="s">
        <v>3794</v>
      </c>
      <c r="C174" s="549" t="s">
        <v>1757</v>
      </c>
      <c r="D174" s="166" t="s">
        <v>299</v>
      </c>
      <c r="E174" s="173"/>
      <c r="F174" s="174"/>
    </row>
    <row r="175" spans="2:6" s="165" customFormat="1" ht="15" customHeight="1" outlineLevel="2" x14ac:dyDescent="0.2">
      <c r="B175" s="60" t="s">
        <v>3795</v>
      </c>
      <c r="C175" s="549" t="s">
        <v>1758</v>
      </c>
      <c r="D175" s="166" t="s">
        <v>299</v>
      </c>
      <c r="E175" s="173"/>
      <c r="F175" s="174"/>
    </row>
    <row r="176" spans="2:6" s="165" customFormat="1" ht="15" customHeight="1" outlineLevel="2" x14ac:dyDescent="0.2">
      <c r="B176" s="60" t="s">
        <v>3796</v>
      </c>
      <c r="C176" s="549" t="s">
        <v>1759</v>
      </c>
      <c r="D176" s="166" t="s">
        <v>299</v>
      </c>
      <c r="E176" s="173"/>
      <c r="F176" s="174"/>
    </row>
    <row r="177" spans="2:7" s="165" customFormat="1" ht="15" customHeight="1" outlineLevel="2" x14ac:dyDescent="0.2">
      <c r="B177" s="60" t="s">
        <v>3797</v>
      </c>
      <c r="C177" s="549" t="s">
        <v>1760</v>
      </c>
      <c r="D177" s="166" t="s">
        <v>299</v>
      </c>
      <c r="E177" s="173"/>
      <c r="F177" s="174"/>
    </row>
    <row r="178" spans="2:7" s="165" customFormat="1" ht="15" customHeight="1" outlineLevel="2" x14ac:dyDescent="0.2">
      <c r="B178" s="60" t="s">
        <v>3798</v>
      </c>
      <c r="C178" s="549" t="s">
        <v>1761</v>
      </c>
      <c r="D178" s="166" t="s">
        <v>299</v>
      </c>
      <c r="E178" s="173"/>
      <c r="F178" s="174"/>
    </row>
    <row r="179" spans="2:7" s="165" customFormat="1" ht="15" customHeight="1" outlineLevel="2" x14ac:dyDescent="0.2">
      <c r="B179" s="60" t="s">
        <v>3799</v>
      </c>
      <c r="C179" s="549" t="s">
        <v>1762</v>
      </c>
      <c r="D179" s="166" t="s">
        <v>299</v>
      </c>
      <c r="E179" s="173"/>
      <c r="F179" s="174"/>
    </row>
    <row r="180" spans="2:7" s="165" customFormat="1" ht="15" customHeight="1" outlineLevel="2" thickBot="1" x14ac:dyDescent="0.25">
      <c r="B180" s="491" t="s">
        <v>3800</v>
      </c>
      <c r="C180" s="567" t="s">
        <v>1763</v>
      </c>
      <c r="D180" s="208" t="s">
        <v>299</v>
      </c>
      <c r="E180" s="210"/>
      <c r="F180" s="211"/>
    </row>
    <row r="181" spans="2:7" s="138" customFormat="1" ht="9" customHeight="1" thickBot="1" x14ac:dyDescent="0.25">
      <c r="B181" s="657"/>
      <c r="C181" s="212"/>
      <c r="D181" s="213"/>
      <c r="E181" s="670"/>
      <c r="F181" s="670"/>
    </row>
    <row r="182" spans="2:7" s="143" customFormat="1" ht="15" customHeight="1" x14ac:dyDescent="0.2">
      <c r="B182" s="418" t="s">
        <v>3801</v>
      </c>
      <c r="C182" s="564">
        <v>6</v>
      </c>
      <c r="D182" s="563" t="s">
        <v>3391</v>
      </c>
      <c r="E182" s="408">
        <f>E183+E226+E269+E312</f>
        <v>0</v>
      </c>
      <c r="F182" s="409">
        <f>F183+F226+F269+F312</f>
        <v>0</v>
      </c>
    </row>
    <row r="183" spans="2:7" s="144" customFormat="1" ht="15" customHeight="1" x14ac:dyDescent="0.2">
      <c r="B183" s="60" t="s">
        <v>3802</v>
      </c>
      <c r="C183" s="565">
        <v>7</v>
      </c>
      <c r="D183" s="168" t="s">
        <v>440</v>
      </c>
      <c r="E183" s="155">
        <f>E184+E205</f>
        <v>0</v>
      </c>
      <c r="F183" s="209">
        <f>F184+F205</f>
        <v>0</v>
      </c>
      <c r="G183" s="159"/>
    </row>
    <row r="184" spans="2:7" s="134" customFormat="1" ht="15" customHeight="1" outlineLevel="1" x14ac:dyDescent="0.2">
      <c r="B184" s="60" t="s">
        <v>3803</v>
      </c>
      <c r="C184" s="499">
        <v>7.1</v>
      </c>
      <c r="D184" s="162" t="s">
        <v>35</v>
      </c>
      <c r="E184" s="91">
        <f>SUM(E185:E204)</f>
        <v>0</v>
      </c>
      <c r="F184" s="92">
        <f>SUM(F185:F204)</f>
        <v>0</v>
      </c>
      <c r="G184" s="138"/>
    </row>
    <row r="185" spans="2:7" s="167" customFormat="1" ht="15" customHeight="1" outlineLevel="2" x14ac:dyDescent="0.2">
      <c r="B185" s="60" t="s">
        <v>3804</v>
      </c>
      <c r="C185" s="549" t="s">
        <v>1804</v>
      </c>
      <c r="D185" s="166" t="s">
        <v>299</v>
      </c>
      <c r="E185" s="173"/>
      <c r="F185" s="174"/>
      <c r="G185" s="165"/>
    </row>
    <row r="186" spans="2:7" s="167" customFormat="1" ht="15" customHeight="1" outlineLevel="2" x14ac:dyDescent="0.2">
      <c r="B186" s="60" t="s">
        <v>3805</v>
      </c>
      <c r="C186" s="549" t="s">
        <v>1805</v>
      </c>
      <c r="D186" s="166" t="s">
        <v>299</v>
      </c>
      <c r="E186" s="173"/>
      <c r="F186" s="174"/>
      <c r="G186" s="165"/>
    </row>
    <row r="187" spans="2:7" s="167" customFormat="1" ht="15" customHeight="1" outlineLevel="2" x14ac:dyDescent="0.2">
      <c r="B187" s="60" t="s">
        <v>3806</v>
      </c>
      <c r="C187" s="549" t="s">
        <v>1806</v>
      </c>
      <c r="D187" s="166" t="s">
        <v>299</v>
      </c>
      <c r="E187" s="173"/>
      <c r="F187" s="174"/>
      <c r="G187" s="165"/>
    </row>
    <row r="188" spans="2:7" s="167" customFormat="1" ht="15" customHeight="1" outlineLevel="2" x14ac:dyDescent="0.2">
      <c r="B188" s="60" t="s">
        <v>3807</v>
      </c>
      <c r="C188" s="549" t="s">
        <v>1807</v>
      </c>
      <c r="D188" s="166" t="s">
        <v>299</v>
      </c>
      <c r="E188" s="173"/>
      <c r="F188" s="174"/>
      <c r="G188" s="165"/>
    </row>
    <row r="189" spans="2:7" s="167" customFormat="1" ht="15" customHeight="1" outlineLevel="2" x14ac:dyDescent="0.2">
      <c r="B189" s="60" t="s">
        <v>3808</v>
      </c>
      <c r="C189" s="549" t="s">
        <v>1808</v>
      </c>
      <c r="D189" s="166" t="s">
        <v>299</v>
      </c>
      <c r="E189" s="173"/>
      <c r="F189" s="174"/>
      <c r="G189" s="165"/>
    </row>
    <row r="190" spans="2:7" s="167" customFormat="1" ht="15" customHeight="1" outlineLevel="2" x14ac:dyDescent="0.2">
      <c r="B190" s="60" t="s">
        <v>3809</v>
      </c>
      <c r="C190" s="549" t="s">
        <v>1809</v>
      </c>
      <c r="D190" s="166" t="s">
        <v>299</v>
      </c>
      <c r="E190" s="173"/>
      <c r="F190" s="174"/>
      <c r="G190" s="165"/>
    </row>
    <row r="191" spans="2:7" s="167" customFormat="1" ht="15" customHeight="1" outlineLevel="2" x14ac:dyDescent="0.2">
      <c r="B191" s="60" t="s">
        <v>3810</v>
      </c>
      <c r="C191" s="549" t="s">
        <v>1810</v>
      </c>
      <c r="D191" s="166" t="s">
        <v>299</v>
      </c>
      <c r="E191" s="173"/>
      <c r="F191" s="174"/>
      <c r="G191" s="165"/>
    </row>
    <row r="192" spans="2:7" s="167" customFormat="1" ht="15" customHeight="1" outlineLevel="2" x14ac:dyDescent="0.2">
      <c r="B192" s="60" t="s">
        <v>3811</v>
      </c>
      <c r="C192" s="549" t="s">
        <v>1811</v>
      </c>
      <c r="D192" s="166" t="s">
        <v>299</v>
      </c>
      <c r="E192" s="173"/>
      <c r="F192" s="174"/>
      <c r="G192" s="165"/>
    </row>
    <row r="193" spans="2:7" s="167" customFormat="1" ht="15" customHeight="1" outlineLevel="2" x14ac:dyDescent="0.2">
      <c r="B193" s="60" t="s">
        <v>3812</v>
      </c>
      <c r="C193" s="549" t="s">
        <v>1812</v>
      </c>
      <c r="D193" s="166" t="s">
        <v>299</v>
      </c>
      <c r="E193" s="173"/>
      <c r="F193" s="174"/>
      <c r="G193" s="165"/>
    </row>
    <row r="194" spans="2:7" s="167" customFormat="1" ht="15" customHeight="1" outlineLevel="2" x14ac:dyDescent="0.2">
      <c r="B194" s="60" t="s">
        <v>3813</v>
      </c>
      <c r="C194" s="549" t="s">
        <v>1813</v>
      </c>
      <c r="D194" s="166" t="s">
        <v>299</v>
      </c>
      <c r="E194" s="173"/>
      <c r="F194" s="174"/>
      <c r="G194" s="165"/>
    </row>
    <row r="195" spans="2:7" s="167" customFormat="1" ht="15" customHeight="1" outlineLevel="2" x14ac:dyDescent="0.2">
      <c r="B195" s="60" t="s">
        <v>3814</v>
      </c>
      <c r="C195" s="549" t="s">
        <v>1814</v>
      </c>
      <c r="D195" s="166" t="s">
        <v>299</v>
      </c>
      <c r="E195" s="173"/>
      <c r="F195" s="174"/>
      <c r="G195" s="165"/>
    </row>
    <row r="196" spans="2:7" s="167" customFormat="1" ht="15" customHeight="1" outlineLevel="2" x14ac:dyDescent="0.2">
      <c r="B196" s="60" t="s">
        <v>3815</v>
      </c>
      <c r="C196" s="549" t="s">
        <v>1815</v>
      </c>
      <c r="D196" s="166" t="s">
        <v>299</v>
      </c>
      <c r="E196" s="173"/>
      <c r="F196" s="174"/>
      <c r="G196" s="165"/>
    </row>
    <row r="197" spans="2:7" s="167" customFormat="1" ht="15" customHeight="1" outlineLevel="2" x14ac:dyDescent="0.2">
      <c r="B197" s="60" t="s">
        <v>3816</v>
      </c>
      <c r="C197" s="549" t="s">
        <v>1816</v>
      </c>
      <c r="D197" s="166" t="s">
        <v>299</v>
      </c>
      <c r="E197" s="173"/>
      <c r="F197" s="174"/>
      <c r="G197" s="165"/>
    </row>
    <row r="198" spans="2:7" s="167" customFormat="1" ht="15" customHeight="1" outlineLevel="2" x14ac:dyDescent="0.2">
      <c r="B198" s="60" t="s">
        <v>3817</v>
      </c>
      <c r="C198" s="549" t="s">
        <v>1817</v>
      </c>
      <c r="D198" s="166" t="s">
        <v>299</v>
      </c>
      <c r="E198" s="173"/>
      <c r="F198" s="174"/>
      <c r="G198" s="165"/>
    </row>
    <row r="199" spans="2:7" s="167" customFormat="1" ht="15" customHeight="1" outlineLevel="2" x14ac:dyDescent="0.2">
      <c r="B199" s="60" t="s">
        <v>3818</v>
      </c>
      <c r="C199" s="549" t="s">
        <v>1818</v>
      </c>
      <c r="D199" s="166" t="s">
        <v>299</v>
      </c>
      <c r="E199" s="173"/>
      <c r="F199" s="174"/>
      <c r="G199" s="165"/>
    </row>
    <row r="200" spans="2:7" s="167" customFormat="1" ht="15" customHeight="1" outlineLevel="2" x14ac:dyDescent="0.2">
      <c r="B200" s="60" t="s">
        <v>3819</v>
      </c>
      <c r="C200" s="549" t="s">
        <v>1819</v>
      </c>
      <c r="D200" s="166" t="s">
        <v>299</v>
      </c>
      <c r="E200" s="173"/>
      <c r="F200" s="174"/>
      <c r="G200" s="165"/>
    </row>
    <row r="201" spans="2:7" s="167" customFormat="1" ht="15" customHeight="1" outlineLevel="2" x14ac:dyDescent="0.2">
      <c r="B201" s="60" t="s">
        <v>3820</v>
      </c>
      <c r="C201" s="549" t="s">
        <v>1820</v>
      </c>
      <c r="D201" s="166" t="s">
        <v>299</v>
      </c>
      <c r="E201" s="173"/>
      <c r="F201" s="174"/>
      <c r="G201" s="165"/>
    </row>
    <row r="202" spans="2:7" s="167" customFormat="1" ht="15" customHeight="1" outlineLevel="2" x14ac:dyDescent="0.2">
      <c r="B202" s="60" t="s">
        <v>3821</v>
      </c>
      <c r="C202" s="549" t="s">
        <v>1821</v>
      </c>
      <c r="D202" s="166" t="s">
        <v>299</v>
      </c>
      <c r="E202" s="173"/>
      <c r="F202" s="174"/>
      <c r="G202" s="165"/>
    </row>
    <row r="203" spans="2:7" s="167" customFormat="1" ht="15" customHeight="1" outlineLevel="2" x14ac:dyDescent="0.2">
      <c r="B203" s="60" t="s">
        <v>3822</v>
      </c>
      <c r="C203" s="549" t="s">
        <v>1822</v>
      </c>
      <c r="D203" s="166" t="s">
        <v>299</v>
      </c>
      <c r="E203" s="173"/>
      <c r="F203" s="174"/>
      <c r="G203" s="165"/>
    </row>
    <row r="204" spans="2:7" s="167" customFormat="1" ht="15" customHeight="1" outlineLevel="2" x14ac:dyDescent="0.2">
      <c r="B204" s="60" t="s">
        <v>3823</v>
      </c>
      <c r="C204" s="549" t="s">
        <v>1823</v>
      </c>
      <c r="D204" s="166" t="s">
        <v>299</v>
      </c>
      <c r="E204" s="154"/>
      <c r="F204" s="175"/>
      <c r="G204" s="165"/>
    </row>
    <row r="205" spans="2:7" s="134" customFormat="1" ht="15" customHeight="1" outlineLevel="1" x14ac:dyDescent="0.2">
      <c r="B205" s="60" t="s">
        <v>3824</v>
      </c>
      <c r="C205" s="499">
        <v>7.2</v>
      </c>
      <c r="D205" s="162" t="s">
        <v>36</v>
      </c>
      <c r="E205" s="91">
        <f>SUM(E206:E225)</f>
        <v>0</v>
      </c>
      <c r="F205" s="92">
        <f>SUM(F206:F225)</f>
        <v>0</v>
      </c>
      <c r="G205" s="138"/>
    </row>
    <row r="206" spans="2:7" s="167" customFormat="1" ht="15" customHeight="1" outlineLevel="2" x14ac:dyDescent="0.2">
      <c r="B206" s="60" t="s">
        <v>3825</v>
      </c>
      <c r="C206" s="549" t="s">
        <v>1824</v>
      </c>
      <c r="D206" s="166" t="s">
        <v>299</v>
      </c>
      <c r="E206" s="173"/>
      <c r="F206" s="174"/>
      <c r="G206" s="165"/>
    </row>
    <row r="207" spans="2:7" s="167" customFormat="1" ht="15" customHeight="1" outlineLevel="2" x14ac:dyDescent="0.2">
      <c r="B207" s="60" t="s">
        <v>3826</v>
      </c>
      <c r="C207" s="549" t="s">
        <v>1825</v>
      </c>
      <c r="D207" s="166" t="s">
        <v>299</v>
      </c>
      <c r="E207" s="173"/>
      <c r="F207" s="174"/>
      <c r="G207" s="165"/>
    </row>
    <row r="208" spans="2:7" s="167" customFormat="1" ht="15" customHeight="1" outlineLevel="2" x14ac:dyDescent="0.2">
      <c r="B208" s="60" t="s">
        <v>3827</v>
      </c>
      <c r="C208" s="549" t="s">
        <v>1826</v>
      </c>
      <c r="D208" s="166" t="s">
        <v>299</v>
      </c>
      <c r="E208" s="173"/>
      <c r="F208" s="174"/>
      <c r="G208" s="165"/>
    </row>
    <row r="209" spans="2:7" s="167" customFormat="1" ht="15" customHeight="1" outlineLevel="2" x14ac:dyDescent="0.2">
      <c r="B209" s="60" t="s">
        <v>3828</v>
      </c>
      <c r="C209" s="549" t="s">
        <v>1827</v>
      </c>
      <c r="D209" s="166" t="s">
        <v>299</v>
      </c>
      <c r="E209" s="173"/>
      <c r="F209" s="174"/>
      <c r="G209" s="165"/>
    </row>
    <row r="210" spans="2:7" s="167" customFormat="1" ht="15" customHeight="1" outlineLevel="2" x14ac:dyDescent="0.2">
      <c r="B210" s="60" t="s">
        <v>3829</v>
      </c>
      <c r="C210" s="549" t="s">
        <v>1828</v>
      </c>
      <c r="D210" s="166" t="s">
        <v>299</v>
      </c>
      <c r="E210" s="173"/>
      <c r="F210" s="174"/>
      <c r="G210" s="165"/>
    </row>
    <row r="211" spans="2:7" s="167" customFormat="1" ht="15" customHeight="1" outlineLevel="2" x14ac:dyDescent="0.2">
      <c r="B211" s="60" t="s">
        <v>3830</v>
      </c>
      <c r="C211" s="549" t="s">
        <v>1829</v>
      </c>
      <c r="D211" s="166" t="s">
        <v>299</v>
      </c>
      <c r="E211" s="173"/>
      <c r="F211" s="174"/>
      <c r="G211" s="165"/>
    </row>
    <row r="212" spans="2:7" s="167" customFormat="1" ht="15" customHeight="1" outlineLevel="2" x14ac:dyDescent="0.2">
      <c r="B212" s="60" t="s">
        <v>3831</v>
      </c>
      <c r="C212" s="549" t="s">
        <v>1830</v>
      </c>
      <c r="D212" s="166" t="s">
        <v>299</v>
      </c>
      <c r="E212" s="173"/>
      <c r="F212" s="174"/>
      <c r="G212" s="165"/>
    </row>
    <row r="213" spans="2:7" s="167" customFormat="1" ht="15" customHeight="1" outlineLevel="2" x14ac:dyDescent="0.2">
      <c r="B213" s="60" t="s">
        <v>3832</v>
      </c>
      <c r="C213" s="549" t="s">
        <v>1831</v>
      </c>
      <c r="D213" s="166" t="s">
        <v>299</v>
      </c>
      <c r="E213" s="173"/>
      <c r="F213" s="174"/>
      <c r="G213" s="165"/>
    </row>
    <row r="214" spans="2:7" s="167" customFormat="1" ht="15" customHeight="1" outlineLevel="2" x14ac:dyDescent="0.2">
      <c r="B214" s="60" t="s">
        <v>3833</v>
      </c>
      <c r="C214" s="549" t="s">
        <v>1832</v>
      </c>
      <c r="D214" s="166" t="s">
        <v>299</v>
      </c>
      <c r="E214" s="173"/>
      <c r="F214" s="174"/>
      <c r="G214" s="165"/>
    </row>
    <row r="215" spans="2:7" s="167" customFormat="1" ht="15" customHeight="1" outlineLevel="2" x14ac:dyDescent="0.2">
      <c r="B215" s="60" t="s">
        <v>3834</v>
      </c>
      <c r="C215" s="549" t="s">
        <v>1833</v>
      </c>
      <c r="D215" s="166" t="s">
        <v>299</v>
      </c>
      <c r="E215" s="173"/>
      <c r="F215" s="174"/>
      <c r="G215" s="165"/>
    </row>
    <row r="216" spans="2:7" s="167" customFormat="1" ht="15" customHeight="1" outlineLevel="2" x14ac:dyDescent="0.2">
      <c r="B216" s="60" t="s">
        <v>3835</v>
      </c>
      <c r="C216" s="549" t="s">
        <v>1834</v>
      </c>
      <c r="D216" s="166" t="s">
        <v>299</v>
      </c>
      <c r="E216" s="173"/>
      <c r="F216" s="174"/>
      <c r="G216" s="165"/>
    </row>
    <row r="217" spans="2:7" s="167" customFormat="1" ht="15" customHeight="1" outlineLevel="2" x14ac:dyDescent="0.2">
      <c r="B217" s="60" t="s">
        <v>3836</v>
      </c>
      <c r="C217" s="549" t="s">
        <v>1835</v>
      </c>
      <c r="D217" s="166" t="s">
        <v>299</v>
      </c>
      <c r="E217" s="173"/>
      <c r="F217" s="174"/>
      <c r="G217" s="165"/>
    </row>
    <row r="218" spans="2:7" s="167" customFormat="1" ht="15" customHeight="1" outlineLevel="2" x14ac:dyDescent="0.2">
      <c r="B218" s="60" t="s">
        <v>3837</v>
      </c>
      <c r="C218" s="549" t="s">
        <v>1836</v>
      </c>
      <c r="D218" s="166" t="s">
        <v>299</v>
      </c>
      <c r="E218" s="173"/>
      <c r="F218" s="174"/>
      <c r="G218" s="165"/>
    </row>
    <row r="219" spans="2:7" s="167" customFormat="1" ht="15" customHeight="1" outlineLevel="2" x14ac:dyDescent="0.2">
      <c r="B219" s="60" t="s">
        <v>3838</v>
      </c>
      <c r="C219" s="549" t="s">
        <v>1837</v>
      </c>
      <c r="D219" s="166" t="s">
        <v>299</v>
      </c>
      <c r="E219" s="173"/>
      <c r="F219" s="174"/>
      <c r="G219" s="165"/>
    </row>
    <row r="220" spans="2:7" s="167" customFormat="1" ht="15" customHeight="1" outlineLevel="2" x14ac:dyDescent="0.2">
      <c r="B220" s="60" t="s">
        <v>3839</v>
      </c>
      <c r="C220" s="549" t="s">
        <v>1838</v>
      </c>
      <c r="D220" s="166" t="s">
        <v>299</v>
      </c>
      <c r="E220" s="173"/>
      <c r="F220" s="174"/>
      <c r="G220" s="165"/>
    </row>
    <row r="221" spans="2:7" s="167" customFormat="1" ht="15" customHeight="1" outlineLevel="2" x14ac:dyDescent="0.2">
      <c r="B221" s="60" t="s">
        <v>3840</v>
      </c>
      <c r="C221" s="549" t="s">
        <v>1839</v>
      </c>
      <c r="D221" s="166" t="s">
        <v>299</v>
      </c>
      <c r="E221" s="173"/>
      <c r="F221" s="174"/>
      <c r="G221" s="165"/>
    </row>
    <row r="222" spans="2:7" s="167" customFormat="1" ht="15" customHeight="1" outlineLevel="2" x14ac:dyDescent="0.2">
      <c r="B222" s="60" t="s">
        <v>3841</v>
      </c>
      <c r="C222" s="549" t="s">
        <v>1840</v>
      </c>
      <c r="D222" s="166" t="s">
        <v>299</v>
      </c>
      <c r="E222" s="173"/>
      <c r="F222" s="174"/>
      <c r="G222" s="165"/>
    </row>
    <row r="223" spans="2:7" s="167" customFormat="1" ht="15" customHeight="1" outlineLevel="2" x14ac:dyDescent="0.2">
      <c r="B223" s="60" t="s">
        <v>3842</v>
      </c>
      <c r="C223" s="549" t="s">
        <v>1841</v>
      </c>
      <c r="D223" s="166" t="s">
        <v>299</v>
      </c>
      <c r="E223" s="173"/>
      <c r="F223" s="174"/>
      <c r="G223" s="165"/>
    </row>
    <row r="224" spans="2:7" s="167" customFormat="1" ht="15" customHeight="1" outlineLevel="2" x14ac:dyDescent="0.2">
      <c r="B224" s="60" t="s">
        <v>3843</v>
      </c>
      <c r="C224" s="549" t="s">
        <v>1842</v>
      </c>
      <c r="D224" s="166" t="s">
        <v>299</v>
      </c>
      <c r="E224" s="173"/>
      <c r="F224" s="174"/>
      <c r="G224" s="165"/>
    </row>
    <row r="225" spans="2:7" s="167" customFormat="1" ht="15" customHeight="1" outlineLevel="2" x14ac:dyDescent="0.2">
      <c r="B225" s="60" t="s">
        <v>3844</v>
      </c>
      <c r="C225" s="549" t="s">
        <v>1843</v>
      </c>
      <c r="D225" s="166" t="s">
        <v>299</v>
      </c>
      <c r="E225" s="173"/>
      <c r="F225" s="174"/>
      <c r="G225" s="165"/>
    </row>
    <row r="226" spans="2:7" s="144" customFormat="1" ht="15" customHeight="1" x14ac:dyDescent="0.2">
      <c r="B226" s="60" t="s">
        <v>3845</v>
      </c>
      <c r="C226" s="565">
        <v>8</v>
      </c>
      <c r="D226" s="168" t="s">
        <v>290</v>
      </c>
      <c r="E226" s="155">
        <f>E227+E248</f>
        <v>0</v>
      </c>
      <c r="F226" s="209">
        <f>F227+F248</f>
        <v>0</v>
      </c>
      <c r="G226" s="159"/>
    </row>
    <row r="227" spans="2:7" s="134" customFormat="1" ht="15" customHeight="1" outlineLevel="1" x14ac:dyDescent="0.2">
      <c r="B227" s="60" t="s">
        <v>3846</v>
      </c>
      <c r="C227" s="499">
        <v>8.1</v>
      </c>
      <c r="D227" s="162" t="s">
        <v>35</v>
      </c>
      <c r="E227" s="91">
        <f>SUM(E228:E247)</f>
        <v>0</v>
      </c>
      <c r="F227" s="92">
        <f>SUM(F228:F247)</f>
        <v>0</v>
      </c>
      <c r="G227" s="138"/>
    </row>
    <row r="228" spans="2:7" s="167" customFormat="1" ht="15" customHeight="1" outlineLevel="2" x14ac:dyDescent="0.2">
      <c r="B228" s="60" t="s">
        <v>3847</v>
      </c>
      <c r="C228" s="549" t="s">
        <v>1883</v>
      </c>
      <c r="D228" s="166" t="s">
        <v>299</v>
      </c>
      <c r="E228" s="173"/>
      <c r="F228" s="174"/>
      <c r="G228" s="165"/>
    </row>
    <row r="229" spans="2:7" s="167" customFormat="1" ht="15" customHeight="1" outlineLevel="2" x14ac:dyDescent="0.2">
      <c r="B229" s="60" t="s">
        <v>3848</v>
      </c>
      <c r="C229" s="549" t="s">
        <v>1884</v>
      </c>
      <c r="D229" s="166" t="s">
        <v>299</v>
      </c>
      <c r="E229" s="173"/>
      <c r="F229" s="174"/>
      <c r="G229" s="165"/>
    </row>
    <row r="230" spans="2:7" s="167" customFormat="1" ht="15" customHeight="1" outlineLevel="2" x14ac:dyDescent="0.2">
      <c r="B230" s="60" t="s">
        <v>3849</v>
      </c>
      <c r="C230" s="549" t="s">
        <v>1885</v>
      </c>
      <c r="D230" s="166" t="s">
        <v>299</v>
      </c>
      <c r="E230" s="173"/>
      <c r="F230" s="174"/>
      <c r="G230" s="165"/>
    </row>
    <row r="231" spans="2:7" s="167" customFormat="1" ht="15" customHeight="1" outlineLevel="2" x14ac:dyDescent="0.2">
      <c r="B231" s="60" t="s">
        <v>3850</v>
      </c>
      <c r="C231" s="549" t="s">
        <v>1886</v>
      </c>
      <c r="D231" s="166" t="s">
        <v>299</v>
      </c>
      <c r="E231" s="173"/>
      <c r="F231" s="174"/>
      <c r="G231" s="165"/>
    </row>
    <row r="232" spans="2:7" s="167" customFormat="1" ht="15" customHeight="1" outlineLevel="2" x14ac:dyDescent="0.2">
      <c r="B232" s="60" t="s">
        <v>3851</v>
      </c>
      <c r="C232" s="549" t="s">
        <v>1887</v>
      </c>
      <c r="D232" s="166" t="s">
        <v>299</v>
      </c>
      <c r="E232" s="173"/>
      <c r="F232" s="174"/>
      <c r="G232" s="165"/>
    </row>
    <row r="233" spans="2:7" s="167" customFormat="1" ht="15" customHeight="1" outlineLevel="2" x14ac:dyDescent="0.2">
      <c r="B233" s="60" t="s">
        <v>3852</v>
      </c>
      <c r="C233" s="549" t="s">
        <v>1888</v>
      </c>
      <c r="D233" s="166" t="s">
        <v>299</v>
      </c>
      <c r="E233" s="173"/>
      <c r="F233" s="174"/>
      <c r="G233" s="165"/>
    </row>
    <row r="234" spans="2:7" s="167" customFormat="1" ht="15" customHeight="1" outlineLevel="2" x14ac:dyDescent="0.2">
      <c r="B234" s="60" t="s">
        <v>3853</v>
      </c>
      <c r="C234" s="549" t="s">
        <v>1889</v>
      </c>
      <c r="D234" s="166" t="s">
        <v>299</v>
      </c>
      <c r="E234" s="173"/>
      <c r="F234" s="174"/>
      <c r="G234" s="165"/>
    </row>
    <row r="235" spans="2:7" s="167" customFormat="1" ht="15" customHeight="1" outlineLevel="2" x14ac:dyDescent="0.2">
      <c r="B235" s="60" t="s">
        <v>3854</v>
      </c>
      <c r="C235" s="549" t="s">
        <v>1890</v>
      </c>
      <c r="D235" s="166" t="s">
        <v>299</v>
      </c>
      <c r="E235" s="173"/>
      <c r="F235" s="174"/>
      <c r="G235" s="165"/>
    </row>
    <row r="236" spans="2:7" s="167" customFormat="1" ht="15" customHeight="1" outlineLevel="2" x14ac:dyDescent="0.2">
      <c r="B236" s="60" t="s">
        <v>3855</v>
      </c>
      <c r="C236" s="549" t="s">
        <v>1891</v>
      </c>
      <c r="D236" s="166" t="s">
        <v>299</v>
      </c>
      <c r="E236" s="173"/>
      <c r="F236" s="174"/>
      <c r="G236" s="165"/>
    </row>
    <row r="237" spans="2:7" s="167" customFormat="1" ht="15" customHeight="1" outlineLevel="2" x14ac:dyDescent="0.2">
      <c r="B237" s="60" t="s">
        <v>3856</v>
      </c>
      <c r="C237" s="549" t="s">
        <v>1892</v>
      </c>
      <c r="D237" s="166" t="s">
        <v>299</v>
      </c>
      <c r="E237" s="173"/>
      <c r="F237" s="174"/>
      <c r="G237" s="165"/>
    </row>
    <row r="238" spans="2:7" s="167" customFormat="1" ht="15" customHeight="1" outlineLevel="2" x14ac:dyDescent="0.2">
      <c r="B238" s="60" t="s">
        <v>3857</v>
      </c>
      <c r="C238" s="549" t="s">
        <v>1893</v>
      </c>
      <c r="D238" s="166" t="s">
        <v>299</v>
      </c>
      <c r="E238" s="173"/>
      <c r="F238" s="174"/>
      <c r="G238" s="165"/>
    </row>
    <row r="239" spans="2:7" s="167" customFormat="1" ht="15" customHeight="1" outlineLevel="2" x14ac:dyDescent="0.2">
      <c r="B239" s="60" t="s">
        <v>3858</v>
      </c>
      <c r="C239" s="549" t="s">
        <v>1894</v>
      </c>
      <c r="D239" s="166" t="s">
        <v>299</v>
      </c>
      <c r="E239" s="173"/>
      <c r="F239" s="174"/>
      <c r="G239" s="165"/>
    </row>
    <row r="240" spans="2:7" s="167" customFormat="1" ht="15" customHeight="1" outlineLevel="2" x14ac:dyDescent="0.2">
      <c r="B240" s="60" t="s">
        <v>3859</v>
      </c>
      <c r="C240" s="549" t="s">
        <v>1895</v>
      </c>
      <c r="D240" s="166" t="s">
        <v>299</v>
      </c>
      <c r="E240" s="173"/>
      <c r="F240" s="174"/>
      <c r="G240" s="165"/>
    </row>
    <row r="241" spans="2:7" s="167" customFormat="1" ht="15" customHeight="1" outlineLevel="2" x14ac:dyDescent="0.2">
      <c r="B241" s="60" t="s">
        <v>3860</v>
      </c>
      <c r="C241" s="549" t="s">
        <v>1896</v>
      </c>
      <c r="D241" s="166" t="s">
        <v>299</v>
      </c>
      <c r="E241" s="173"/>
      <c r="F241" s="174"/>
      <c r="G241" s="165"/>
    </row>
    <row r="242" spans="2:7" s="167" customFormat="1" ht="15" customHeight="1" outlineLevel="2" x14ac:dyDescent="0.2">
      <c r="B242" s="60" t="s">
        <v>3861</v>
      </c>
      <c r="C242" s="549" t="s">
        <v>1897</v>
      </c>
      <c r="D242" s="166" t="s">
        <v>299</v>
      </c>
      <c r="E242" s="173"/>
      <c r="F242" s="174"/>
      <c r="G242" s="165"/>
    </row>
    <row r="243" spans="2:7" s="167" customFormat="1" ht="15" customHeight="1" outlineLevel="2" x14ac:dyDescent="0.2">
      <c r="B243" s="60" t="s">
        <v>3862</v>
      </c>
      <c r="C243" s="549" t="s">
        <v>1898</v>
      </c>
      <c r="D243" s="166" t="s">
        <v>299</v>
      </c>
      <c r="E243" s="173"/>
      <c r="F243" s="174"/>
      <c r="G243" s="165"/>
    </row>
    <row r="244" spans="2:7" s="167" customFormat="1" ht="15" customHeight="1" outlineLevel="2" x14ac:dyDescent="0.2">
      <c r="B244" s="60" t="s">
        <v>3863</v>
      </c>
      <c r="C244" s="549" t="s">
        <v>1899</v>
      </c>
      <c r="D244" s="166" t="s">
        <v>299</v>
      </c>
      <c r="E244" s="173"/>
      <c r="F244" s="174"/>
      <c r="G244" s="165"/>
    </row>
    <row r="245" spans="2:7" s="167" customFormat="1" ht="15" customHeight="1" outlineLevel="2" x14ac:dyDescent="0.2">
      <c r="B245" s="60" t="s">
        <v>3864</v>
      </c>
      <c r="C245" s="549" t="s">
        <v>1900</v>
      </c>
      <c r="D245" s="166" t="s">
        <v>299</v>
      </c>
      <c r="E245" s="173"/>
      <c r="F245" s="174"/>
      <c r="G245" s="165"/>
    </row>
    <row r="246" spans="2:7" s="167" customFormat="1" ht="15" customHeight="1" outlineLevel="2" x14ac:dyDescent="0.2">
      <c r="B246" s="60" t="s">
        <v>3865</v>
      </c>
      <c r="C246" s="549" t="s">
        <v>1901</v>
      </c>
      <c r="D246" s="166" t="s">
        <v>299</v>
      </c>
      <c r="E246" s="173"/>
      <c r="F246" s="174"/>
      <c r="G246" s="165"/>
    </row>
    <row r="247" spans="2:7" s="167" customFormat="1" ht="15" customHeight="1" outlineLevel="2" x14ac:dyDescent="0.2">
      <c r="B247" s="60" t="s">
        <v>3866</v>
      </c>
      <c r="C247" s="549" t="s">
        <v>1902</v>
      </c>
      <c r="D247" s="166" t="s">
        <v>299</v>
      </c>
      <c r="E247" s="173"/>
      <c r="F247" s="174"/>
      <c r="G247" s="165"/>
    </row>
    <row r="248" spans="2:7" s="134" customFormat="1" ht="15" customHeight="1" outlineLevel="1" x14ac:dyDescent="0.2">
      <c r="B248" s="60" t="s">
        <v>3867</v>
      </c>
      <c r="C248" s="499">
        <v>8.1999999999999993</v>
      </c>
      <c r="D248" s="162" t="s">
        <v>36</v>
      </c>
      <c r="E248" s="91">
        <f>SUM(E249:E268)</f>
        <v>0</v>
      </c>
      <c r="F248" s="92">
        <f>SUM(F249:F268)</f>
        <v>0</v>
      </c>
      <c r="G248" s="138"/>
    </row>
    <row r="249" spans="2:7" s="167" customFormat="1" ht="15" customHeight="1" outlineLevel="2" x14ac:dyDescent="0.2">
      <c r="B249" s="60" t="s">
        <v>3868</v>
      </c>
      <c r="C249" s="549" t="s">
        <v>711</v>
      </c>
      <c r="D249" s="166" t="s">
        <v>299</v>
      </c>
      <c r="E249" s="173"/>
      <c r="F249" s="174"/>
      <c r="G249" s="165"/>
    </row>
    <row r="250" spans="2:7" s="167" customFormat="1" ht="15" customHeight="1" outlineLevel="2" x14ac:dyDescent="0.2">
      <c r="B250" s="60" t="s">
        <v>3869</v>
      </c>
      <c r="C250" s="549" t="s">
        <v>732</v>
      </c>
      <c r="D250" s="166" t="s">
        <v>299</v>
      </c>
      <c r="E250" s="173"/>
      <c r="F250" s="174"/>
      <c r="G250" s="165"/>
    </row>
    <row r="251" spans="2:7" s="167" customFormat="1" ht="15" customHeight="1" outlineLevel="2" x14ac:dyDescent="0.2">
      <c r="B251" s="60" t="s">
        <v>3870</v>
      </c>
      <c r="C251" s="549" t="s">
        <v>753</v>
      </c>
      <c r="D251" s="166" t="s">
        <v>299</v>
      </c>
      <c r="E251" s="173"/>
      <c r="F251" s="174"/>
      <c r="G251" s="165"/>
    </row>
    <row r="252" spans="2:7" s="167" customFormat="1" ht="15" customHeight="1" outlineLevel="2" x14ac:dyDescent="0.2">
      <c r="B252" s="60" t="s">
        <v>3871</v>
      </c>
      <c r="C252" s="549" t="s">
        <v>774</v>
      </c>
      <c r="D252" s="166" t="s">
        <v>299</v>
      </c>
      <c r="E252" s="173"/>
      <c r="F252" s="174"/>
      <c r="G252" s="165"/>
    </row>
    <row r="253" spans="2:7" s="167" customFormat="1" ht="15" customHeight="1" outlineLevel="2" x14ac:dyDescent="0.2">
      <c r="B253" s="60" t="s">
        <v>3872</v>
      </c>
      <c r="C253" s="549" t="s">
        <v>1903</v>
      </c>
      <c r="D253" s="166" t="s">
        <v>299</v>
      </c>
      <c r="E253" s="173"/>
      <c r="F253" s="174"/>
      <c r="G253" s="165"/>
    </row>
    <row r="254" spans="2:7" s="167" customFormat="1" ht="15" customHeight="1" outlineLevel="2" x14ac:dyDescent="0.2">
      <c r="B254" s="60" t="s">
        <v>3873</v>
      </c>
      <c r="C254" s="549" t="s">
        <v>1904</v>
      </c>
      <c r="D254" s="166" t="s">
        <v>299</v>
      </c>
      <c r="E254" s="173"/>
      <c r="F254" s="174"/>
      <c r="G254" s="165"/>
    </row>
    <row r="255" spans="2:7" s="167" customFormat="1" ht="15" customHeight="1" outlineLevel="2" x14ac:dyDescent="0.2">
      <c r="B255" s="60" t="s">
        <v>3874</v>
      </c>
      <c r="C255" s="549" t="s">
        <v>1905</v>
      </c>
      <c r="D255" s="166" t="s">
        <v>299</v>
      </c>
      <c r="E255" s="173"/>
      <c r="F255" s="174"/>
      <c r="G255" s="165"/>
    </row>
    <row r="256" spans="2:7" s="167" customFormat="1" ht="15" customHeight="1" outlineLevel="2" x14ac:dyDescent="0.2">
      <c r="B256" s="60" t="s">
        <v>3875</v>
      </c>
      <c r="C256" s="549" t="s">
        <v>1906</v>
      </c>
      <c r="D256" s="166" t="s">
        <v>299</v>
      </c>
      <c r="E256" s="173"/>
      <c r="F256" s="174"/>
      <c r="G256" s="165"/>
    </row>
    <row r="257" spans="2:7" s="167" customFormat="1" ht="15" customHeight="1" outlineLevel="2" x14ac:dyDescent="0.2">
      <c r="B257" s="60" t="s">
        <v>3876</v>
      </c>
      <c r="C257" s="549" t="s">
        <v>1907</v>
      </c>
      <c r="D257" s="166" t="s">
        <v>299</v>
      </c>
      <c r="E257" s="173"/>
      <c r="F257" s="174"/>
      <c r="G257" s="165"/>
    </row>
    <row r="258" spans="2:7" s="167" customFormat="1" ht="15" customHeight="1" outlineLevel="2" x14ac:dyDescent="0.2">
      <c r="B258" s="60" t="s">
        <v>3877</v>
      </c>
      <c r="C258" s="549" t="s">
        <v>1908</v>
      </c>
      <c r="D258" s="166" t="s">
        <v>299</v>
      </c>
      <c r="E258" s="173"/>
      <c r="F258" s="174"/>
      <c r="G258" s="165"/>
    </row>
    <row r="259" spans="2:7" s="167" customFormat="1" ht="15" customHeight="1" outlineLevel="2" x14ac:dyDescent="0.2">
      <c r="B259" s="60" t="s">
        <v>3878</v>
      </c>
      <c r="C259" s="549" t="s">
        <v>1909</v>
      </c>
      <c r="D259" s="166" t="s">
        <v>299</v>
      </c>
      <c r="E259" s="173"/>
      <c r="F259" s="174"/>
      <c r="G259" s="165"/>
    </row>
    <row r="260" spans="2:7" s="167" customFormat="1" ht="15" customHeight="1" outlineLevel="2" x14ac:dyDescent="0.2">
      <c r="B260" s="60" t="s">
        <v>3879</v>
      </c>
      <c r="C260" s="549" t="s">
        <v>1910</v>
      </c>
      <c r="D260" s="166" t="s">
        <v>299</v>
      </c>
      <c r="E260" s="173"/>
      <c r="F260" s="174"/>
      <c r="G260" s="165"/>
    </row>
    <row r="261" spans="2:7" s="167" customFormat="1" ht="15" customHeight="1" outlineLevel="2" x14ac:dyDescent="0.2">
      <c r="B261" s="60" t="s">
        <v>3880</v>
      </c>
      <c r="C261" s="549" t="s">
        <v>1911</v>
      </c>
      <c r="D261" s="166" t="s">
        <v>299</v>
      </c>
      <c r="E261" s="173"/>
      <c r="F261" s="174"/>
      <c r="G261" s="165"/>
    </row>
    <row r="262" spans="2:7" s="167" customFormat="1" ht="15" customHeight="1" outlineLevel="2" x14ac:dyDescent="0.2">
      <c r="B262" s="60" t="s">
        <v>3881</v>
      </c>
      <c r="C262" s="549" t="s">
        <v>1912</v>
      </c>
      <c r="D262" s="166" t="s">
        <v>299</v>
      </c>
      <c r="E262" s="173"/>
      <c r="F262" s="174"/>
      <c r="G262" s="165"/>
    </row>
    <row r="263" spans="2:7" s="167" customFormat="1" ht="15" customHeight="1" outlineLevel="2" x14ac:dyDescent="0.2">
      <c r="B263" s="60" t="s">
        <v>3882</v>
      </c>
      <c r="C263" s="549" t="s">
        <v>1913</v>
      </c>
      <c r="D263" s="166" t="s">
        <v>299</v>
      </c>
      <c r="E263" s="173"/>
      <c r="F263" s="174"/>
      <c r="G263" s="165"/>
    </row>
    <row r="264" spans="2:7" s="167" customFormat="1" ht="15" customHeight="1" outlineLevel="2" x14ac:dyDescent="0.2">
      <c r="B264" s="60" t="s">
        <v>3883</v>
      </c>
      <c r="C264" s="549" t="s">
        <v>1914</v>
      </c>
      <c r="D264" s="166" t="s">
        <v>299</v>
      </c>
      <c r="E264" s="173"/>
      <c r="F264" s="174"/>
      <c r="G264" s="165"/>
    </row>
    <row r="265" spans="2:7" s="167" customFormat="1" ht="15" customHeight="1" outlineLevel="2" x14ac:dyDescent="0.2">
      <c r="B265" s="60" t="s">
        <v>3884</v>
      </c>
      <c r="C265" s="549" t="s">
        <v>1915</v>
      </c>
      <c r="D265" s="166" t="s">
        <v>299</v>
      </c>
      <c r="E265" s="173"/>
      <c r="F265" s="174"/>
      <c r="G265" s="165"/>
    </row>
    <row r="266" spans="2:7" s="167" customFormat="1" ht="15" customHeight="1" outlineLevel="2" x14ac:dyDescent="0.2">
      <c r="B266" s="60" t="s">
        <v>3885</v>
      </c>
      <c r="C266" s="549" t="s">
        <v>1916</v>
      </c>
      <c r="D266" s="166" t="s">
        <v>299</v>
      </c>
      <c r="E266" s="173"/>
      <c r="F266" s="174"/>
      <c r="G266" s="165"/>
    </row>
    <row r="267" spans="2:7" s="167" customFormat="1" ht="15" customHeight="1" outlineLevel="2" x14ac:dyDescent="0.2">
      <c r="B267" s="60" t="s">
        <v>3886</v>
      </c>
      <c r="C267" s="549" t="s">
        <v>1917</v>
      </c>
      <c r="D267" s="166" t="s">
        <v>299</v>
      </c>
      <c r="E267" s="173"/>
      <c r="F267" s="174"/>
      <c r="G267" s="165"/>
    </row>
    <row r="268" spans="2:7" s="167" customFormat="1" ht="15" customHeight="1" outlineLevel="2" x14ac:dyDescent="0.2">
      <c r="B268" s="60" t="s">
        <v>3887</v>
      </c>
      <c r="C268" s="549" t="s">
        <v>1918</v>
      </c>
      <c r="D268" s="166" t="s">
        <v>299</v>
      </c>
      <c r="E268" s="173"/>
      <c r="F268" s="174"/>
      <c r="G268" s="165"/>
    </row>
    <row r="269" spans="2:7" s="144" customFormat="1" ht="15" customHeight="1" x14ac:dyDescent="0.2">
      <c r="B269" s="60" t="s">
        <v>3888</v>
      </c>
      <c r="C269" s="565">
        <v>9</v>
      </c>
      <c r="D269" s="168" t="s">
        <v>282</v>
      </c>
      <c r="E269" s="155">
        <f>E270+E291</f>
        <v>0</v>
      </c>
      <c r="F269" s="209">
        <f>F270+F291</f>
        <v>0</v>
      </c>
      <c r="G269" s="159"/>
    </row>
    <row r="270" spans="2:7" s="134" customFormat="1" ht="15" customHeight="1" outlineLevel="1" x14ac:dyDescent="0.2">
      <c r="B270" s="60" t="s">
        <v>3889</v>
      </c>
      <c r="C270" s="499">
        <v>9.1</v>
      </c>
      <c r="D270" s="162" t="s">
        <v>35</v>
      </c>
      <c r="E270" s="91">
        <f>SUM(E271:E290)</f>
        <v>0</v>
      </c>
      <c r="F270" s="92">
        <f>SUM(F271:F290)</f>
        <v>0</v>
      </c>
      <c r="G270" s="138"/>
    </row>
    <row r="271" spans="2:7" s="167" customFormat="1" ht="15" customHeight="1" outlineLevel="2" x14ac:dyDescent="0.2">
      <c r="B271" s="60" t="s">
        <v>3890</v>
      </c>
      <c r="C271" s="549" t="s">
        <v>1951</v>
      </c>
      <c r="D271" s="166" t="s">
        <v>299</v>
      </c>
      <c r="E271" s="173"/>
      <c r="F271" s="174"/>
      <c r="G271" s="165"/>
    </row>
    <row r="272" spans="2:7" s="167" customFormat="1" ht="15" customHeight="1" outlineLevel="2" x14ac:dyDescent="0.2">
      <c r="B272" s="60" t="s">
        <v>3891</v>
      </c>
      <c r="C272" s="549" t="s">
        <v>1952</v>
      </c>
      <c r="D272" s="166" t="s">
        <v>299</v>
      </c>
      <c r="E272" s="173"/>
      <c r="F272" s="174"/>
      <c r="G272" s="165"/>
    </row>
    <row r="273" spans="2:7" s="167" customFormat="1" ht="15" customHeight="1" outlineLevel="2" x14ac:dyDescent="0.2">
      <c r="B273" s="60" t="s">
        <v>3892</v>
      </c>
      <c r="C273" s="549" t="s">
        <v>1953</v>
      </c>
      <c r="D273" s="166" t="s">
        <v>299</v>
      </c>
      <c r="E273" s="173"/>
      <c r="F273" s="174"/>
      <c r="G273" s="165"/>
    </row>
    <row r="274" spans="2:7" s="167" customFormat="1" ht="15" customHeight="1" outlineLevel="2" x14ac:dyDescent="0.2">
      <c r="B274" s="60" t="s">
        <v>3893</v>
      </c>
      <c r="C274" s="549" t="s">
        <v>1954</v>
      </c>
      <c r="D274" s="166" t="s">
        <v>299</v>
      </c>
      <c r="E274" s="173"/>
      <c r="F274" s="174"/>
      <c r="G274" s="165"/>
    </row>
    <row r="275" spans="2:7" s="167" customFormat="1" ht="15" customHeight="1" outlineLevel="2" x14ac:dyDescent="0.2">
      <c r="B275" s="60" t="s">
        <v>3894</v>
      </c>
      <c r="C275" s="549" t="s">
        <v>1955</v>
      </c>
      <c r="D275" s="166" t="s">
        <v>299</v>
      </c>
      <c r="E275" s="173"/>
      <c r="F275" s="174"/>
      <c r="G275" s="165"/>
    </row>
    <row r="276" spans="2:7" s="167" customFormat="1" ht="15" customHeight="1" outlineLevel="2" x14ac:dyDescent="0.2">
      <c r="B276" s="60" t="s">
        <v>3895</v>
      </c>
      <c r="C276" s="549" t="s">
        <v>1956</v>
      </c>
      <c r="D276" s="166" t="s">
        <v>299</v>
      </c>
      <c r="E276" s="173"/>
      <c r="F276" s="174"/>
      <c r="G276" s="165"/>
    </row>
    <row r="277" spans="2:7" s="167" customFormat="1" ht="15" customHeight="1" outlineLevel="2" x14ac:dyDescent="0.2">
      <c r="B277" s="60" t="s">
        <v>3896</v>
      </c>
      <c r="C277" s="549" t="s">
        <v>1957</v>
      </c>
      <c r="D277" s="166" t="s">
        <v>299</v>
      </c>
      <c r="E277" s="173"/>
      <c r="F277" s="174"/>
      <c r="G277" s="165"/>
    </row>
    <row r="278" spans="2:7" s="167" customFormat="1" ht="15" customHeight="1" outlineLevel="2" x14ac:dyDescent="0.2">
      <c r="B278" s="60" t="s">
        <v>3897</v>
      </c>
      <c r="C278" s="549" t="s">
        <v>1958</v>
      </c>
      <c r="D278" s="166" t="s">
        <v>299</v>
      </c>
      <c r="E278" s="173"/>
      <c r="F278" s="174"/>
      <c r="G278" s="165"/>
    </row>
    <row r="279" spans="2:7" s="167" customFormat="1" ht="15" customHeight="1" outlineLevel="2" x14ac:dyDescent="0.2">
      <c r="B279" s="60" t="s">
        <v>3898</v>
      </c>
      <c r="C279" s="549" t="s">
        <v>1959</v>
      </c>
      <c r="D279" s="166" t="s">
        <v>299</v>
      </c>
      <c r="E279" s="173"/>
      <c r="F279" s="174"/>
      <c r="G279" s="165"/>
    </row>
    <row r="280" spans="2:7" s="167" customFormat="1" ht="15" customHeight="1" outlineLevel="2" x14ac:dyDescent="0.2">
      <c r="B280" s="60" t="s">
        <v>3899</v>
      </c>
      <c r="C280" s="549" t="s">
        <v>1960</v>
      </c>
      <c r="D280" s="166" t="s">
        <v>299</v>
      </c>
      <c r="E280" s="173"/>
      <c r="F280" s="174"/>
      <c r="G280" s="165"/>
    </row>
    <row r="281" spans="2:7" s="167" customFormat="1" ht="15" customHeight="1" outlineLevel="2" x14ac:dyDescent="0.2">
      <c r="B281" s="60" t="s">
        <v>3900</v>
      </c>
      <c r="C281" s="549" t="s">
        <v>1961</v>
      </c>
      <c r="D281" s="166" t="s">
        <v>299</v>
      </c>
      <c r="E281" s="173"/>
      <c r="F281" s="174"/>
      <c r="G281" s="165"/>
    </row>
    <row r="282" spans="2:7" s="167" customFormat="1" ht="15" customHeight="1" outlineLevel="2" x14ac:dyDescent="0.2">
      <c r="B282" s="60" t="s">
        <v>3901</v>
      </c>
      <c r="C282" s="549" t="s">
        <v>1962</v>
      </c>
      <c r="D282" s="166" t="s">
        <v>299</v>
      </c>
      <c r="E282" s="173"/>
      <c r="F282" s="174"/>
      <c r="G282" s="165"/>
    </row>
    <row r="283" spans="2:7" s="167" customFormat="1" ht="15" customHeight="1" outlineLevel="2" x14ac:dyDescent="0.2">
      <c r="B283" s="60" t="s">
        <v>3902</v>
      </c>
      <c r="C283" s="549" t="s">
        <v>1963</v>
      </c>
      <c r="D283" s="166" t="s">
        <v>299</v>
      </c>
      <c r="E283" s="173"/>
      <c r="F283" s="174"/>
      <c r="G283" s="165"/>
    </row>
    <row r="284" spans="2:7" s="167" customFormat="1" ht="15" customHeight="1" outlineLevel="2" x14ac:dyDescent="0.2">
      <c r="B284" s="60" t="s">
        <v>3903</v>
      </c>
      <c r="C284" s="549" t="s">
        <v>1964</v>
      </c>
      <c r="D284" s="166" t="s">
        <v>299</v>
      </c>
      <c r="E284" s="173"/>
      <c r="F284" s="174"/>
      <c r="G284" s="165"/>
    </row>
    <row r="285" spans="2:7" s="167" customFormat="1" ht="15" customHeight="1" outlineLevel="2" x14ac:dyDescent="0.2">
      <c r="B285" s="60" t="s">
        <v>3904</v>
      </c>
      <c r="C285" s="549" t="s">
        <v>1965</v>
      </c>
      <c r="D285" s="166" t="s">
        <v>299</v>
      </c>
      <c r="E285" s="173"/>
      <c r="F285" s="174"/>
      <c r="G285" s="165"/>
    </row>
    <row r="286" spans="2:7" s="167" customFormat="1" ht="15" customHeight="1" outlineLevel="2" x14ac:dyDescent="0.2">
      <c r="B286" s="60" t="s">
        <v>3905</v>
      </c>
      <c r="C286" s="549" t="s">
        <v>1966</v>
      </c>
      <c r="D286" s="166" t="s">
        <v>299</v>
      </c>
      <c r="E286" s="173"/>
      <c r="F286" s="174"/>
      <c r="G286" s="165"/>
    </row>
    <row r="287" spans="2:7" s="167" customFormat="1" ht="15" customHeight="1" outlineLevel="2" x14ac:dyDescent="0.2">
      <c r="B287" s="60" t="s">
        <v>3906</v>
      </c>
      <c r="C287" s="549" t="s">
        <v>1967</v>
      </c>
      <c r="D287" s="166" t="s">
        <v>299</v>
      </c>
      <c r="E287" s="173"/>
      <c r="F287" s="174"/>
      <c r="G287" s="165"/>
    </row>
    <row r="288" spans="2:7" s="167" customFormat="1" ht="15" customHeight="1" outlineLevel="2" x14ac:dyDescent="0.2">
      <c r="B288" s="60" t="s">
        <v>3907</v>
      </c>
      <c r="C288" s="549" t="s">
        <v>1968</v>
      </c>
      <c r="D288" s="166" t="s">
        <v>299</v>
      </c>
      <c r="E288" s="173"/>
      <c r="F288" s="174"/>
      <c r="G288" s="165"/>
    </row>
    <row r="289" spans="2:7" s="167" customFormat="1" ht="15" customHeight="1" outlineLevel="2" x14ac:dyDescent="0.2">
      <c r="B289" s="60" t="s">
        <v>3908</v>
      </c>
      <c r="C289" s="549" t="s">
        <v>1969</v>
      </c>
      <c r="D289" s="166" t="s">
        <v>299</v>
      </c>
      <c r="E289" s="173"/>
      <c r="F289" s="174"/>
      <c r="G289" s="165"/>
    </row>
    <row r="290" spans="2:7" s="167" customFormat="1" ht="15" customHeight="1" outlineLevel="2" x14ac:dyDescent="0.2">
      <c r="B290" s="60" t="s">
        <v>3909</v>
      </c>
      <c r="C290" s="549" t="s">
        <v>1970</v>
      </c>
      <c r="D290" s="166" t="s">
        <v>299</v>
      </c>
      <c r="E290" s="173"/>
      <c r="F290" s="174"/>
      <c r="G290" s="165"/>
    </row>
    <row r="291" spans="2:7" s="134" customFormat="1" ht="15" customHeight="1" outlineLevel="1" x14ac:dyDescent="0.2">
      <c r="B291" s="60" t="s">
        <v>3910</v>
      </c>
      <c r="C291" s="499">
        <v>9.1999999999999993</v>
      </c>
      <c r="D291" s="162" t="s">
        <v>36</v>
      </c>
      <c r="E291" s="91">
        <f>SUM(E292:E311)</f>
        <v>0</v>
      </c>
      <c r="F291" s="92">
        <f>SUM(F292:F311)</f>
        <v>0</v>
      </c>
      <c r="G291" s="138"/>
    </row>
    <row r="292" spans="2:7" s="167" customFormat="1" ht="15" customHeight="1" outlineLevel="2" x14ac:dyDescent="0.2">
      <c r="B292" s="60" t="s">
        <v>3911</v>
      </c>
      <c r="C292" s="549" t="s">
        <v>920</v>
      </c>
      <c r="D292" s="166" t="s">
        <v>299</v>
      </c>
      <c r="E292" s="173"/>
      <c r="F292" s="174"/>
      <c r="G292" s="165"/>
    </row>
    <row r="293" spans="2:7" s="167" customFormat="1" ht="15" customHeight="1" outlineLevel="2" x14ac:dyDescent="0.2">
      <c r="B293" s="60" t="s">
        <v>3912</v>
      </c>
      <c r="C293" s="549" t="s">
        <v>941</v>
      </c>
      <c r="D293" s="166" t="s">
        <v>299</v>
      </c>
      <c r="E293" s="173"/>
      <c r="F293" s="174"/>
      <c r="G293" s="165"/>
    </row>
    <row r="294" spans="2:7" s="167" customFormat="1" ht="15" customHeight="1" outlineLevel="2" x14ac:dyDescent="0.2">
      <c r="B294" s="60" t="s">
        <v>3913</v>
      </c>
      <c r="C294" s="549" t="s">
        <v>962</v>
      </c>
      <c r="D294" s="166" t="s">
        <v>299</v>
      </c>
      <c r="E294" s="173"/>
      <c r="F294" s="174"/>
      <c r="G294" s="165"/>
    </row>
    <row r="295" spans="2:7" s="167" customFormat="1" ht="15" customHeight="1" outlineLevel="2" x14ac:dyDescent="0.2">
      <c r="B295" s="60" t="s">
        <v>3914</v>
      </c>
      <c r="C295" s="549" t="s">
        <v>983</v>
      </c>
      <c r="D295" s="166" t="s">
        <v>299</v>
      </c>
      <c r="E295" s="173"/>
      <c r="F295" s="174"/>
      <c r="G295" s="165"/>
    </row>
    <row r="296" spans="2:7" s="167" customFormat="1" ht="15" customHeight="1" outlineLevel="2" x14ac:dyDescent="0.2">
      <c r="B296" s="60" t="s">
        <v>3915</v>
      </c>
      <c r="C296" s="549" t="s">
        <v>1971</v>
      </c>
      <c r="D296" s="166" t="s">
        <v>299</v>
      </c>
      <c r="E296" s="173"/>
      <c r="F296" s="174"/>
      <c r="G296" s="165"/>
    </row>
    <row r="297" spans="2:7" s="167" customFormat="1" ht="15" customHeight="1" outlineLevel="2" x14ac:dyDescent="0.2">
      <c r="B297" s="60" t="s">
        <v>3916</v>
      </c>
      <c r="C297" s="549" t="s">
        <v>1972</v>
      </c>
      <c r="D297" s="166" t="s">
        <v>299</v>
      </c>
      <c r="E297" s="173"/>
      <c r="F297" s="174"/>
      <c r="G297" s="165"/>
    </row>
    <row r="298" spans="2:7" s="167" customFormat="1" ht="15" customHeight="1" outlineLevel="2" x14ac:dyDescent="0.2">
      <c r="B298" s="60" t="s">
        <v>3917</v>
      </c>
      <c r="C298" s="549" t="s">
        <v>1973</v>
      </c>
      <c r="D298" s="166" t="s">
        <v>299</v>
      </c>
      <c r="E298" s="173"/>
      <c r="F298" s="174"/>
      <c r="G298" s="165"/>
    </row>
    <row r="299" spans="2:7" s="167" customFormat="1" ht="15" customHeight="1" outlineLevel="2" x14ac:dyDescent="0.2">
      <c r="B299" s="60" t="s">
        <v>3918</v>
      </c>
      <c r="C299" s="549" t="s">
        <v>1974</v>
      </c>
      <c r="D299" s="166" t="s">
        <v>299</v>
      </c>
      <c r="E299" s="173"/>
      <c r="F299" s="174"/>
      <c r="G299" s="165"/>
    </row>
    <row r="300" spans="2:7" s="167" customFormat="1" ht="15" customHeight="1" outlineLevel="2" x14ac:dyDescent="0.2">
      <c r="B300" s="60" t="s">
        <v>3919</v>
      </c>
      <c r="C300" s="549" t="s">
        <v>1975</v>
      </c>
      <c r="D300" s="166" t="s">
        <v>299</v>
      </c>
      <c r="E300" s="173"/>
      <c r="F300" s="174"/>
      <c r="G300" s="165"/>
    </row>
    <row r="301" spans="2:7" s="167" customFormat="1" ht="15" customHeight="1" outlineLevel="2" x14ac:dyDescent="0.2">
      <c r="B301" s="60" t="s">
        <v>3920</v>
      </c>
      <c r="C301" s="549" t="s">
        <v>1976</v>
      </c>
      <c r="D301" s="166" t="s">
        <v>299</v>
      </c>
      <c r="E301" s="173"/>
      <c r="F301" s="174"/>
      <c r="G301" s="165"/>
    </row>
    <row r="302" spans="2:7" s="167" customFormat="1" ht="15" customHeight="1" outlineLevel="2" x14ac:dyDescent="0.2">
      <c r="B302" s="60" t="s">
        <v>3921</v>
      </c>
      <c r="C302" s="549" t="s">
        <v>1977</v>
      </c>
      <c r="D302" s="166" t="s">
        <v>299</v>
      </c>
      <c r="E302" s="173"/>
      <c r="F302" s="174"/>
      <c r="G302" s="165"/>
    </row>
    <row r="303" spans="2:7" s="167" customFormat="1" ht="15" customHeight="1" outlineLevel="2" x14ac:dyDescent="0.2">
      <c r="B303" s="60" t="s">
        <v>3922</v>
      </c>
      <c r="C303" s="549" t="s">
        <v>1978</v>
      </c>
      <c r="D303" s="166" t="s">
        <v>299</v>
      </c>
      <c r="E303" s="173"/>
      <c r="F303" s="174"/>
      <c r="G303" s="165"/>
    </row>
    <row r="304" spans="2:7" s="167" customFormat="1" ht="15" customHeight="1" outlineLevel="2" x14ac:dyDescent="0.2">
      <c r="B304" s="60" t="s">
        <v>3923</v>
      </c>
      <c r="C304" s="549" t="s">
        <v>1979</v>
      </c>
      <c r="D304" s="166" t="s">
        <v>299</v>
      </c>
      <c r="E304" s="173"/>
      <c r="F304" s="174"/>
      <c r="G304" s="165"/>
    </row>
    <row r="305" spans="2:7" s="167" customFormat="1" ht="15" customHeight="1" outlineLevel="2" x14ac:dyDescent="0.2">
      <c r="B305" s="60" t="s">
        <v>3924</v>
      </c>
      <c r="C305" s="549" t="s">
        <v>1980</v>
      </c>
      <c r="D305" s="166" t="s">
        <v>299</v>
      </c>
      <c r="E305" s="173"/>
      <c r="F305" s="174"/>
      <c r="G305" s="165"/>
    </row>
    <row r="306" spans="2:7" s="167" customFormat="1" ht="15" customHeight="1" outlineLevel="2" x14ac:dyDescent="0.2">
      <c r="B306" s="60" t="s">
        <v>3925</v>
      </c>
      <c r="C306" s="549" t="s">
        <v>1981</v>
      </c>
      <c r="D306" s="166" t="s">
        <v>299</v>
      </c>
      <c r="E306" s="173"/>
      <c r="F306" s="174"/>
      <c r="G306" s="165"/>
    </row>
    <row r="307" spans="2:7" s="167" customFormat="1" ht="15" customHeight="1" outlineLevel="2" x14ac:dyDescent="0.2">
      <c r="B307" s="60" t="s">
        <v>3926</v>
      </c>
      <c r="C307" s="549" t="s">
        <v>1982</v>
      </c>
      <c r="D307" s="166" t="s">
        <v>299</v>
      </c>
      <c r="E307" s="173"/>
      <c r="F307" s="174"/>
      <c r="G307" s="165"/>
    </row>
    <row r="308" spans="2:7" s="167" customFormat="1" ht="15" customHeight="1" outlineLevel="2" x14ac:dyDescent="0.2">
      <c r="B308" s="60" t="s">
        <v>3927</v>
      </c>
      <c r="C308" s="549" t="s">
        <v>1983</v>
      </c>
      <c r="D308" s="166" t="s">
        <v>299</v>
      </c>
      <c r="E308" s="173"/>
      <c r="F308" s="174"/>
      <c r="G308" s="165"/>
    </row>
    <row r="309" spans="2:7" s="167" customFormat="1" ht="15" customHeight="1" outlineLevel="2" x14ac:dyDescent="0.2">
      <c r="B309" s="60" t="s">
        <v>3928</v>
      </c>
      <c r="C309" s="549" t="s">
        <v>1984</v>
      </c>
      <c r="D309" s="166" t="s">
        <v>299</v>
      </c>
      <c r="E309" s="173"/>
      <c r="F309" s="174"/>
      <c r="G309" s="165"/>
    </row>
    <row r="310" spans="2:7" s="167" customFormat="1" ht="15" customHeight="1" outlineLevel="2" x14ac:dyDescent="0.2">
      <c r="B310" s="60" t="s">
        <v>3929</v>
      </c>
      <c r="C310" s="549" t="s">
        <v>1985</v>
      </c>
      <c r="D310" s="166" t="s">
        <v>299</v>
      </c>
      <c r="E310" s="173"/>
      <c r="F310" s="174"/>
      <c r="G310" s="165"/>
    </row>
    <row r="311" spans="2:7" s="167" customFormat="1" ht="15" customHeight="1" outlineLevel="2" x14ac:dyDescent="0.2">
      <c r="B311" s="60" t="s">
        <v>3930</v>
      </c>
      <c r="C311" s="549" t="s">
        <v>1986</v>
      </c>
      <c r="D311" s="166" t="s">
        <v>299</v>
      </c>
      <c r="E311" s="173"/>
      <c r="F311" s="174"/>
      <c r="G311" s="165"/>
    </row>
    <row r="312" spans="2:7" s="144" customFormat="1" ht="15" customHeight="1" x14ac:dyDescent="0.2">
      <c r="B312" s="60" t="s">
        <v>3931</v>
      </c>
      <c r="C312" s="565">
        <v>10</v>
      </c>
      <c r="D312" s="168" t="s">
        <v>302</v>
      </c>
      <c r="E312" s="155">
        <f>E313+E334</f>
        <v>0</v>
      </c>
      <c r="F312" s="209">
        <f>F313+F334</f>
        <v>0</v>
      </c>
      <c r="G312" s="159"/>
    </row>
    <row r="313" spans="2:7" s="134" customFormat="1" ht="15" customHeight="1" outlineLevel="1" x14ac:dyDescent="0.2">
      <c r="B313" s="651" t="s">
        <v>3932</v>
      </c>
      <c r="C313" s="652">
        <v>10.1</v>
      </c>
      <c r="D313" s="653" t="s">
        <v>35</v>
      </c>
      <c r="E313" s="654">
        <f>SUM(E314:E333)</f>
        <v>0</v>
      </c>
      <c r="F313" s="655">
        <f>SUM(F314:F333)</f>
        <v>0</v>
      </c>
      <c r="G313" s="138"/>
    </row>
    <row r="314" spans="2:7" s="167" customFormat="1" ht="15" customHeight="1" outlineLevel="2" x14ac:dyDescent="0.2">
      <c r="B314" s="60" t="s">
        <v>3933</v>
      </c>
      <c r="C314" s="549" t="s">
        <v>2019</v>
      </c>
      <c r="D314" s="166" t="s">
        <v>299</v>
      </c>
      <c r="E314" s="173"/>
      <c r="F314" s="174"/>
      <c r="G314" s="165"/>
    </row>
    <row r="315" spans="2:7" s="167" customFormat="1" ht="15" customHeight="1" outlineLevel="2" x14ac:dyDescent="0.2">
      <c r="B315" s="60" t="s">
        <v>3934</v>
      </c>
      <c r="C315" s="549" t="s">
        <v>2020</v>
      </c>
      <c r="D315" s="166" t="s">
        <v>299</v>
      </c>
      <c r="E315" s="173"/>
      <c r="F315" s="174"/>
      <c r="G315" s="165"/>
    </row>
    <row r="316" spans="2:7" s="167" customFormat="1" ht="15" customHeight="1" outlineLevel="2" x14ac:dyDescent="0.2">
      <c r="B316" s="60" t="s">
        <v>3935</v>
      </c>
      <c r="C316" s="549" t="s">
        <v>2021</v>
      </c>
      <c r="D316" s="166" t="s">
        <v>299</v>
      </c>
      <c r="E316" s="173"/>
      <c r="F316" s="174"/>
      <c r="G316" s="165"/>
    </row>
    <row r="317" spans="2:7" s="167" customFormat="1" ht="15" customHeight="1" outlineLevel="2" x14ac:dyDescent="0.2">
      <c r="B317" s="60" t="s">
        <v>3936</v>
      </c>
      <c r="C317" s="549" t="s">
        <v>2022</v>
      </c>
      <c r="D317" s="166" t="s">
        <v>299</v>
      </c>
      <c r="E317" s="173"/>
      <c r="F317" s="174"/>
      <c r="G317" s="165"/>
    </row>
    <row r="318" spans="2:7" s="167" customFormat="1" ht="15" customHeight="1" outlineLevel="2" x14ac:dyDescent="0.2">
      <c r="B318" s="60" t="s">
        <v>3937</v>
      </c>
      <c r="C318" s="549" t="s">
        <v>2023</v>
      </c>
      <c r="D318" s="166" t="s">
        <v>299</v>
      </c>
      <c r="E318" s="173"/>
      <c r="F318" s="174"/>
      <c r="G318" s="165"/>
    </row>
    <row r="319" spans="2:7" s="167" customFormat="1" ht="15" customHeight="1" outlineLevel="2" x14ac:dyDescent="0.2">
      <c r="B319" s="60" t="s">
        <v>3938</v>
      </c>
      <c r="C319" s="549" t="s">
        <v>2024</v>
      </c>
      <c r="D319" s="166" t="s">
        <v>299</v>
      </c>
      <c r="E319" s="173"/>
      <c r="F319" s="174"/>
      <c r="G319" s="165"/>
    </row>
    <row r="320" spans="2:7" s="167" customFormat="1" ht="15" customHeight="1" outlineLevel="2" x14ac:dyDescent="0.2">
      <c r="B320" s="60" t="s">
        <v>3939</v>
      </c>
      <c r="C320" s="549" t="s">
        <v>2025</v>
      </c>
      <c r="D320" s="166" t="s">
        <v>299</v>
      </c>
      <c r="E320" s="173"/>
      <c r="F320" s="174"/>
      <c r="G320" s="165"/>
    </row>
    <row r="321" spans="2:7" s="167" customFormat="1" ht="15" customHeight="1" outlineLevel="2" x14ac:dyDescent="0.2">
      <c r="B321" s="60" t="s">
        <v>3940</v>
      </c>
      <c r="C321" s="549" t="s">
        <v>2026</v>
      </c>
      <c r="D321" s="166" t="s">
        <v>299</v>
      </c>
      <c r="E321" s="173"/>
      <c r="F321" s="174"/>
      <c r="G321" s="165"/>
    </row>
    <row r="322" spans="2:7" s="167" customFormat="1" ht="15" customHeight="1" outlineLevel="2" x14ac:dyDescent="0.2">
      <c r="B322" s="60" t="s">
        <v>3941</v>
      </c>
      <c r="C322" s="549" t="s">
        <v>2027</v>
      </c>
      <c r="D322" s="166" t="s">
        <v>299</v>
      </c>
      <c r="E322" s="173"/>
      <c r="F322" s="174"/>
      <c r="G322" s="165"/>
    </row>
    <row r="323" spans="2:7" s="167" customFormat="1" ht="15" customHeight="1" outlineLevel="2" x14ac:dyDescent="0.2">
      <c r="B323" s="60" t="s">
        <v>3942</v>
      </c>
      <c r="C323" s="549" t="s">
        <v>2028</v>
      </c>
      <c r="D323" s="166" t="s">
        <v>299</v>
      </c>
      <c r="E323" s="173"/>
      <c r="F323" s="174"/>
      <c r="G323" s="165"/>
    </row>
    <row r="324" spans="2:7" s="167" customFormat="1" ht="15" customHeight="1" outlineLevel="2" x14ac:dyDescent="0.2">
      <c r="B324" s="60" t="s">
        <v>3943</v>
      </c>
      <c r="C324" s="549" t="s">
        <v>2029</v>
      </c>
      <c r="D324" s="166" t="s">
        <v>299</v>
      </c>
      <c r="E324" s="173"/>
      <c r="F324" s="174"/>
      <c r="G324" s="165"/>
    </row>
    <row r="325" spans="2:7" s="167" customFormat="1" ht="15" customHeight="1" outlineLevel="2" x14ac:dyDescent="0.2">
      <c r="B325" s="60" t="s">
        <v>3944</v>
      </c>
      <c r="C325" s="549" t="s">
        <v>2030</v>
      </c>
      <c r="D325" s="166" t="s">
        <v>299</v>
      </c>
      <c r="E325" s="173"/>
      <c r="F325" s="174"/>
      <c r="G325" s="165"/>
    </row>
    <row r="326" spans="2:7" s="167" customFormat="1" ht="15" customHeight="1" outlineLevel="2" x14ac:dyDescent="0.2">
      <c r="B326" s="60" t="s">
        <v>3945</v>
      </c>
      <c r="C326" s="549" t="s">
        <v>2031</v>
      </c>
      <c r="D326" s="166" t="s">
        <v>299</v>
      </c>
      <c r="E326" s="173"/>
      <c r="F326" s="174"/>
      <c r="G326" s="165"/>
    </row>
    <row r="327" spans="2:7" s="167" customFormat="1" ht="15" customHeight="1" outlineLevel="2" x14ac:dyDescent="0.2">
      <c r="B327" s="60" t="s">
        <v>3946</v>
      </c>
      <c r="C327" s="549" t="s">
        <v>2032</v>
      </c>
      <c r="D327" s="166" t="s">
        <v>299</v>
      </c>
      <c r="E327" s="173"/>
      <c r="F327" s="174"/>
      <c r="G327" s="165"/>
    </row>
    <row r="328" spans="2:7" s="167" customFormat="1" ht="15" customHeight="1" outlineLevel="2" x14ac:dyDescent="0.2">
      <c r="B328" s="60" t="s">
        <v>3947</v>
      </c>
      <c r="C328" s="549" t="s">
        <v>2033</v>
      </c>
      <c r="D328" s="166" t="s">
        <v>299</v>
      </c>
      <c r="E328" s="173"/>
      <c r="F328" s="174"/>
      <c r="G328" s="165"/>
    </row>
    <row r="329" spans="2:7" s="167" customFormat="1" ht="15" customHeight="1" outlineLevel="2" x14ac:dyDescent="0.2">
      <c r="B329" s="60" t="s">
        <v>3948</v>
      </c>
      <c r="C329" s="549" t="s">
        <v>2034</v>
      </c>
      <c r="D329" s="166" t="s">
        <v>299</v>
      </c>
      <c r="E329" s="173"/>
      <c r="F329" s="174"/>
      <c r="G329" s="165"/>
    </row>
    <row r="330" spans="2:7" s="167" customFormat="1" ht="15" customHeight="1" outlineLevel="2" x14ac:dyDescent="0.2">
      <c r="B330" s="60" t="s">
        <v>3949</v>
      </c>
      <c r="C330" s="549" t="s">
        <v>2035</v>
      </c>
      <c r="D330" s="166" t="s">
        <v>299</v>
      </c>
      <c r="E330" s="173"/>
      <c r="F330" s="174"/>
      <c r="G330" s="165"/>
    </row>
    <row r="331" spans="2:7" s="167" customFormat="1" ht="15" customHeight="1" outlineLevel="2" x14ac:dyDescent="0.2">
      <c r="B331" s="60" t="s">
        <v>3950</v>
      </c>
      <c r="C331" s="549" t="s">
        <v>2036</v>
      </c>
      <c r="D331" s="166" t="s">
        <v>299</v>
      </c>
      <c r="E331" s="173"/>
      <c r="F331" s="174"/>
      <c r="G331" s="165"/>
    </row>
    <row r="332" spans="2:7" s="167" customFormat="1" ht="15" customHeight="1" outlineLevel="2" x14ac:dyDescent="0.2">
      <c r="B332" s="60" t="s">
        <v>3951</v>
      </c>
      <c r="C332" s="549" t="s">
        <v>2037</v>
      </c>
      <c r="D332" s="166" t="s">
        <v>299</v>
      </c>
      <c r="E332" s="173"/>
      <c r="F332" s="174"/>
      <c r="G332" s="165"/>
    </row>
    <row r="333" spans="2:7" s="167" customFormat="1" ht="15" customHeight="1" outlineLevel="2" x14ac:dyDescent="0.2">
      <c r="B333" s="60" t="s">
        <v>3952</v>
      </c>
      <c r="C333" s="549" t="s">
        <v>2038</v>
      </c>
      <c r="D333" s="166" t="s">
        <v>299</v>
      </c>
      <c r="E333" s="173"/>
      <c r="F333" s="174"/>
      <c r="G333" s="165"/>
    </row>
    <row r="334" spans="2:7" s="134" customFormat="1" ht="15" customHeight="1" outlineLevel="1" x14ac:dyDescent="0.2">
      <c r="B334" s="60" t="s">
        <v>3953</v>
      </c>
      <c r="C334" s="499">
        <v>10.199999999999999</v>
      </c>
      <c r="D334" s="162" t="s">
        <v>36</v>
      </c>
      <c r="E334" s="91">
        <f>SUM(E335:E354)</f>
        <v>0</v>
      </c>
      <c r="F334" s="92">
        <f>SUM(F335:F354)</f>
        <v>0</v>
      </c>
      <c r="G334" s="138"/>
    </row>
    <row r="335" spans="2:7" s="167" customFormat="1" ht="15" customHeight="1" outlineLevel="2" x14ac:dyDescent="0.2">
      <c r="B335" s="60" t="s">
        <v>3954</v>
      </c>
      <c r="C335" s="549" t="s">
        <v>1313</v>
      </c>
      <c r="D335" s="166" t="s">
        <v>299</v>
      </c>
      <c r="E335" s="173"/>
      <c r="F335" s="174"/>
      <c r="G335" s="165"/>
    </row>
    <row r="336" spans="2:7" s="167" customFormat="1" ht="15" customHeight="1" outlineLevel="2" x14ac:dyDescent="0.2">
      <c r="B336" s="60" t="s">
        <v>3955</v>
      </c>
      <c r="C336" s="549" t="s">
        <v>1334</v>
      </c>
      <c r="D336" s="166" t="s">
        <v>299</v>
      </c>
      <c r="E336" s="173"/>
      <c r="F336" s="174"/>
      <c r="G336" s="165"/>
    </row>
    <row r="337" spans="2:7" s="167" customFormat="1" ht="15" customHeight="1" outlineLevel="2" x14ac:dyDescent="0.2">
      <c r="B337" s="60" t="s">
        <v>3956</v>
      </c>
      <c r="C337" s="549" t="s">
        <v>1355</v>
      </c>
      <c r="D337" s="166" t="s">
        <v>299</v>
      </c>
      <c r="E337" s="173"/>
      <c r="F337" s="174"/>
      <c r="G337" s="165"/>
    </row>
    <row r="338" spans="2:7" s="167" customFormat="1" ht="15" customHeight="1" outlineLevel="2" x14ac:dyDescent="0.2">
      <c r="B338" s="60" t="s">
        <v>3957</v>
      </c>
      <c r="C338" s="549" t="s">
        <v>1376</v>
      </c>
      <c r="D338" s="166" t="s">
        <v>299</v>
      </c>
      <c r="E338" s="173"/>
      <c r="F338" s="174"/>
      <c r="G338" s="165"/>
    </row>
    <row r="339" spans="2:7" s="167" customFormat="1" ht="15" customHeight="1" outlineLevel="2" x14ac:dyDescent="0.2">
      <c r="B339" s="60" t="s">
        <v>3958</v>
      </c>
      <c r="C339" s="549" t="s">
        <v>2039</v>
      </c>
      <c r="D339" s="166" t="s">
        <v>299</v>
      </c>
      <c r="E339" s="173"/>
      <c r="F339" s="174"/>
      <c r="G339" s="165"/>
    </row>
    <row r="340" spans="2:7" s="167" customFormat="1" ht="15" customHeight="1" outlineLevel="2" x14ac:dyDescent="0.2">
      <c r="B340" s="60" t="s">
        <v>3959</v>
      </c>
      <c r="C340" s="549" t="s">
        <v>2040</v>
      </c>
      <c r="D340" s="166" t="s">
        <v>299</v>
      </c>
      <c r="E340" s="173"/>
      <c r="F340" s="174"/>
      <c r="G340" s="165"/>
    </row>
    <row r="341" spans="2:7" s="167" customFormat="1" ht="15" customHeight="1" outlineLevel="2" x14ac:dyDescent="0.2">
      <c r="B341" s="60" t="s">
        <v>3960</v>
      </c>
      <c r="C341" s="549" t="s">
        <v>2041</v>
      </c>
      <c r="D341" s="166" t="s">
        <v>299</v>
      </c>
      <c r="E341" s="173"/>
      <c r="F341" s="174"/>
      <c r="G341" s="165"/>
    </row>
    <row r="342" spans="2:7" s="167" customFormat="1" ht="15" customHeight="1" outlineLevel="2" x14ac:dyDescent="0.2">
      <c r="B342" s="60" t="s">
        <v>3961</v>
      </c>
      <c r="C342" s="549" t="s">
        <v>2042</v>
      </c>
      <c r="D342" s="166" t="s">
        <v>299</v>
      </c>
      <c r="E342" s="173"/>
      <c r="F342" s="174"/>
      <c r="G342" s="165"/>
    </row>
    <row r="343" spans="2:7" s="167" customFormat="1" ht="15" customHeight="1" outlineLevel="2" x14ac:dyDescent="0.2">
      <c r="B343" s="60" t="s">
        <v>3962</v>
      </c>
      <c r="C343" s="549" t="s">
        <v>2043</v>
      </c>
      <c r="D343" s="166" t="s">
        <v>299</v>
      </c>
      <c r="E343" s="173"/>
      <c r="F343" s="174"/>
      <c r="G343" s="165"/>
    </row>
    <row r="344" spans="2:7" s="167" customFormat="1" ht="15" customHeight="1" outlineLevel="2" x14ac:dyDescent="0.2">
      <c r="B344" s="60" t="s">
        <v>3963</v>
      </c>
      <c r="C344" s="549" t="s">
        <v>2044</v>
      </c>
      <c r="D344" s="166" t="s">
        <v>299</v>
      </c>
      <c r="E344" s="173"/>
      <c r="F344" s="174"/>
      <c r="G344" s="165"/>
    </row>
    <row r="345" spans="2:7" s="167" customFormat="1" ht="15" customHeight="1" outlineLevel="2" x14ac:dyDescent="0.2">
      <c r="B345" s="60" t="s">
        <v>3964</v>
      </c>
      <c r="C345" s="549" t="s">
        <v>2045</v>
      </c>
      <c r="D345" s="166" t="s">
        <v>299</v>
      </c>
      <c r="E345" s="173"/>
      <c r="F345" s="174"/>
      <c r="G345" s="165"/>
    </row>
    <row r="346" spans="2:7" s="167" customFormat="1" ht="15" customHeight="1" outlineLevel="2" x14ac:dyDescent="0.2">
      <c r="B346" s="60" t="s">
        <v>3965</v>
      </c>
      <c r="C346" s="549" t="s">
        <v>2046</v>
      </c>
      <c r="D346" s="166" t="s">
        <v>299</v>
      </c>
      <c r="E346" s="173"/>
      <c r="F346" s="174"/>
      <c r="G346" s="165"/>
    </row>
    <row r="347" spans="2:7" s="167" customFormat="1" ht="15" customHeight="1" outlineLevel="2" x14ac:dyDescent="0.2">
      <c r="B347" s="60" t="s">
        <v>3966</v>
      </c>
      <c r="C347" s="549" t="s">
        <v>2047</v>
      </c>
      <c r="D347" s="166" t="s">
        <v>299</v>
      </c>
      <c r="E347" s="173"/>
      <c r="F347" s="174"/>
      <c r="G347" s="165"/>
    </row>
    <row r="348" spans="2:7" s="167" customFormat="1" ht="15" customHeight="1" outlineLevel="2" x14ac:dyDescent="0.2">
      <c r="B348" s="60" t="s">
        <v>3967</v>
      </c>
      <c r="C348" s="549" t="s">
        <v>2048</v>
      </c>
      <c r="D348" s="166" t="s">
        <v>299</v>
      </c>
      <c r="E348" s="173"/>
      <c r="F348" s="174"/>
      <c r="G348" s="165"/>
    </row>
    <row r="349" spans="2:7" s="167" customFormat="1" ht="15" customHeight="1" outlineLevel="2" x14ac:dyDescent="0.2">
      <c r="B349" s="60" t="s">
        <v>3968</v>
      </c>
      <c r="C349" s="549" t="s">
        <v>2049</v>
      </c>
      <c r="D349" s="166" t="s">
        <v>299</v>
      </c>
      <c r="E349" s="173"/>
      <c r="F349" s="174"/>
      <c r="G349" s="165"/>
    </row>
    <row r="350" spans="2:7" s="165" customFormat="1" ht="15" customHeight="1" outlineLevel="2" x14ac:dyDescent="0.2">
      <c r="B350" s="60" t="s">
        <v>3969</v>
      </c>
      <c r="C350" s="549" t="s">
        <v>2050</v>
      </c>
      <c r="D350" s="166" t="s">
        <v>299</v>
      </c>
      <c r="E350" s="173"/>
      <c r="F350" s="174"/>
    </row>
    <row r="351" spans="2:7" s="165" customFormat="1" ht="15" customHeight="1" outlineLevel="2" x14ac:dyDescent="0.2">
      <c r="B351" s="60" t="s">
        <v>3970</v>
      </c>
      <c r="C351" s="549" t="s">
        <v>2051</v>
      </c>
      <c r="D351" s="166" t="s">
        <v>299</v>
      </c>
      <c r="E351" s="173"/>
      <c r="F351" s="174"/>
    </row>
    <row r="352" spans="2:7" s="165" customFormat="1" ht="15" customHeight="1" outlineLevel="2" x14ac:dyDescent="0.2">
      <c r="B352" s="60" t="s">
        <v>3971</v>
      </c>
      <c r="C352" s="549" t="s">
        <v>2052</v>
      </c>
      <c r="D352" s="166" t="s">
        <v>299</v>
      </c>
      <c r="E352" s="173"/>
      <c r="F352" s="174"/>
    </row>
    <row r="353" spans="2:9" s="165" customFormat="1" ht="15" customHeight="1" outlineLevel="2" x14ac:dyDescent="0.2">
      <c r="B353" s="60" t="s">
        <v>3972</v>
      </c>
      <c r="C353" s="549" t="s">
        <v>2053</v>
      </c>
      <c r="D353" s="166" t="s">
        <v>299</v>
      </c>
      <c r="E353" s="173"/>
      <c r="F353" s="174"/>
    </row>
    <row r="354" spans="2:9" s="165" customFormat="1" ht="15" customHeight="1" outlineLevel="2" thickBot="1" x14ac:dyDescent="0.25">
      <c r="B354" s="491" t="s">
        <v>3973</v>
      </c>
      <c r="C354" s="567" t="s">
        <v>2054</v>
      </c>
      <c r="D354" s="208" t="s">
        <v>299</v>
      </c>
      <c r="E354" s="210"/>
      <c r="F354" s="211"/>
    </row>
    <row r="355" spans="2:9" s="134" customFormat="1" ht="9" customHeight="1" thickBot="1" x14ac:dyDescent="0.25">
      <c r="B355" s="141"/>
      <c r="C355" s="212"/>
      <c r="D355" s="176"/>
      <c r="E355" s="671"/>
      <c r="F355" s="671"/>
      <c r="G355" s="138"/>
      <c r="H355" s="138"/>
      <c r="I355" s="138"/>
    </row>
    <row r="356" spans="2:9" s="142" customFormat="1" ht="15" customHeight="1" x14ac:dyDescent="0.2">
      <c r="B356" s="650" t="s">
        <v>3974</v>
      </c>
      <c r="C356" s="564">
        <v>11</v>
      </c>
      <c r="D356" s="563" t="s">
        <v>4686</v>
      </c>
      <c r="E356" s="408">
        <f>E357+E400+E443+E486</f>
        <v>0</v>
      </c>
      <c r="F356" s="409">
        <f>F357+F400+F443+F486</f>
        <v>0</v>
      </c>
      <c r="G356" s="143"/>
    </row>
    <row r="357" spans="2:9" s="144" customFormat="1" ht="15" customHeight="1" x14ac:dyDescent="0.2">
      <c r="B357" s="60" t="s">
        <v>3975</v>
      </c>
      <c r="C357" s="565">
        <v>12</v>
      </c>
      <c r="D357" s="168" t="s">
        <v>440</v>
      </c>
      <c r="E357" s="155">
        <f>E358+E379</f>
        <v>0</v>
      </c>
      <c r="F357" s="209">
        <f>F358+F379</f>
        <v>0</v>
      </c>
      <c r="G357" s="159"/>
    </row>
    <row r="358" spans="2:9" s="134" customFormat="1" ht="15" customHeight="1" outlineLevel="1" x14ac:dyDescent="0.2">
      <c r="B358" s="60" t="s">
        <v>3976</v>
      </c>
      <c r="C358" s="499">
        <v>12.1</v>
      </c>
      <c r="D358" s="162" t="s">
        <v>35</v>
      </c>
      <c r="E358" s="91">
        <f>SUM(E359:E378)</f>
        <v>0</v>
      </c>
      <c r="F358" s="92">
        <f>SUM(F359:F378)</f>
        <v>0</v>
      </c>
      <c r="G358" s="138"/>
    </row>
    <row r="359" spans="2:9" s="167" customFormat="1" ht="15" customHeight="1" outlineLevel="2" x14ac:dyDescent="0.2">
      <c r="B359" s="60" t="s">
        <v>3977</v>
      </c>
      <c r="C359" s="549" t="s">
        <v>2071</v>
      </c>
      <c r="D359" s="166" t="s">
        <v>299</v>
      </c>
      <c r="E359" s="173"/>
      <c r="F359" s="174"/>
      <c r="G359" s="165"/>
    </row>
    <row r="360" spans="2:9" s="167" customFormat="1" ht="15" customHeight="1" outlineLevel="2" x14ac:dyDescent="0.2">
      <c r="B360" s="60" t="s">
        <v>3978</v>
      </c>
      <c r="C360" s="549" t="s">
        <v>2072</v>
      </c>
      <c r="D360" s="166" t="s">
        <v>299</v>
      </c>
      <c r="E360" s="173"/>
      <c r="F360" s="174"/>
      <c r="G360" s="165"/>
    </row>
    <row r="361" spans="2:9" s="167" customFormat="1" ht="15" customHeight="1" outlineLevel="2" x14ac:dyDescent="0.2">
      <c r="B361" s="60" t="s">
        <v>3979</v>
      </c>
      <c r="C361" s="549" t="s">
        <v>2073</v>
      </c>
      <c r="D361" s="166" t="s">
        <v>299</v>
      </c>
      <c r="E361" s="173"/>
      <c r="F361" s="174"/>
      <c r="G361" s="165"/>
    </row>
    <row r="362" spans="2:9" s="167" customFormat="1" ht="15" customHeight="1" outlineLevel="2" x14ac:dyDescent="0.2">
      <c r="B362" s="60" t="s">
        <v>3980</v>
      </c>
      <c r="C362" s="549" t="s">
        <v>2074</v>
      </c>
      <c r="D362" s="166" t="s">
        <v>299</v>
      </c>
      <c r="E362" s="173"/>
      <c r="F362" s="174"/>
      <c r="G362" s="165"/>
    </row>
    <row r="363" spans="2:9" s="167" customFormat="1" ht="15" customHeight="1" outlineLevel="2" x14ac:dyDescent="0.2">
      <c r="B363" s="60" t="s">
        <v>3981</v>
      </c>
      <c r="C363" s="549" t="s">
        <v>2075</v>
      </c>
      <c r="D363" s="166" t="s">
        <v>299</v>
      </c>
      <c r="E363" s="173"/>
      <c r="F363" s="174"/>
      <c r="G363" s="165"/>
    </row>
    <row r="364" spans="2:9" s="167" customFormat="1" ht="15" customHeight="1" outlineLevel="2" x14ac:dyDescent="0.2">
      <c r="B364" s="60" t="s">
        <v>3982</v>
      </c>
      <c r="C364" s="549" t="s">
        <v>2076</v>
      </c>
      <c r="D364" s="166" t="s">
        <v>299</v>
      </c>
      <c r="E364" s="173"/>
      <c r="F364" s="174"/>
      <c r="G364" s="165"/>
    </row>
    <row r="365" spans="2:9" s="167" customFormat="1" ht="15" customHeight="1" outlineLevel="2" x14ac:dyDescent="0.2">
      <c r="B365" s="60" t="s">
        <v>3983</v>
      </c>
      <c r="C365" s="549" t="s">
        <v>2077</v>
      </c>
      <c r="D365" s="166" t="s">
        <v>299</v>
      </c>
      <c r="E365" s="173"/>
      <c r="F365" s="174"/>
      <c r="G365" s="165"/>
    </row>
    <row r="366" spans="2:9" s="167" customFormat="1" ht="15" customHeight="1" outlineLevel="2" x14ac:dyDescent="0.2">
      <c r="B366" s="60" t="s">
        <v>3984</v>
      </c>
      <c r="C366" s="549" t="s">
        <v>2078</v>
      </c>
      <c r="D366" s="166" t="s">
        <v>299</v>
      </c>
      <c r="E366" s="173"/>
      <c r="F366" s="174"/>
      <c r="G366" s="165"/>
    </row>
    <row r="367" spans="2:9" s="167" customFormat="1" ht="15" customHeight="1" outlineLevel="2" x14ac:dyDescent="0.2">
      <c r="B367" s="60" t="s">
        <v>3985</v>
      </c>
      <c r="C367" s="549" t="s">
        <v>2079</v>
      </c>
      <c r="D367" s="166" t="s">
        <v>299</v>
      </c>
      <c r="E367" s="173"/>
      <c r="F367" s="174"/>
      <c r="G367" s="165"/>
    </row>
    <row r="368" spans="2:9" s="167" customFormat="1" ht="15" customHeight="1" outlineLevel="2" x14ac:dyDescent="0.2">
      <c r="B368" s="60" t="s">
        <v>3986</v>
      </c>
      <c r="C368" s="549" t="s">
        <v>2080</v>
      </c>
      <c r="D368" s="166" t="s">
        <v>299</v>
      </c>
      <c r="E368" s="173"/>
      <c r="F368" s="174"/>
      <c r="G368" s="165"/>
    </row>
    <row r="369" spans="2:7" s="167" customFormat="1" ht="15" customHeight="1" outlineLevel="2" x14ac:dyDescent="0.2">
      <c r="B369" s="60" t="s">
        <v>3987</v>
      </c>
      <c r="C369" s="549" t="s">
        <v>2081</v>
      </c>
      <c r="D369" s="166" t="s">
        <v>299</v>
      </c>
      <c r="E369" s="173"/>
      <c r="F369" s="174"/>
      <c r="G369" s="165"/>
    </row>
    <row r="370" spans="2:7" s="167" customFormat="1" ht="15" customHeight="1" outlineLevel="2" x14ac:dyDescent="0.2">
      <c r="B370" s="60" t="s">
        <v>3988</v>
      </c>
      <c r="C370" s="549" t="s">
        <v>2082</v>
      </c>
      <c r="D370" s="166" t="s">
        <v>299</v>
      </c>
      <c r="E370" s="173"/>
      <c r="F370" s="174"/>
      <c r="G370" s="165"/>
    </row>
    <row r="371" spans="2:7" s="167" customFormat="1" ht="15" customHeight="1" outlineLevel="2" x14ac:dyDescent="0.2">
      <c r="B371" s="60" t="s">
        <v>3989</v>
      </c>
      <c r="C371" s="549" t="s">
        <v>2083</v>
      </c>
      <c r="D371" s="166" t="s">
        <v>299</v>
      </c>
      <c r="E371" s="173"/>
      <c r="F371" s="174"/>
      <c r="G371" s="165"/>
    </row>
    <row r="372" spans="2:7" s="167" customFormat="1" ht="15" customHeight="1" outlineLevel="2" x14ac:dyDescent="0.2">
      <c r="B372" s="60" t="s">
        <v>3990</v>
      </c>
      <c r="C372" s="549" t="s">
        <v>2084</v>
      </c>
      <c r="D372" s="166" t="s">
        <v>299</v>
      </c>
      <c r="E372" s="173"/>
      <c r="F372" s="174"/>
      <c r="G372" s="165"/>
    </row>
    <row r="373" spans="2:7" s="167" customFormat="1" ht="15" customHeight="1" outlineLevel="2" x14ac:dyDescent="0.2">
      <c r="B373" s="60" t="s">
        <v>3991</v>
      </c>
      <c r="C373" s="549" t="s">
        <v>2085</v>
      </c>
      <c r="D373" s="166" t="s">
        <v>299</v>
      </c>
      <c r="E373" s="173"/>
      <c r="F373" s="174"/>
      <c r="G373" s="165"/>
    </row>
    <row r="374" spans="2:7" s="167" customFormat="1" ht="15" customHeight="1" outlineLevel="2" x14ac:dyDescent="0.2">
      <c r="B374" s="60" t="s">
        <v>3992</v>
      </c>
      <c r="C374" s="549" t="s">
        <v>2086</v>
      </c>
      <c r="D374" s="166" t="s">
        <v>299</v>
      </c>
      <c r="E374" s="173"/>
      <c r="F374" s="174"/>
      <c r="G374" s="165"/>
    </row>
    <row r="375" spans="2:7" s="167" customFormat="1" ht="15" customHeight="1" outlineLevel="2" x14ac:dyDescent="0.2">
      <c r="B375" s="60" t="s">
        <v>3993</v>
      </c>
      <c r="C375" s="549" t="s">
        <v>2087</v>
      </c>
      <c r="D375" s="166" t="s">
        <v>299</v>
      </c>
      <c r="E375" s="173"/>
      <c r="F375" s="174"/>
      <c r="G375" s="165"/>
    </row>
    <row r="376" spans="2:7" s="167" customFormat="1" ht="15" customHeight="1" outlineLevel="2" x14ac:dyDescent="0.2">
      <c r="B376" s="60" t="s">
        <v>3994</v>
      </c>
      <c r="C376" s="549" t="s">
        <v>2088</v>
      </c>
      <c r="D376" s="166" t="s">
        <v>299</v>
      </c>
      <c r="E376" s="173"/>
      <c r="F376" s="174"/>
      <c r="G376" s="165"/>
    </row>
    <row r="377" spans="2:7" s="167" customFormat="1" ht="15" customHeight="1" outlineLevel="2" x14ac:dyDescent="0.2">
      <c r="B377" s="60" t="s">
        <v>3995</v>
      </c>
      <c r="C377" s="549" t="s">
        <v>2089</v>
      </c>
      <c r="D377" s="166" t="s">
        <v>299</v>
      </c>
      <c r="E377" s="173"/>
      <c r="F377" s="174"/>
      <c r="G377" s="165"/>
    </row>
    <row r="378" spans="2:7" s="167" customFormat="1" ht="15" customHeight="1" outlineLevel="2" x14ac:dyDescent="0.2">
      <c r="B378" s="60" t="s">
        <v>3996</v>
      </c>
      <c r="C378" s="549" t="s">
        <v>2090</v>
      </c>
      <c r="D378" s="166" t="s">
        <v>299</v>
      </c>
      <c r="E378" s="154"/>
      <c r="F378" s="175"/>
      <c r="G378" s="165"/>
    </row>
    <row r="379" spans="2:7" s="134" customFormat="1" ht="15" customHeight="1" outlineLevel="1" x14ac:dyDescent="0.2">
      <c r="B379" s="60" t="s">
        <v>3997</v>
      </c>
      <c r="C379" s="499">
        <v>12.2</v>
      </c>
      <c r="D379" s="162" t="s">
        <v>36</v>
      </c>
      <c r="E379" s="91">
        <f>SUM(E380:E399)</f>
        <v>0</v>
      </c>
      <c r="F379" s="92">
        <f>SUM(F380:F399)</f>
        <v>0</v>
      </c>
      <c r="G379" s="138"/>
    </row>
    <row r="380" spans="2:7" s="167" customFormat="1" ht="15" customHeight="1" outlineLevel="2" x14ac:dyDescent="0.2">
      <c r="B380" s="60" t="s">
        <v>3998</v>
      </c>
      <c r="C380" s="549" t="s">
        <v>2091</v>
      </c>
      <c r="D380" s="166" t="s">
        <v>299</v>
      </c>
      <c r="E380" s="173"/>
      <c r="F380" s="174"/>
      <c r="G380" s="165"/>
    </row>
    <row r="381" spans="2:7" s="167" customFormat="1" ht="15" customHeight="1" outlineLevel="2" x14ac:dyDescent="0.2">
      <c r="B381" s="60" t="s">
        <v>3999</v>
      </c>
      <c r="C381" s="549" t="s">
        <v>2092</v>
      </c>
      <c r="D381" s="166" t="s">
        <v>299</v>
      </c>
      <c r="E381" s="173"/>
      <c r="F381" s="174"/>
      <c r="G381" s="165"/>
    </row>
    <row r="382" spans="2:7" s="167" customFormat="1" ht="15" customHeight="1" outlineLevel="2" x14ac:dyDescent="0.2">
      <c r="B382" s="60" t="s">
        <v>4000</v>
      </c>
      <c r="C382" s="549" t="s">
        <v>2093</v>
      </c>
      <c r="D382" s="166" t="s">
        <v>299</v>
      </c>
      <c r="E382" s="173"/>
      <c r="F382" s="174"/>
      <c r="G382" s="165"/>
    </row>
    <row r="383" spans="2:7" s="167" customFormat="1" ht="15" customHeight="1" outlineLevel="2" x14ac:dyDescent="0.2">
      <c r="B383" s="60" t="s">
        <v>4001</v>
      </c>
      <c r="C383" s="549" t="s">
        <v>2094</v>
      </c>
      <c r="D383" s="166" t="s">
        <v>299</v>
      </c>
      <c r="E383" s="173"/>
      <c r="F383" s="174"/>
      <c r="G383" s="165"/>
    </row>
    <row r="384" spans="2:7" s="167" customFormat="1" ht="15" customHeight="1" outlineLevel="2" x14ac:dyDescent="0.2">
      <c r="B384" s="60" t="s">
        <v>4002</v>
      </c>
      <c r="C384" s="549" t="s">
        <v>2095</v>
      </c>
      <c r="D384" s="166" t="s">
        <v>299</v>
      </c>
      <c r="E384" s="173"/>
      <c r="F384" s="174"/>
      <c r="G384" s="165"/>
    </row>
    <row r="385" spans="2:7" s="167" customFormat="1" ht="15" customHeight="1" outlineLevel="2" x14ac:dyDescent="0.2">
      <c r="B385" s="60" t="s">
        <v>4003</v>
      </c>
      <c r="C385" s="549" t="s">
        <v>2096</v>
      </c>
      <c r="D385" s="166" t="s">
        <v>299</v>
      </c>
      <c r="E385" s="173"/>
      <c r="F385" s="174"/>
      <c r="G385" s="165"/>
    </row>
    <row r="386" spans="2:7" s="167" customFormat="1" ht="15" customHeight="1" outlineLevel="2" x14ac:dyDescent="0.2">
      <c r="B386" s="60" t="s">
        <v>4004</v>
      </c>
      <c r="C386" s="549" t="s">
        <v>2097</v>
      </c>
      <c r="D386" s="166" t="s">
        <v>299</v>
      </c>
      <c r="E386" s="173"/>
      <c r="F386" s="174"/>
      <c r="G386" s="165"/>
    </row>
    <row r="387" spans="2:7" s="167" customFormat="1" ht="15" customHeight="1" outlineLevel="2" x14ac:dyDescent="0.2">
      <c r="B387" s="60" t="s">
        <v>4005</v>
      </c>
      <c r="C387" s="549" t="s">
        <v>2098</v>
      </c>
      <c r="D387" s="166" t="s">
        <v>299</v>
      </c>
      <c r="E387" s="173"/>
      <c r="F387" s="174"/>
      <c r="G387" s="165"/>
    </row>
    <row r="388" spans="2:7" s="167" customFormat="1" ht="15" customHeight="1" outlineLevel="2" x14ac:dyDescent="0.2">
      <c r="B388" s="60" t="s">
        <v>4006</v>
      </c>
      <c r="C388" s="549" t="s">
        <v>2099</v>
      </c>
      <c r="D388" s="166" t="s">
        <v>299</v>
      </c>
      <c r="E388" s="173"/>
      <c r="F388" s="174"/>
      <c r="G388" s="165"/>
    </row>
    <row r="389" spans="2:7" s="167" customFormat="1" ht="15" customHeight="1" outlineLevel="2" x14ac:dyDescent="0.2">
      <c r="B389" s="60" t="s">
        <v>4007</v>
      </c>
      <c r="C389" s="549" t="s">
        <v>2100</v>
      </c>
      <c r="D389" s="166" t="s">
        <v>299</v>
      </c>
      <c r="E389" s="173"/>
      <c r="F389" s="174"/>
      <c r="G389" s="165"/>
    </row>
    <row r="390" spans="2:7" s="167" customFormat="1" ht="15" customHeight="1" outlineLevel="2" x14ac:dyDescent="0.2">
      <c r="B390" s="60" t="s">
        <v>4008</v>
      </c>
      <c r="C390" s="549" t="s">
        <v>2101</v>
      </c>
      <c r="D390" s="166" t="s">
        <v>299</v>
      </c>
      <c r="E390" s="173"/>
      <c r="F390" s="174"/>
      <c r="G390" s="165"/>
    </row>
    <row r="391" spans="2:7" s="167" customFormat="1" ht="15" customHeight="1" outlineLevel="2" x14ac:dyDescent="0.2">
      <c r="B391" s="60" t="s">
        <v>4009</v>
      </c>
      <c r="C391" s="549" t="s">
        <v>2102</v>
      </c>
      <c r="D391" s="166" t="s">
        <v>299</v>
      </c>
      <c r="E391" s="173"/>
      <c r="F391" s="174"/>
      <c r="G391" s="165"/>
    </row>
    <row r="392" spans="2:7" s="167" customFormat="1" ht="15" customHeight="1" outlineLevel="2" x14ac:dyDescent="0.2">
      <c r="B392" s="60" t="s">
        <v>4010</v>
      </c>
      <c r="C392" s="549" t="s">
        <v>2103</v>
      </c>
      <c r="D392" s="166" t="s">
        <v>299</v>
      </c>
      <c r="E392" s="173"/>
      <c r="F392" s="174"/>
      <c r="G392" s="165"/>
    </row>
    <row r="393" spans="2:7" s="167" customFormat="1" ht="15" customHeight="1" outlineLevel="2" x14ac:dyDescent="0.2">
      <c r="B393" s="60" t="s">
        <v>4011</v>
      </c>
      <c r="C393" s="549" t="s">
        <v>2104</v>
      </c>
      <c r="D393" s="166" t="s">
        <v>299</v>
      </c>
      <c r="E393" s="173"/>
      <c r="F393" s="174"/>
      <c r="G393" s="165"/>
    </row>
    <row r="394" spans="2:7" s="167" customFormat="1" ht="15" customHeight="1" outlineLevel="2" x14ac:dyDescent="0.2">
      <c r="B394" s="60" t="s">
        <v>4012</v>
      </c>
      <c r="C394" s="549" t="s">
        <v>2105</v>
      </c>
      <c r="D394" s="166" t="s">
        <v>299</v>
      </c>
      <c r="E394" s="173"/>
      <c r="F394" s="174"/>
      <c r="G394" s="165"/>
    </row>
    <row r="395" spans="2:7" s="167" customFormat="1" ht="15" customHeight="1" outlineLevel="2" x14ac:dyDescent="0.2">
      <c r="B395" s="60" t="s">
        <v>4013</v>
      </c>
      <c r="C395" s="549" t="s">
        <v>2106</v>
      </c>
      <c r="D395" s="166" t="s">
        <v>299</v>
      </c>
      <c r="E395" s="173"/>
      <c r="F395" s="174"/>
      <c r="G395" s="165"/>
    </row>
    <row r="396" spans="2:7" s="167" customFormat="1" ht="15" customHeight="1" outlineLevel="2" x14ac:dyDescent="0.2">
      <c r="B396" s="60" t="s">
        <v>4014</v>
      </c>
      <c r="C396" s="549" t="s">
        <v>2107</v>
      </c>
      <c r="D396" s="166" t="s">
        <v>299</v>
      </c>
      <c r="E396" s="173"/>
      <c r="F396" s="174"/>
      <c r="G396" s="165"/>
    </row>
    <row r="397" spans="2:7" s="167" customFormat="1" ht="15" customHeight="1" outlineLevel="2" x14ac:dyDescent="0.2">
      <c r="B397" s="60" t="s">
        <v>4015</v>
      </c>
      <c r="C397" s="549" t="s">
        <v>2108</v>
      </c>
      <c r="D397" s="166" t="s">
        <v>299</v>
      </c>
      <c r="E397" s="173"/>
      <c r="F397" s="174"/>
      <c r="G397" s="165"/>
    </row>
    <row r="398" spans="2:7" s="167" customFormat="1" ht="15" customHeight="1" outlineLevel="2" x14ac:dyDescent="0.2">
      <c r="B398" s="60" t="s">
        <v>4016</v>
      </c>
      <c r="C398" s="549" t="s">
        <v>2109</v>
      </c>
      <c r="D398" s="166" t="s">
        <v>299</v>
      </c>
      <c r="E398" s="173"/>
      <c r="F398" s="174"/>
      <c r="G398" s="165"/>
    </row>
    <row r="399" spans="2:7" s="167" customFormat="1" ht="15" customHeight="1" outlineLevel="2" x14ac:dyDescent="0.2">
      <c r="B399" s="60" t="s">
        <v>4017</v>
      </c>
      <c r="C399" s="549" t="s">
        <v>2110</v>
      </c>
      <c r="D399" s="166" t="s">
        <v>299</v>
      </c>
      <c r="E399" s="173"/>
      <c r="F399" s="174"/>
      <c r="G399" s="165"/>
    </row>
    <row r="400" spans="2:7" s="144" customFormat="1" ht="15" customHeight="1" x14ac:dyDescent="0.2">
      <c r="B400" s="60" t="s">
        <v>4018</v>
      </c>
      <c r="C400" s="565">
        <v>13</v>
      </c>
      <c r="D400" s="168" t="s">
        <v>290</v>
      </c>
      <c r="E400" s="155">
        <f>E401+E422</f>
        <v>0</v>
      </c>
      <c r="F400" s="209">
        <f>F401+F422</f>
        <v>0</v>
      </c>
      <c r="G400" s="159"/>
    </row>
    <row r="401" spans="2:7" s="134" customFormat="1" ht="15" customHeight="1" outlineLevel="1" x14ac:dyDescent="0.2">
      <c r="B401" s="60" t="s">
        <v>4019</v>
      </c>
      <c r="C401" s="499">
        <v>13.1</v>
      </c>
      <c r="D401" s="162" t="s">
        <v>35</v>
      </c>
      <c r="E401" s="91">
        <f>SUM(E402:E421)</f>
        <v>0</v>
      </c>
      <c r="F401" s="92">
        <f>SUM(F402:F421)</f>
        <v>0</v>
      </c>
      <c r="G401" s="138"/>
    </row>
    <row r="402" spans="2:7" s="167" customFormat="1" ht="15" customHeight="1" outlineLevel="2" x14ac:dyDescent="0.2">
      <c r="B402" s="60" t="s">
        <v>4020</v>
      </c>
      <c r="C402" s="549" t="s">
        <v>2151</v>
      </c>
      <c r="D402" s="166" t="s">
        <v>299</v>
      </c>
      <c r="E402" s="173"/>
      <c r="F402" s="174"/>
      <c r="G402" s="165"/>
    </row>
    <row r="403" spans="2:7" s="167" customFormat="1" ht="15" customHeight="1" outlineLevel="2" x14ac:dyDescent="0.2">
      <c r="B403" s="60" t="s">
        <v>4021</v>
      </c>
      <c r="C403" s="549" t="s">
        <v>2152</v>
      </c>
      <c r="D403" s="166" t="s">
        <v>299</v>
      </c>
      <c r="E403" s="173"/>
      <c r="F403" s="174"/>
      <c r="G403" s="165"/>
    </row>
    <row r="404" spans="2:7" s="167" customFormat="1" ht="15" customHeight="1" outlineLevel="2" x14ac:dyDescent="0.2">
      <c r="B404" s="60" t="s">
        <v>4022</v>
      </c>
      <c r="C404" s="549" t="s">
        <v>2153</v>
      </c>
      <c r="D404" s="166" t="s">
        <v>299</v>
      </c>
      <c r="E404" s="173"/>
      <c r="F404" s="174"/>
      <c r="G404" s="165"/>
    </row>
    <row r="405" spans="2:7" s="167" customFormat="1" ht="15" customHeight="1" outlineLevel="2" x14ac:dyDescent="0.2">
      <c r="B405" s="60" t="s">
        <v>4023</v>
      </c>
      <c r="C405" s="549" t="s">
        <v>2154</v>
      </c>
      <c r="D405" s="166" t="s">
        <v>299</v>
      </c>
      <c r="E405" s="173"/>
      <c r="F405" s="174"/>
      <c r="G405" s="165"/>
    </row>
    <row r="406" spans="2:7" s="167" customFormat="1" ht="15" customHeight="1" outlineLevel="2" x14ac:dyDescent="0.2">
      <c r="B406" s="60" t="s">
        <v>4024</v>
      </c>
      <c r="C406" s="549" t="s">
        <v>2155</v>
      </c>
      <c r="D406" s="166" t="s">
        <v>299</v>
      </c>
      <c r="E406" s="173"/>
      <c r="F406" s="174"/>
      <c r="G406" s="165"/>
    </row>
    <row r="407" spans="2:7" s="167" customFormat="1" ht="15" customHeight="1" outlineLevel="2" x14ac:dyDescent="0.2">
      <c r="B407" s="60" t="s">
        <v>4025</v>
      </c>
      <c r="C407" s="549" t="s">
        <v>2156</v>
      </c>
      <c r="D407" s="166" t="s">
        <v>299</v>
      </c>
      <c r="E407" s="173"/>
      <c r="F407" s="174"/>
      <c r="G407" s="165"/>
    </row>
    <row r="408" spans="2:7" s="167" customFormat="1" ht="15" customHeight="1" outlineLevel="2" x14ac:dyDescent="0.2">
      <c r="B408" s="60" t="s">
        <v>4026</v>
      </c>
      <c r="C408" s="549" t="s">
        <v>2157</v>
      </c>
      <c r="D408" s="166" t="s">
        <v>299</v>
      </c>
      <c r="E408" s="173"/>
      <c r="F408" s="174"/>
      <c r="G408" s="165"/>
    </row>
    <row r="409" spans="2:7" s="167" customFormat="1" ht="15" customHeight="1" outlineLevel="2" x14ac:dyDescent="0.2">
      <c r="B409" s="60" t="s">
        <v>4027</v>
      </c>
      <c r="C409" s="549" t="s">
        <v>2158</v>
      </c>
      <c r="D409" s="166" t="s">
        <v>299</v>
      </c>
      <c r="E409" s="173"/>
      <c r="F409" s="174"/>
      <c r="G409" s="165"/>
    </row>
    <row r="410" spans="2:7" s="167" customFormat="1" ht="15" customHeight="1" outlineLevel="2" x14ac:dyDescent="0.2">
      <c r="B410" s="60" t="s">
        <v>4028</v>
      </c>
      <c r="C410" s="549" t="s">
        <v>2159</v>
      </c>
      <c r="D410" s="166" t="s">
        <v>299</v>
      </c>
      <c r="E410" s="173"/>
      <c r="F410" s="174"/>
      <c r="G410" s="165"/>
    </row>
    <row r="411" spans="2:7" s="167" customFormat="1" ht="15" customHeight="1" outlineLevel="2" x14ac:dyDescent="0.2">
      <c r="B411" s="60" t="s">
        <v>4029</v>
      </c>
      <c r="C411" s="549" t="s">
        <v>2160</v>
      </c>
      <c r="D411" s="166" t="s">
        <v>299</v>
      </c>
      <c r="E411" s="173"/>
      <c r="F411" s="174"/>
      <c r="G411" s="165"/>
    </row>
    <row r="412" spans="2:7" s="167" customFormat="1" ht="15" customHeight="1" outlineLevel="2" x14ac:dyDescent="0.2">
      <c r="B412" s="60" t="s">
        <v>4030</v>
      </c>
      <c r="C412" s="549" t="s">
        <v>2161</v>
      </c>
      <c r="D412" s="166" t="s">
        <v>299</v>
      </c>
      <c r="E412" s="173"/>
      <c r="F412" s="174"/>
      <c r="G412" s="165"/>
    </row>
    <row r="413" spans="2:7" s="167" customFormat="1" ht="15" customHeight="1" outlineLevel="2" x14ac:dyDescent="0.2">
      <c r="B413" s="60" t="s">
        <v>4031</v>
      </c>
      <c r="C413" s="549" t="s">
        <v>2162</v>
      </c>
      <c r="D413" s="166" t="s">
        <v>299</v>
      </c>
      <c r="E413" s="173"/>
      <c r="F413" s="174"/>
      <c r="G413" s="165"/>
    </row>
    <row r="414" spans="2:7" s="167" customFormat="1" ht="15" customHeight="1" outlineLevel="2" x14ac:dyDescent="0.2">
      <c r="B414" s="60" t="s">
        <v>4032</v>
      </c>
      <c r="C414" s="549" t="s">
        <v>2163</v>
      </c>
      <c r="D414" s="166" t="s">
        <v>299</v>
      </c>
      <c r="E414" s="173"/>
      <c r="F414" s="174"/>
      <c r="G414" s="165"/>
    </row>
    <row r="415" spans="2:7" s="167" customFormat="1" ht="15" customHeight="1" outlineLevel="2" x14ac:dyDescent="0.2">
      <c r="B415" s="60" t="s">
        <v>4033</v>
      </c>
      <c r="C415" s="549" t="s">
        <v>2164</v>
      </c>
      <c r="D415" s="166" t="s">
        <v>299</v>
      </c>
      <c r="E415" s="173"/>
      <c r="F415" s="174"/>
      <c r="G415" s="165"/>
    </row>
    <row r="416" spans="2:7" s="167" customFormat="1" ht="15" customHeight="1" outlineLevel="2" x14ac:dyDescent="0.2">
      <c r="B416" s="60" t="s">
        <v>4034</v>
      </c>
      <c r="C416" s="549" t="s">
        <v>2165</v>
      </c>
      <c r="D416" s="166" t="s">
        <v>299</v>
      </c>
      <c r="E416" s="173"/>
      <c r="F416" s="174"/>
      <c r="G416" s="165"/>
    </row>
    <row r="417" spans="2:7" s="167" customFormat="1" ht="15" customHeight="1" outlineLevel="2" x14ac:dyDescent="0.2">
      <c r="B417" s="60" t="s">
        <v>4035</v>
      </c>
      <c r="C417" s="549" t="s">
        <v>2166</v>
      </c>
      <c r="D417" s="166" t="s">
        <v>299</v>
      </c>
      <c r="E417" s="173"/>
      <c r="F417" s="174"/>
      <c r="G417" s="165"/>
    </row>
    <row r="418" spans="2:7" s="167" customFormat="1" ht="15" customHeight="1" outlineLevel="2" x14ac:dyDescent="0.2">
      <c r="B418" s="60" t="s">
        <v>4036</v>
      </c>
      <c r="C418" s="549" t="s">
        <v>2167</v>
      </c>
      <c r="D418" s="166" t="s">
        <v>299</v>
      </c>
      <c r="E418" s="173"/>
      <c r="F418" s="174"/>
      <c r="G418" s="165"/>
    </row>
    <row r="419" spans="2:7" s="167" customFormat="1" ht="15" customHeight="1" outlineLevel="2" x14ac:dyDescent="0.2">
      <c r="B419" s="60" t="s">
        <v>4037</v>
      </c>
      <c r="C419" s="549" t="s">
        <v>2168</v>
      </c>
      <c r="D419" s="166" t="s">
        <v>299</v>
      </c>
      <c r="E419" s="173"/>
      <c r="F419" s="174"/>
      <c r="G419" s="165"/>
    </row>
    <row r="420" spans="2:7" s="167" customFormat="1" ht="15" customHeight="1" outlineLevel="2" x14ac:dyDescent="0.2">
      <c r="B420" s="60" t="s">
        <v>4038</v>
      </c>
      <c r="C420" s="549" t="s">
        <v>2169</v>
      </c>
      <c r="D420" s="166" t="s">
        <v>299</v>
      </c>
      <c r="E420" s="173"/>
      <c r="F420" s="174"/>
      <c r="G420" s="165"/>
    </row>
    <row r="421" spans="2:7" s="167" customFormat="1" ht="15" customHeight="1" outlineLevel="2" x14ac:dyDescent="0.2">
      <c r="B421" s="60" t="s">
        <v>4039</v>
      </c>
      <c r="C421" s="549" t="s">
        <v>2170</v>
      </c>
      <c r="D421" s="166" t="s">
        <v>299</v>
      </c>
      <c r="E421" s="173"/>
      <c r="F421" s="174"/>
      <c r="G421" s="165"/>
    </row>
    <row r="422" spans="2:7" s="134" customFormat="1" ht="15" customHeight="1" outlineLevel="1" x14ac:dyDescent="0.2">
      <c r="B422" s="60" t="s">
        <v>4040</v>
      </c>
      <c r="C422" s="499">
        <v>13.2</v>
      </c>
      <c r="D422" s="162" t="s">
        <v>36</v>
      </c>
      <c r="E422" s="91">
        <f>SUM(E423:E442)</f>
        <v>0</v>
      </c>
      <c r="F422" s="92">
        <f>SUM(F423:F442)</f>
        <v>0</v>
      </c>
      <c r="G422" s="138"/>
    </row>
    <row r="423" spans="2:7" s="167" customFormat="1" ht="15" customHeight="1" outlineLevel="2" x14ac:dyDescent="0.2">
      <c r="B423" s="60" t="s">
        <v>4041</v>
      </c>
      <c r="C423" s="549" t="s">
        <v>2171</v>
      </c>
      <c r="D423" s="166" t="s">
        <v>299</v>
      </c>
      <c r="E423" s="173"/>
      <c r="F423" s="174"/>
      <c r="G423" s="165"/>
    </row>
    <row r="424" spans="2:7" s="167" customFormat="1" ht="15" customHeight="1" outlineLevel="2" x14ac:dyDescent="0.2">
      <c r="B424" s="60" t="s">
        <v>4042</v>
      </c>
      <c r="C424" s="549" t="s">
        <v>2172</v>
      </c>
      <c r="D424" s="166" t="s">
        <v>299</v>
      </c>
      <c r="E424" s="173"/>
      <c r="F424" s="174"/>
      <c r="G424" s="165"/>
    </row>
    <row r="425" spans="2:7" s="167" customFormat="1" ht="15" customHeight="1" outlineLevel="2" x14ac:dyDescent="0.2">
      <c r="B425" s="60" t="s">
        <v>4043</v>
      </c>
      <c r="C425" s="549" t="s">
        <v>2173</v>
      </c>
      <c r="D425" s="166" t="s">
        <v>299</v>
      </c>
      <c r="E425" s="173"/>
      <c r="F425" s="174"/>
      <c r="G425" s="165"/>
    </row>
    <row r="426" spans="2:7" s="167" customFormat="1" ht="15" customHeight="1" outlineLevel="2" x14ac:dyDescent="0.2">
      <c r="B426" s="60" t="s">
        <v>4044</v>
      </c>
      <c r="C426" s="549" t="s">
        <v>2174</v>
      </c>
      <c r="D426" s="166" t="s">
        <v>299</v>
      </c>
      <c r="E426" s="173"/>
      <c r="F426" s="174"/>
      <c r="G426" s="165"/>
    </row>
    <row r="427" spans="2:7" s="167" customFormat="1" ht="15" customHeight="1" outlineLevel="2" x14ac:dyDescent="0.2">
      <c r="B427" s="60" t="s">
        <v>4045</v>
      </c>
      <c r="C427" s="549" t="s">
        <v>2175</v>
      </c>
      <c r="D427" s="166" t="s">
        <v>299</v>
      </c>
      <c r="E427" s="173"/>
      <c r="F427" s="174"/>
      <c r="G427" s="165"/>
    </row>
    <row r="428" spans="2:7" s="167" customFormat="1" ht="15" customHeight="1" outlineLevel="2" x14ac:dyDescent="0.2">
      <c r="B428" s="60" t="s">
        <v>4046</v>
      </c>
      <c r="C428" s="549" t="s">
        <v>2176</v>
      </c>
      <c r="D428" s="166" t="s">
        <v>299</v>
      </c>
      <c r="E428" s="173"/>
      <c r="F428" s="174"/>
      <c r="G428" s="165"/>
    </row>
    <row r="429" spans="2:7" s="167" customFormat="1" ht="15" customHeight="1" outlineLevel="2" x14ac:dyDescent="0.2">
      <c r="B429" s="60" t="s">
        <v>4047</v>
      </c>
      <c r="C429" s="549" t="s">
        <v>2177</v>
      </c>
      <c r="D429" s="166" t="s">
        <v>299</v>
      </c>
      <c r="E429" s="173"/>
      <c r="F429" s="174"/>
      <c r="G429" s="165"/>
    </row>
    <row r="430" spans="2:7" s="167" customFormat="1" ht="15" customHeight="1" outlineLevel="2" x14ac:dyDescent="0.2">
      <c r="B430" s="60" t="s">
        <v>4048</v>
      </c>
      <c r="C430" s="549" t="s">
        <v>2178</v>
      </c>
      <c r="D430" s="166" t="s">
        <v>299</v>
      </c>
      <c r="E430" s="173"/>
      <c r="F430" s="174"/>
      <c r="G430" s="165"/>
    </row>
    <row r="431" spans="2:7" s="167" customFormat="1" ht="15" customHeight="1" outlineLevel="2" x14ac:dyDescent="0.2">
      <c r="B431" s="60" t="s">
        <v>4049</v>
      </c>
      <c r="C431" s="549" t="s">
        <v>2179</v>
      </c>
      <c r="D431" s="166" t="s">
        <v>299</v>
      </c>
      <c r="E431" s="173"/>
      <c r="F431" s="174"/>
      <c r="G431" s="165"/>
    </row>
    <row r="432" spans="2:7" s="167" customFormat="1" ht="15" customHeight="1" outlineLevel="2" x14ac:dyDescent="0.2">
      <c r="B432" s="60" t="s">
        <v>4050</v>
      </c>
      <c r="C432" s="549" t="s">
        <v>2180</v>
      </c>
      <c r="D432" s="166" t="s">
        <v>299</v>
      </c>
      <c r="E432" s="173"/>
      <c r="F432" s="174"/>
      <c r="G432" s="165"/>
    </row>
    <row r="433" spans="2:7" s="167" customFormat="1" ht="15" customHeight="1" outlineLevel="2" x14ac:dyDescent="0.2">
      <c r="B433" s="60" t="s">
        <v>4051</v>
      </c>
      <c r="C433" s="549" t="s">
        <v>2181</v>
      </c>
      <c r="D433" s="166" t="s">
        <v>299</v>
      </c>
      <c r="E433" s="173"/>
      <c r="F433" s="174"/>
      <c r="G433" s="165"/>
    </row>
    <row r="434" spans="2:7" s="167" customFormat="1" ht="15" customHeight="1" outlineLevel="2" x14ac:dyDescent="0.2">
      <c r="B434" s="60" t="s">
        <v>4052</v>
      </c>
      <c r="C434" s="549" t="s">
        <v>2182</v>
      </c>
      <c r="D434" s="166" t="s">
        <v>299</v>
      </c>
      <c r="E434" s="173"/>
      <c r="F434" s="174"/>
      <c r="G434" s="165"/>
    </row>
    <row r="435" spans="2:7" s="167" customFormat="1" ht="15" customHeight="1" outlineLevel="2" x14ac:dyDescent="0.2">
      <c r="B435" s="60" t="s">
        <v>4053</v>
      </c>
      <c r="C435" s="549" t="s">
        <v>2183</v>
      </c>
      <c r="D435" s="166" t="s">
        <v>299</v>
      </c>
      <c r="E435" s="173"/>
      <c r="F435" s="174"/>
      <c r="G435" s="165"/>
    </row>
    <row r="436" spans="2:7" s="167" customFormat="1" ht="15" customHeight="1" outlineLevel="2" x14ac:dyDescent="0.2">
      <c r="B436" s="60" t="s">
        <v>4054</v>
      </c>
      <c r="C436" s="549" t="s">
        <v>2184</v>
      </c>
      <c r="D436" s="166" t="s">
        <v>299</v>
      </c>
      <c r="E436" s="173"/>
      <c r="F436" s="174"/>
      <c r="G436" s="165"/>
    </row>
    <row r="437" spans="2:7" s="167" customFormat="1" ht="15" customHeight="1" outlineLevel="2" x14ac:dyDescent="0.2">
      <c r="B437" s="60" t="s">
        <v>4055</v>
      </c>
      <c r="C437" s="549" t="s">
        <v>2185</v>
      </c>
      <c r="D437" s="166" t="s">
        <v>299</v>
      </c>
      <c r="E437" s="173"/>
      <c r="F437" s="174"/>
      <c r="G437" s="165"/>
    </row>
    <row r="438" spans="2:7" s="167" customFormat="1" ht="15" customHeight="1" outlineLevel="2" x14ac:dyDescent="0.2">
      <c r="B438" s="60" t="s">
        <v>4056</v>
      </c>
      <c r="C438" s="549" t="s">
        <v>2186</v>
      </c>
      <c r="D438" s="166" t="s">
        <v>299</v>
      </c>
      <c r="E438" s="173"/>
      <c r="F438" s="174"/>
      <c r="G438" s="165"/>
    </row>
    <row r="439" spans="2:7" s="167" customFormat="1" ht="15" customHeight="1" outlineLevel="2" x14ac:dyDescent="0.2">
      <c r="B439" s="60" t="s">
        <v>4057</v>
      </c>
      <c r="C439" s="549" t="s">
        <v>2187</v>
      </c>
      <c r="D439" s="166" t="s">
        <v>299</v>
      </c>
      <c r="E439" s="173"/>
      <c r="F439" s="174"/>
      <c r="G439" s="165"/>
    </row>
    <row r="440" spans="2:7" s="167" customFormat="1" ht="15" customHeight="1" outlineLevel="2" x14ac:dyDescent="0.2">
      <c r="B440" s="60" t="s">
        <v>4058</v>
      </c>
      <c r="C440" s="549" t="s">
        <v>2188</v>
      </c>
      <c r="D440" s="166" t="s">
        <v>299</v>
      </c>
      <c r="E440" s="173"/>
      <c r="F440" s="174"/>
      <c r="G440" s="165"/>
    </row>
    <row r="441" spans="2:7" s="167" customFormat="1" ht="15" customHeight="1" outlineLevel="2" x14ac:dyDescent="0.2">
      <c r="B441" s="60" t="s">
        <v>4059</v>
      </c>
      <c r="C441" s="549" t="s">
        <v>2189</v>
      </c>
      <c r="D441" s="166" t="s">
        <v>299</v>
      </c>
      <c r="E441" s="173"/>
      <c r="F441" s="174"/>
      <c r="G441" s="165"/>
    </row>
    <row r="442" spans="2:7" s="167" customFormat="1" ht="15" customHeight="1" outlineLevel="2" x14ac:dyDescent="0.2">
      <c r="B442" s="60" t="s">
        <v>4060</v>
      </c>
      <c r="C442" s="549" t="s">
        <v>2190</v>
      </c>
      <c r="D442" s="166" t="s">
        <v>299</v>
      </c>
      <c r="E442" s="173"/>
      <c r="F442" s="174"/>
      <c r="G442" s="165"/>
    </row>
    <row r="443" spans="2:7" s="144" customFormat="1" ht="15" customHeight="1" x14ac:dyDescent="0.2">
      <c r="B443" s="60" t="s">
        <v>4061</v>
      </c>
      <c r="C443" s="565">
        <v>14</v>
      </c>
      <c r="D443" s="168" t="s">
        <v>282</v>
      </c>
      <c r="E443" s="155">
        <f>E444+E465</f>
        <v>0</v>
      </c>
      <c r="F443" s="209">
        <f>F444+F465</f>
        <v>0</v>
      </c>
      <c r="G443" s="159"/>
    </row>
    <row r="444" spans="2:7" s="134" customFormat="1" ht="15" customHeight="1" outlineLevel="1" x14ac:dyDescent="0.2">
      <c r="B444" s="60" t="s">
        <v>4062</v>
      </c>
      <c r="C444" s="499">
        <v>14.1</v>
      </c>
      <c r="D444" s="162" t="s">
        <v>35</v>
      </c>
      <c r="E444" s="91">
        <f>SUM(E445:E464)</f>
        <v>0</v>
      </c>
      <c r="F444" s="92">
        <f>SUM(F445:F464)</f>
        <v>0</v>
      </c>
      <c r="G444" s="138"/>
    </row>
    <row r="445" spans="2:7" s="167" customFormat="1" ht="15" customHeight="1" outlineLevel="2" x14ac:dyDescent="0.2">
      <c r="B445" s="60" t="s">
        <v>4063</v>
      </c>
      <c r="C445" s="549" t="s">
        <v>2231</v>
      </c>
      <c r="D445" s="166" t="s">
        <v>299</v>
      </c>
      <c r="E445" s="173"/>
      <c r="F445" s="174"/>
      <c r="G445" s="165"/>
    </row>
    <row r="446" spans="2:7" s="167" customFormat="1" ht="15" customHeight="1" outlineLevel="2" x14ac:dyDescent="0.2">
      <c r="B446" s="60" t="s">
        <v>4064</v>
      </c>
      <c r="C446" s="549" t="s">
        <v>2232</v>
      </c>
      <c r="D446" s="166" t="s">
        <v>299</v>
      </c>
      <c r="E446" s="173"/>
      <c r="F446" s="174"/>
      <c r="G446" s="165"/>
    </row>
    <row r="447" spans="2:7" s="167" customFormat="1" ht="15" customHeight="1" outlineLevel="2" x14ac:dyDescent="0.2">
      <c r="B447" s="60" t="s">
        <v>4065</v>
      </c>
      <c r="C447" s="549" t="s">
        <v>2233</v>
      </c>
      <c r="D447" s="166" t="s">
        <v>299</v>
      </c>
      <c r="E447" s="173"/>
      <c r="F447" s="174"/>
      <c r="G447" s="165"/>
    </row>
    <row r="448" spans="2:7" s="167" customFormat="1" ht="15" customHeight="1" outlineLevel="2" x14ac:dyDescent="0.2">
      <c r="B448" s="60" t="s">
        <v>4066</v>
      </c>
      <c r="C448" s="549" t="s">
        <v>2234</v>
      </c>
      <c r="D448" s="166" t="s">
        <v>299</v>
      </c>
      <c r="E448" s="173"/>
      <c r="F448" s="174"/>
      <c r="G448" s="165"/>
    </row>
    <row r="449" spans="2:7" s="167" customFormat="1" ht="15" customHeight="1" outlineLevel="2" x14ac:dyDescent="0.2">
      <c r="B449" s="60" t="s">
        <v>4067</v>
      </c>
      <c r="C449" s="549" t="s">
        <v>2235</v>
      </c>
      <c r="D449" s="166" t="s">
        <v>299</v>
      </c>
      <c r="E449" s="173"/>
      <c r="F449" s="174"/>
      <c r="G449" s="165"/>
    </row>
    <row r="450" spans="2:7" s="167" customFormat="1" ht="15" customHeight="1" outlineLevel="2" x14ac:dyDescent="0.2">
      <c r="B450" s="60" t="s">
        <v>4068</v>
      </c>
      <c r="C450" s="549" t="s">
        <v>2236</v>
      </c>
      <c r="D450" s="166" t="s">
        <v>299</v>
      </c>
      <c r="E450" s="173"/>
      <c r="F450" s="174"/>
      <c r="G450" s="165"/>
    </row>
    <row r="451" spans="2:7" s="167" customFormat="1" ht="15" customHeight="1" outlineLevel="2" x14ac:dyDescent="0.2">
      <c r="B451" s="60" t="s">
        <v>4069</v>
      </c>
      <c r="C451" s="549" t="s">
        <v>2237</v>
      </c>
      <c r="D451" s="166" t="s">
        <v>299</v>
      </c>
      <c r="E451" s="173"/>
      <c r="F451" s="174"/>
      <c r="G451" s="165"/>
    </row>
    <row r="452" spans="2:7" s="167" customFormat="1" ht="15" customHeight="1" outlineLevel="2" x14ac:dyDescent="0.2">
      <c r="B452" s="60" t="s">
        <v>4070</v>
      </c>
      <c r="C452" s="549" t="s">
        <v>2238</v>
      </c>
      <c r="D452" s="166" t="s">
        <v>299</v>
      </c>
      <c r="E452" s="173"/>
      <c r="F452" s="174"/>
      <c r="G452" s="165"/>
    </row>
    <row r="453" spans="2:7" s="167" customFormat="1" ht="15" customHeight="1" outlineLevel="2" x14ac:dyDescent="0.2">
      <c r="B453" s="60" t="s">
        <v>4071</v>
      </c>
      <c r="C453" s="549" t="s">
        <v>2239</v>
      </c>
      <c r="D453" s="166" t="s">
        <v>299</v>
      </c>
      <c r="E453" s="173"/>
      <c r="F453" s="174"/>
      <c r="G453" s="165"/>
    </row>
    <row r="454" spans="2:7" s="167" customFormat="1" ht="15" customHeight="1" outlineLevel="2" x14ac:dyDescent="0.2">
      <c r="B454" s="60" t="s">
        <v>4072</v>
      </c>
      <c r="C454" s="549" t="s">
        <v>2240</v>
      </c>
      <c r="D454" s="166" t="s">
        <v>299</v>
      </c>
      <c r="E454" s="173"/>
      <c r="F454" s="174"/>
      <c r="G454" s="165"/>
    </row>
    <row r="455" spans="2:7" s="167" customFormat="1" ht="15" customHeight="1" outlineLevel="2" x14ac:dyDescent="0.2">
      <c r="B455" s="60" t="s">
        <v>4073</v>
      </c>
      <c r="C455" s="549" t="s">
        <v>2241</v>
      </c>
      <c r="D455" s="166" t="s">
        <v>299</v>
      </c>
      <c r="E455" s="173"/>
      <c r="F455" s="174"/>
      <c r="G455" s="165"/>
    </row>
    <row r="456" spans="2:7" s="167" customFormat="1" ht="15" customHeight="1" outlineLevel="2" x14ac:dyDescent="0.2">
      <c r="B456" s="60" t="s">
        <v>4074</v>
      </c>
      <c r="C456" s="549" t="s">
        <v>2242</v>
      </c>
      <c r="D456" s="166" t="s">
        <v>299</v>
      </c>
      <c r="E456" s="173"/>
      <c r="F456" s="174"/>
      <c r="G456" s="165"/>
    </row>
    <row r="457" spans="2:7" s="167" customFormat="1" ht="15" customHeight="1" outlineLevel="2" x14ac:dyDescent="0.2">
      <c r="B457" s="60" t="s">
        <v>4075</v>
      </c>
      <c r="C457" s="549" t="s">
        <v>2243</v>
      </c>
      <c r="D457" s="166" t="s">
        <v>299</v>
      </c>
      <c r="E457" s="173"/>
      <c r="F457" s="174"/>
      <c r="G457" s="165"/>
    </row>
    <row r="458" spans="2:7" s="167" customFormat="1" ht="15" customHeight="1" outlineLevel="2" x14ac:dyDescent="0.2">
      <c r="B458" s="60" t="s">
        <v>4076</v>
      </c>
      <c r="C458" s="549" t="s">
        <v>2244</v>
      </c>
      <c r="D458" s="166" t="s">
        <v>299</v>
      </c>
      <c r="E458" s="173"/>
      <c r="F458" s="174"/>
      <c r="G458" s="165"/>
    </row>
    <row r="459" spans="2:7" s="167" customFormat="1" ht="15" customHeight="1" outlineLevel="2" x14ac:dyDescent="0.2">
      <c r="B459" s="60" t="s">
        <v>4077</v>
      </c>
      <c r="C459" s="549" t="s">
        <v>2245</v>
      </c>
      <c r="D459" s="166" t="s">
        <v>299</v>
      </c>
      <c r="E459" s="173"/>
      <c r="F459" s="174"/>
      <c r="G459" s="165"/>
    </row>
    <row r="460" spans="2:7" s="167" customFormat="1" ht="15" customHeight="1" outlineLevel="2" x14ac:dyDescent="0.2">
      <c r="B460" s="60" t="s">
        <v>4078</v>
      </c>
      <c r="C460" s="549" t="s">
        <v>2246</v>
      </c>
      <c r="D460" s="166" t="s">
        <v>299</v>
      </c>
      <c r="E460" s="173"/>
      <c r="F460" s="174"/>
      <c r="G460" s="165"/>
    </row>
    <row r="461" spans="2:7" s="167" customFormat="1" ht="15" customHeight="1" outlineLevel="2" x14ac:dyDescent="0.2">
      <c r="B461" s="60" t="s">
        <v>4079</v>
      </c>
      <c r="C461" s="549" t="s">
        <v>2247</v>
      </c>
      <c r="D461" s="166" t="s">
        <v>299</v>
      </c>
      <c r="E461" s="173"/>
      <c r="F461" s="174"/>
      <c r="G461" s="165"/>
    </row>
    <row r="462" spans="2:7" s="167" customFormat="1" ht="15" customHeight="1" outlineLevel="2" x14ac:dyDescent="0.2">
      <c r="B462" s="60" t="s">
        <v>4080</v>
      </c>
      <c r="C462" s="549" t="s">
        <v>2248</v>
      </c>
      <c r="D462" s="166" t="s">
        <v>299</v>
      </c>
      <c r="E462" s="173"/>
      <c r="F462" s="174"/>
      <c r="G462" s="165"/>
    </row>
    <row r="463" spans="2:7" s="167" customFormat="1" ht="15" customHeight="1" outlineLevel="2" x14ac:dyDescent="0.2">
      <c r="B463" s="60" t="s">
        <v>4081</v>
      </c>
      <c r="C463" s="549" t="s">
        <v>2249</v>
      </c>
      <c r="D463" s="166" t="s">
        <v>299</v>
      </c>
      <c r="E463" s="173"/>
      <c r="F463" s="174"/>
      <c r="G463" s="165"/>
    </row>
    <row r="464" spans="2:7" s="167" customFormat="1" ht="15" customHeight="1" outlineLevel="2" x14ac:dyDescent="0.2">
      <c r="B464" s="60" t="s">
        <v>4082</v>
      </c>
      <c r="C464" s="549" t="s">
        <v>2250</v>
      </c>
      <c r="D464" s="166" t="s">
        <v>299</v>
      </c>
      <c r="E464" s="173"/>
      <c r="F464" s="174"/>
      <c r="G464" s="165"/>
    </row>
    <row r="465" spans="2:7" s="134" customFormat="1" ht="15" customHeight="1" outlineLevel="1" x14ac:dyDescent="0.2">
      <c r="B465" s="60" t="s">
        <v>4083</v>
      </c>
      <c r="C465" s="499">
        <v>14.2</v>
      </c>
      <c r="D465" s="162" t="s">
        <v>36</v>
      </c>
      <c r="E465" s="91">
        <f>SUM(E466:E485)</f>
        <v>0</v>
      </c>
      <c r="F465" s="92">
        <f>SUM(F466:F485)</f>
        <v>0</v>
      </c>
      <c r="G465" s="138"/>
    </row>
    <row r="466" spans="2:7" s="167" customFormat="1" ht="15" customHeight="1" outlineLevel="2" x14ac:dyDescent="0.2">
      <c r="B466" s="60" t="s">
        <v>4084</v>
      </c>
      <c r="C466" s="549" t="s">
        <v>2251</v>
      </c>
      <c r="D466" s="166" t="s">
        <v>299</v>
      </c>
      <c r="E466" s="173"/>
      <c r="F466" s="174"/>
      <c r="G466" s="165"/>
    </row>
    <row r="467" spans="2:7" s="167" customFormat="1" ht="15" customHeight="1" outlineLevel="2" x14ac:dyDescent="0.2">
      <c r="B467" s="60" t="s">
        <v>4085</v>
      </c>
      <c r="C467" s="549" t="s">
        <v>2252</v>
      </c>
      <c r="D467" s="166" t="s">
        <v>299</v>
      </c>
      <c r="E467" s="173"/>
      <c r="F467" s="174"/>
      <c r="G467" s="165"/>
    </row>
    <row r="468" spans="2:7" s="167" customFormat="1" ht="15" customHeight="1" outlineLevel="2" x14ac:dyDescent="0.2">
      <c r="B468" s="60" t="s">
        <v>4086</v>
      </c>
      <c r="C468" s="549" t="s">
        <v>2253</v>
      </c>
      <c r="D468" s="166" t="s">
        <v>299</v>
      </c>
      <c r="E468" s="173"/>
      <c r="F468" s="174"/>
      <c r="G468" s="165"/>
    </row>
    <row r="469" spans="2:7" s="167" customFormat="1" ht="15" customHeight="1" outlineLevel="2" x14ac:dyDescent="0.2">
      <c r="B469" s="60" t="s">
        <v>4087</v>
      </c>
      <c r="C469" s="549" t="s">
        <v>2254</v>
      </c>
      <c r="D469" s="166" t="s">
        <v>299</v>
      </c>
      <c r="E469" s="173"/>
      <c r="F469" s="174"/>
      <c r="G469" s="165"/>
    </row>
    <row r="470" spans="2:7" s="167" customFormat="1" ht="15" customHeight="1" outlineLevel="2" x14ac:dyDescent="0.2">
      <c r="B470" s="60" t="s">
        <v>4088</v>
      </c>
      <c r="C470" s="549" t="s">
        <v>2255</v>
      </c>
      <c r="D470" s="166" t="s">
        <v>299</v>
      </c>
      <c r="E470" s="173"/>
      <c r="F470" s="174"/>
      <c r="G470" s="165"/>
    </row>
    <row r="471" spans="2:7" s="165" customFormat="1" ht="15" customHeight="1" outlineLevel="2" x14ac:dyDescent="0.2">
      <c r="B471" s="60" t="s">
        <v>4089</v>
      </c>
      <c r="C471" s="549" t="s">
        <v>2256</v>
      </c>
      <c r="D471" s="166" t="s">
        <v>299</v>
      </c>
      <c r="E471" s="173"/>
      <c r="F471" s="174"/>
    </row>
    <row r="472" spans="2:7" s="165" customFormat="1" ht="15" customHeight="1" outlineLevel="2" x14ac:dyDescent="0.2">
      <c r="B472" s="60" t="s">
        <v>4090</v>
      </c>
      <c r="C472" s="549" t="s">
        <v>2257</v>
      </c>
      <c r="D472" s="166" t="s">
        <v>299</v>
      </c>
      <c r="E472" s="173"/>
      <c r="F472" s="174"/>
    </row>
    <row r="473" spans="2:7" s="165" customFormat="1" ht="15" customHeight="1" outlineLevel="2" x14ac:dyDescent="0.2">
      <c r="B473" s="60" t="s">
        <v>4091</v>
      </c>
      <c r="C473" s="549" t="s">
        <v>2258</v>
      </c>
      <c r="D473" s="166" t="s">
        <v>299</v>
      </c>
      <c r="E473" s="173"/>
      <c r="F473" s="174"/>
    </row>
    <row r="474" spans="2:7" s="165" customFormat="1" ht="15" customHeight="1" outlineLevel="2" x14ac:dyDescent="0.2">
      <c r="B474" s="60" t="s">
        <v>4092</v>
      </c>
      <c r="C474" s="549" t="s">
        <v>2259</v>
      </c>
      <c r="D474" s="166" t="s">
        <v>299</v>
      </c>
      <c r="E474" s="173"/>
      <c r="F474" s="174"/>
    </row>
    <row r="475" spans="2:7" s="165" customFormat="1" ht="15" customHeight="1" outlineLevel="2" x14ac:dyDescent="0.2">
      <c r="B475" s="60" t="s">
        <v>4093</v>
      </c>
      <c r="C475" s="549" t="s">
        <v>2260</v>
      </c>
      <c r="D475" s="166" t="s">
        <v>299</v>
      </c>
      <c r="E475" s="173"/>
      <c r="F475" s="174"/>
    </row>
    <row r="476" spans="2:7" s="165" customFormat="1" ht="15" customHeight="1" outlineLevel="2" x14ac:dyDescent="0.2">
      <c r="B476" s="60" t="s">
        <v>4094</v>
      </c>
      <c r="C476" s="549" t="s">
        <v>2261</v>
      </c>
      <c r="D476" s="166" t="s">
        <v>299</v>
      </c>
      <c r="E476" s="173"/>
      <c r="F476" s="174"/>
    </row>
    <row r="477" spans="2:7" s="165" customFormat="1" ht="15" customHeight="1" outlineLevel="2" x14ac:dyDescent="0.2">
      <c r="B477" s="60" t="s">
        <v>4095</v>
      </c>
      <c r="C477" s="549" t="s">
        <v>2262</v>
      </c>
      <c r="D477" s="166" t="s">
        <v>299</v>
      </c>
      <c r="E477" s="173"/>
      <c r="F477" s="174"/>
    </row>
    <row r="478" spans="2:7" s="165" customFormat="1" ht="15" customHeight="1" outlineLevel="2" x14ac:dyDescent="0.2">
      <c r="B478" s="60" t="s">
        <v>4096</v>
      </c>
      <c r="C478" s="549" t="s">
        <v>2263</v>
      </c>
      <c r="D478" s="166" t="s">
        <v>299</v>
      </c>
      <c r="E478" s="173"/>
      <c r="F478" s="174"/>
    </row>
    <row r="479" spans="2:7" s="165" customFormat="1" ht="15" customHeight="1" outlineLevel="2" x14ac:dyDescent="0.2">
      <c r="B479" s="60" t="s">
        <v>4097</v>
      </c>
      <c r="C479" s="549" t="s">
        <v>2264</v>
      </c>
      <c r="D479" s="166" t="s">
        <v>299</v>
      </c>
      <c r="E479" s="173"/>
      <c r="F479" s="174"/>
    </row>
    <row r="480" spans="2:7" s="165" customFormat="1" ht="15" customHeight="1" outlineLevel="2" x14ac:dyDescent="0.2">
      <c r="B480" s="60" t="s">
        <v>4098</v>
      </c>
      <c r="C480" s="549" t="s">
        <v>2265</v>
      </c>
      <c r="D480" s="166" t="s">
        <v>299</v>
      </c>
      <c r="E480" s="173"/>
      <c r="F480" s="174"/>
    </row>
    <row r="481" spans="2:6" s="165" customFormat="1" ht="15" customHeight="1" outlineLevel="2" x14ac:dyDescent="0.2">
      <c r="B481" s="60" t="s">
        <v>4099</v>
      </c>
      <c r="C481" s="549" t="s">
        <v>2266</v>
      </c>
      <c r="D481" s="166" t="s">
        <v>299</v>
      </c>
      <c r="E481" s="173"/>
      <c r="F481" s="174"/>
    </row>
    <row r="482" spans="2:6" s="165" customFormat="1" ht="15" customHeight="1" outlineLevel="2" x14ac:dyDescent="0.2">
      <c r="B482" s="60" t="s">
        <v>4100</v>
      </c>
      <c r="C482" s="549" t="s">
        <v>2267</v>
      </c>
      <c r="D482" s="166" t="s">
        <v>299</v>
      </c>
      <c r="E482" s="173"/>
      <c r="F482" s="174"/>
    </row>
    <row r="483" spans="2:6" s="165" customFormat="1" ht="15" customHeight="1" outlineLevel="2" x14ac:dyDescent="0.2">
      <c r="B483" s="60" t="s">
        <v>4101</v>
      </c>
      <c r="C483" s="549" t="s">
        <v>2268</v>
      </c>
      <c r="D483" s="166" t="s">
        <v>299</v>
      </c>
      <c r="E483" s="173"/>
      <c r="F483" s="174"/>
    </row>
    <row r="484" spans="2:6" s="165" customFormat="1" ht="15" customHeight="1" outlineLevel="2" x14ac:dyDescent="0.2">
      <c r="B484" s="60" t="s">
        <v>4102</v>
      </c>
      <c r="C484" s="549" t="s">
        <v>2269</v>
      </c>
      <c r="D484" s="166" t="s">
        <v>299</v>
      </c>
      <c r="E484" s="173"/>
      <c r="F484" s="174"/>
    </row>
    <row r="485" spans="2:6" s="165" customFormat="1" ht="15" customHeight="1" outlineLevel="2" x14ac:dyDescent="0.2">
      <c r="B485" s="60" t="s">
        <v>4103</v>
      </c>
      <c r="C485" s="549" t="s">
        <v>2270</v>
      </c>
      <c r="D485" s="166" t="s">
        <v>299</v>
      </c>
      <c r="E485" s="173"/>
      <c r="F485" s="174"/>
    </row>
    <row r="486" spans="2:6" s="159" customFormat="1" ht="15" customHeight="1" x14ac:dyDescent="0.2">
      <c r="B486" s="60" t="s">
        <v>4104</v>
      </c>
      <c r="C486" s="565">
        <v>15</v>
      </c>
      <c r="D486" s="168" t="s">
        <v>302</v>
      </c>
      <c r="E486" s="155">
        <f>E487+E508</f>
        <v>0</v>
      </c>
      <c r="F486" s="209">
        <f>F487+F508</f>
        <v>0</v>
      </c>
    </row>
    <row r="487" spans="2:6" s="138" customFormat="1" ht="15" customHeight="1" outlineLevel="1" x14ac:dyDescent="0.2">
      <c r="B487" s="651" t="s">
        <v>4105</v>
      </c>
      <c r="C487" s="652">
        <v>15.1</v>
      </c>
      <c r="D487" s="653" t="s">
        <v>35</v>
      </c>
      <c r="E487" s="654">
        <f>SUM(E488:E507)</f>
        <v>0</v>
      </c>
      <c r="F487" s="655">
        <f>SUM(F488:F507)</f>
        <v>0</v>
      </c>
    </row>
    <row r="488" spans="2:6" s="165" customFormat="1" ht="15" customHeight="1" outlineLevel="2" x14ac:dyDescent="0.2">
      <c r="B488" s="60" t="s">
        <v>4106</v>
      </c>
      <c r="C488" s="549" t="s">
        <v>2311</v>
      </c>
      <c r="D488" s="166" t="s">
        <v>299</v>
      </c>
      <c r="E488" s="173"/>
      <c r="F488" s="174"/>
    </row>
    <row r="489" spans="2:6" s="165" customFormat="1" ht="15" customHeight="1" outlineLevel="2" x14ac:dyDescent="0.2">
      <c r="B489" s="60" t="s">
        <v>4107</v>
      </c>
      <c r="C489" s="549" t="s">
        <v>2312</v>
      </c>
      <c r="D489" s="166" t="s">
        <v>299</v>
      </c>
      <c r="E489" s="173"/>
      <c r="F489" s="174"/>
    </row>
    <row r="490" spans="2:6" s="165" customFormat="1" ht="15" customHeight="1" outlineLevel="2" x14ac:dyDescent="0.2">
      <c r="B490" s="60" t="s">
        <v>4108</v>
      </c>
      <c r="C490" s="549" t="s">
        <v>2313</v>
      </c>
      <c r="D490" s="166" t="s">
        <v>299</v>
      </c>
      <c r="E490" s="173"/>
      <c r="F490" s="174"/>
    </row>
    <row r="491" spans="2:6" s="165" customFormat="1" ht="15" customHeight="1" outlineLevel="2" x14ac:dyDescent="0.2">
      <c r="B491" s="60" t="s">
        <v>4109</v>
      </c>
      <c r="C491" s="549" t="s">
        <v>2314</v>
      </c>
      <c r="D491" s="166" t="s">
        <v>299</v>
      </c>
      <c r="E491" s="173"/>
      <c r="F491" s="174"/>
    </row>
    <row r="492" spans="2:6" s="165" customFormat="1" ht="15" customHeight="1" outlineLevel="2" x14ac:dyDescent="0.2">
      <c r="B492" s="60" t="s">
        <v>4110</v>
      </c>
      <c r="C492" s="549" t="s">
        <v>2315</v>
      </c>
      <c r="D492" s="166" t="s">
        <v>299</v>
      </c>
      <c r="E492" s="173"/>
      <c r="F492" s="174"/>
    </row>
    <row r="493" spans="2:6" s="165" customFormat="1" ht="15" customHeight="1" outlineLevel="2" x14ac:dyDescent="0.2">
      <c r="B493" s="60" t="s">
        <v>4111</v>
      </c>
      <c r="C493" s="549" t="s">
        <v>2316</v>
      </c>
      <c r="D493" s="166" t="s">
        <v>299</v>
      </c>
      <c r="E493" s="173"/>
      <c r="F493" s="174"/>
    </row>
    <row r="494" spans="2:6" s="165" customFormat="1" ht="15" customHeight="1" outlineLevel="2" x14ac:dyDescent="0.2">
      <c r="B494" s="60" t="s">
        <v>4112</v>
      </c>
      <c r="C494" s="549" t="s">
        <v>2317</v>
      </c>
      <c r="D494" s="166" t="s">
        <v>299</v>
      </c>
      <c r="E494" s="173"/>
      <c r="F494" s="174"/>
    </row>
    <row r="495" spans="2:6" s="165" customFormat="1" ht="15" customHeight="1" outlineLevel="2" x14ac:dyDescent="0.2">
      <c r="B495" s="60" t="s">
        <v>4113</v>
      </c>
      <c r="C495" s="549" t="s">
        <v>2318</v>
      </c>
      <c r="D495" s="166" t="s">
        <v>299</v>
      </c>
      <c r="E495" s="173"/>
      <c r="F495" s="174"/>
    </row>
    <row r="496" spans="2:6" s="165" customFormat="1" ht="15" customHeight="1" outlineLevel="2" x14ac:dyDescent="0.2">
      <c r="B496" s="60" t="s">
        <v>4114</v>
      </c>
      <c r="C496" s="549" t="s">
        <v>2319</v>
      </c>
      <c r="D496" s="166" t="s">
        <v>299</v>
      </c>
      <c r="E496" s="173"/>
      <c r="F496" s="174"/>
    </row>
    <row r="497" spans="2:6" s="165" customFormat="1" ht="15" customHeight="1" outlineLevel="2" x14ac:dyDescent="0.2">
      <c r="B497" s="60" t="s">
        <v>4115</v>
      </c>
      <c r="C497" s="549" t="s">
        <v>2320</v>
      </c>
      <c r="D497" s="166" t="s">
        <v>299</v>
      </c>
      <c r="E497" s="173"/>
      <c r="F497" s="174"/>
    </row>
    <row r="498" spans="2:6" s="165" customFormat="1" ht="15" customHeight="1" outlineLevel="2" x14ac:dyDescent="0.2">
      <c r="B498" s="60" t="s">
        <v>4116</v>
      </c>
      <c r="C498" s="549" t="s">
        <v>2321</v>
      </c>
      <c r="D498" s="166" t="s">
        <v>299</v>
      </c>
      <c r="E498" s="173"/>
      <c r="F498" s="174"/>
    </row>
    <row r="499" spans="2:6" s="165" customFormat="1" ht="15" customHeight="1" outlineLevel="2" x14ac:dyDescent="0.2">
      <c r="B499" s="60" t="s">
        <v>4117</v>
      </c>
      <c r="C499" s="549" t="s">
        <v>2322</v>
      </c>
      <c r="D499" s="166" t="s">
        <v>299</v>
      </c>
      <c r="E499" s="173"/>
      <c r="F499" s="174"/>
    </row>
    <row r="500" spans="2:6" s="165" customFormat="1" ht="15" customHeight="1" outlineLevel="2" x14ac:dyDescent="0.2">
      <c r="B500" s="60" t="s">
        <v>4118</v>
      </c>
      <c r="C500" s="549" t="s">
        <v>2323</v>
      </c>
      <c r="D500" s="166" t="s">
        <v>299</v>
      </c>
      <c r="E500" s="173"/>
      <c r="F500" s="174"/>
    </row>
    <row r="501" spans="2:6" s="165" customFormat="1" ht="15" customHeight="1" outlineLevel="2" x14ac:dyDescent="0.2">
      <c r="B501" s="60" t="s">
        <v>4119</v>
      </c>
      <c r="C501" s="549" t="s">
        <v>2324</v>
      </c>
      <c r="D501" s="166" t="s">
        <v>299</v>
      </c>
      <c r="E501" s="173"/>
      <c r="F501" s="174"/>
    </row>
    <row r="502" spans="2:6" s="165" customFormat="1" ht="15" customHeight="1" outlineLevel="2" x14ac:dyDescent="0.2">
      <c r="B502" s="60" t="s">
        <v>4120</v>
      </c>
      <c r="C502" s="549" t="s">
        <v>2325</v>
      </c>
      <c r="D502" s="166" t="s">
        <v>299</v>
      </c>
      <c r="E502" s="173"/>
      <c r="F502" s="174"/>
    </row>
    <row r="503" spans="2:6" s="165" customFormat="1" ht="15" customHeight="1" outlineLevel="2" x14ac:dyDescent="0.2">
      <c r="B503" s="60" t="s">
        <v>4121</v>
      </c>
      <c r="C503" s="549" t="s">
        <v>2326</v>
      </c>
      <c r="D503" s="166" t="s">
        <v>299</v>
      </c>
      <c r="E503" s="173"/>
      <c r="F503" s="174"/>
    </row>
    <row r="504" spans="2:6" s="165" customFormat="1" ht="15" customHeight="1" outlineLevel="2" x14ac:dyDescent="0.2">
      <c r="B504" s="60" t="s">
        <v>4122</v>
      </c>
      <c r="C504" s="549" t="s">
        <v>2327</v>
      </c>
      <c r="D504" s="166" t="s">
        <v>299</v>
      </c>
      <c r="E504" s="173"/>
      <c r="F504" s="174"/>
    </row>
    <row r="505" spans="2:6" s="165" customFormat="1" ht="15" customHeight="1" outlineLevel="2" x14ac:dyDescent="0.2">
      <c r="B505" s="60" t="s">
        <v>4123</v>
      </c>
      <c r="C505" s="549" t="s">
        <v>2328</v>
      </c>
      <c r="D505" s="166" t="s">
        <v>299</v>
      </c>
      <c r="E505" s="173"/>
      <c r="F505" s="174"/>
    </row>
    <row r="506" spans="2:6" s="165" customFormat="1" ht="15" customHeight="1" outlineLevel="2" x14ac:dyDescent="0.2">
      <c r="B506" s="60" t="s">
        <v>4124</v>
      </c>
      <c r="C506" s="549" t="s">
        <v>2329</v>
      </c>
      <c r="D506" s="166" t="s">
        <v>299</v>
      </c>
      <c r="E506" s="173"/>
      <c r="F506" s="174"/>
    </row>
    <row r="507" spans="2:6" s="165" customFormat="1" ht="15" customHeight="1" outlineLevel="2" x14ac:dyDescent="0.2">
      <c r="B507" s="60" t="s">
        <v>4125</v>
      </c>
      <c r="C507" s="549" t="s">
        <v>2330</v>
      </c>
      <c r="D507" s="166" t="s">
        <v>299</v>
      </c>
      <c r="E507" s="173"/>
      <c r="F507" s="174"/>
    </row>
    <row r="508" spans="2:6" s="138" customFormat="1" ht="15" customHeight="1" outlineLevel="1" x14ac:dyDescent="0.2">
      <c r="B508" s="60" t="s">
        <v>4126</v>
      </c>
      <c r="C508" s="499">
        <v>15.2</v>
      </c>
      <c r="D508" s="162" t="s">
        <v>36</v>
      </c>
      <c r="E508" s="91">
        <f>SUM(E509:E528)</f>
        <v>0</v>
      </c>
      <c r="F508" s="92">
        <f>SUM(F509:F528)</f>
        <v>0</v>
      </c>
    </row>
    <row r="509" spans="2:6" s="165" customFormat="1" ht="15" customHeight="1" outlineLevel="2" x14ac:dyDescent="0.2">
      <c r="B509" s="60" t="s">
        <v>4127</v>
      </c>
      <c r="C509" s="549" t="s">
        <v>2331</v>
      </c>
      <c r="D509" s="166" t="s">
        <v>299</v>
      </c>
      <c r="E509" s="173"/>
      <c r="F509" s="174"/>
    </row>
    <row r="510" spans="2:6" s="165" customFormat="1" ht="15" customHeight="1" outlineLevel="2" x14ac:dyDescent="0.2">
      <c r="B510" s="60" t="s">
        <v>4128</v>
      </c>
      <c r="C510" s="549" t="s">
        <v>2332</v>
      </c>
      <c r="D510" s="166" t="s">
        <v>299</v>
      </c>
      <c r="E510" s="173"/>
      <c r="F510" s="174"/>
    </row>
    <row r="511" spans="2:6" s="165" customFormat="1" ht="15" customHeight="1" outlineLevel="2" x14ac:dyDescent="0.2">
      <c r="B511" s="60" t="s">
        <v>4129</v>
      </c>
      <c r="C511" s="549" t="s">
        <v>2333</v>
      </c>
      <c r="D511" s="166" t="s">
        <v>299</v>
      </c>
      <c r="E511" s="173"/>
      <c r="F511" s="174"/>
    </row>
    <row r="512" spans="2:6" s="165" customFormat="1" ht="15" customHeight="1" outlineLevel="2" x14ac:dyDescent="0.2">
      <c r="B512" s="60" t="s">
        <v>4130</v>
      </c>
      <c r="C512" s="549" t="s">
        <v>2334</v>
      </c>
      <c r="D512" s="166" t="s">
        <v>299</v>
      </c>
      <c r="E512" s="173"/>
      <c r="F512" s="174"/>
    </row>
    <row r="513" spans="2:6" s="165" customFormat="1" ht="15" customHeight="1" outlineLevel="2" x14ac:dyDescent="0.2">
      <c r="B513" s="60" t="s">
        <v>4131</v>
      </c>
      <c r="C513" s="549" t="s">
        <v>2335</v>
      </c>
      <c r="D513" s="166" t="s">
        <v>299</v>
      </c>
      <c r="E513" s="173"/>
      <c r="F513" s="174"/>
    </row>
    <row r="514" spans="2:6" s="165" customFormat="1" ht="15" customHeight="1" outlineLevel="2" x14ac:dyDescent="0.2">
      <c r="B514" s="60" t="s">
        <v>4132</v>
      </c>
      <c r="C514" s="549" t="s">
        <v>2336</v>
      </c>
      <c r="D514" s="166" t="s">
        <v>299</v>
      </c>
      <c r="E514" s="173"/>
      <c r="F514" s="174"/>
    </row>
    <row r="515" spans="2:6" s="165" customFormat="1" ht="15" customHeight="1" outlineLevel="2" x14ac:dyDescent="0.2">
      <c r="B515" s="60" t="s">
        <v>4133</v>
      </c>
      <c r="C515" s="549" t="s">
        <v>2337</v>
      </c>
      <c r="D515" s="166" t="s">
        <v>299</v>
      </c>
      <c r="E515" s="173"/>
      <c r="F515" s="174"/>
    </row>
    <row r="516" spans="2:6" s="165" customFormat="1" ht="15" customHeight="1" outlineLevel="2" x14ac:dyDescent="0.2">
      <c r="B516" s="60" t="s">
        <v>4134</v>
      </c>
      <c r="C516" s="549" t="s">
        <v>2338</v>
      </c>
      <c r="D516" s="166" t="s">
        <v>299</v>
      </c>
      <c r="E516" s="173"/>
      <c r="F516" s="174"/>
    </row>
    <row r="517" spans="2:6" s="165" customFormat="1" ht="15" customHeight="1" outlineLevel="2" x14ac:dyDescent="0.2">
      <c r="B517" s="60" t="s">
        <v>4135</v>
      </c>
      <c r="C517" s="549" t="s">
        <v>2339</v>
      </c>
      <c r="D517" s="166" t="s">
        <v>299</v>
      </c>
      <c r="E517" s="173"/>
      <c r="F517" s="174"/>
    </row>
    <row r="518" spans="2:6" s="165" customFormat="1" ht="15" customHeight="1" outlineLevel="2" x14ac:dyDescent="0.2">
      <c r="B518" s="60" t="s">
        <v>4136</v>
      </c>
      <c r="C518" s="549" t="s">
        <v>2340</v>
      </c>
      <c r="D518" s="166" t="s">
        <v>299</v>
      </c>
      <c r="E518" s="173"/>
      <c r="F518" s="174"/>
    </row>
    <row r="519" spans="2:6" s="165" customFormat="1" ht="15" customHeight="1" outlineLevel="2" x14ac:dyDescent="0.2">
      <c r="B519" s="60" t="s">
        <v>4137</v>
      </c>
      <c r="C519" s="549" t="s">
        <v>2341</v>
      </c>
      <c r="D519" s="166" t="s">
        <v>299</v>
      </c>
      <c r="E519" s="173"/>
      <c r="F519" s="174"/>
    </row>
    <row r="520" spans="2:6" s="165" customFormat="1" ht="15" customHeight="1" outlineLevel="2" x14ac:dyDescent="0.2">
      <c r="B520" s="60" t="s">
        <v>4138</v>
      </c>
      <c r="C520" s="549" t="s">
        <v>2342</v>
      </c>
      <c r="D520" s="166" t="s">
        <v>299</v>
      </c>
      <c r="E520" s="173"/>
      <c r="F520" s="174"/>
    </row>
    <row r="521" spans="2:6" s="165" customFormat="1" ht="15" customHeight="1" outlineLevel="2" x14ac:dyDescent="0.2">
      <c r="B521" s="60" t="s">
        <v>4139</v>
      </c>
      <c r="C521" s="549" t="s">
        <v>2343</v>
      </c>
      <c r="D521" s="166" t="s">
        <v>299</v>
      </c>
      <c r="E521" s="173"/>
      <c r="F521" s="174"/>
    </row>
    <row r="522" spans="2:6" s="165" customFormat="1" ht="15" customHeight="1" outlineLevel="2" x14ac:dyDescent="0.2">
      <c r="B522" s="60" t="s">
        <v>4140</v>
      </c>
      <c r="C522" s="549" t="s">
        <v>2344</v>
      </c>
      <c r="D522" s="166" t="s">
        <v>299</v>
      </c>
      <c r="E522" s="173"/>
      <c r="F522" s="174"/>
    </row>
    <row r="523" spans="2:6" s="165" customFormat="1" ht="15" customHeight="1" outlineLevel="2" x14ac:dyDescent="0.2">
      <c r="B523" s="60" t="s">
        <v>4141</v>
      </c>
      <c r="C523" s="549" t="s">
        <v>2345</v>
      </c>
      <c r="D523" s="166" t="s">
        <v>299</v>
      </c>
      <c r="E523" s="173"/>
      <c r="F523" s="174"/>
    </row>
    <row r="524" spans="2:6" s="165" customFormat="1" ht="15" customHeight="1" outlineLevel="2" x14ac:dyDescent="0.2">
      <c r="B524" s="60" t="s">
        <v>4142</v>
      </c>
      <c r="C524" s="549" t="s">
        <v>2346</v>
      </c>
      <c r="D524" s="166" t="s">
        <v>299</v>
      </c>
      <c r="E524" s="173"/>
      <c r="F524" s="174"/>
    </row>
    <row r="525" spans="2:6" s="165" customFormat="1" ht="15" customHeight="1" outlineLevel="2" x14ac:dyDescent="0.2">
      <c r="B525" s="60" t="s">
        <v>4143</v>
      </c>
      <c r="C525" s="549" t="s">
        <v>2347</v>
      </c>
      <c r="D525" s="166" t="s">
        <v>299</v>
      </c>
      <c r="E525" s="173"/>
      <c r="F525" s="174"/>
    </row>
    <row r="526" spans="2:6" s="165" customFormat="1" ht="15" customHeight="1" outlineLevel="2" x14ac:dyDescent="0.2">
      <c r="B526" s="60" t="s">
        <v>4144</v>
      </c>
      <c r="C526" s="549" t="s">
        <v>2348</v>
      </c>
      <c r="D526" s="166" t="s">
        <v>299</v>
      </c>
      <c r="E526" s="173"/>
      <c r="F526" s="174"/>
    </row>
    <row r="527" spans="2:6" s="165" customFormat="1" ht="15" customHeight="1" outlineLevel="2" x14ac:dyDescent="0.2">
      <c r="B527" s="60" t="s">
        <v>4145</v>
      </c>
      <c r="C527" s="549" t="s">
        <v>2349</v>
      </c>
      <c r="D527" s="166" t="s">
        <v>299</v>
      </c>
      <c r="E527" s="173"/>
      <c r="F527" s="174"/>
    </row>
    <row r="528" spans="2:6" s="165" customFormat="1" ht="15" customHeight="1" outlineLevel="2" thickBot="1" x14ac:dyDescent="0.25">
      <c r="B528" s="491" t="s">
        <v>4146</v>
      </c>
      <c r="C528" s="567" t="s">
        <v>2350</v>
      </c>
      <c r="D528" s="208" t="s">
        <v>299</v>
      </c>
      <c r="E528" s="210"/>
      <c r="F528" s="211"/>
    </row>
    <row r="529" spans="2:6" s="138" customFormat="1" ht="9" customHeight="1" thickBot="1" x14ac:dyDescent="0.25">
      <c r="B529" s="658"/>
      <c r="C529" s="212"/>
      <c r="D529" s="213"/>
      <c r="E529" s="670"/>
      <c r="F529" s="670"/>
    </row>
    <row r="530" spans="2:6" s="143" customFormat="1" ht="15" customHeight="1" x14ac:dyDescent="0.2">
      <c r="B530" s="418" t="s">
        <v>4147</v>
      </c>
      <c r="C530" s="564">
        <v>16</v>
      </c>
      <c r="D530" s="563" t="s">
        <v>1192</v>
      </c>
      <c r="E530" s="408">
        <f>E531+E574+E617+E660</f>
        <v>0</v>
      </c>
      <c r="F530" s="409">
        <f>F531+F574+F617+F660</f>
        <v>0</v>
      </c>
    </row>
    <row r="531" spans="2:6" s="159" customFormat="1" ht="15" customHeight="1" x14ac:dyDescent="0.2">
      <c r="B531" s="60" t="s">
        <v>4148</v>
      </c>
      <c r="C531" s="565">
        <v>17</v>
      </c>
      <c r="D531" s="168" t="s">
        <v>440</v>
      </c>
      <c r="E531" s="155">
        <f>E532+E553</f>
        <v>0</v>
      </c>
      <c r="F531" s="209">
        <f>F532+F553</f>
        <v>0</v>
      </c>
    </row>
    <row r="532" spans="2:6" s="138" customFormat="1" ht="15" customHeight="1" outlineLevel="1" x14ac:dyDescent="0.2">
      <c r="B532" s="60" t="s">
        <v>4149</v>
      </c>
      <c r="C532" s="505">
        <v>17.100000000000001</v>
      </c>
      <c r="D532" s="162" t="s">
        <v>35</v>
      </c>
      <c r="E532" s="91">
        <f>SUM(E533:E552)</f>
        <v>0</v>
      </c>
      <c r="F532" s="92">
        <f>SUM(F533:F552)</f>
        <v>0</v>
      </c>
    </row>
    <row r="533" spans="2:6" s="165" customFormat="1" ht="15" customHeight="1" outlineLevel="2" x14ac:dyDescent="0.2">
      <c r="B533" s="60" t="s">
        <v>4150</v>
      </c>
      <c r="C533" s="549" t="s">
        <v>3156</v>
      </c>
      <c r="D533" s="166" t="s">
        <v>299</v>
      </c>
      <c r="E533" s="173"/>
      <c r="F533" s="174"/>
    </row>
    <row r="534" spans="2:6" s="165" customFormat="1" ht="15" customHeight="1" outlineLevel="2" x14ac:dyDescent="0.2">
      <c r="B534" s="60" t="s">
        <v>4151</v>
      </c>
      <c r="C534" s="549" t="s">
        <v>3157</v>
      </c>
      <c r="D534" s="166" t="s">
        <v>299</v>
      </c>
      <c r="E534" s="173"/>
      <c r="F534" s="174"/>
    </row>
    <row r="535" spans="2:6" s="165" customFormat="1" ht="15" customHeight="1" outlineLevel="2" x14ac:dyDescent="0.2">
      <c r="B535" s="60" t="s">
        <v>4152</v>
      </c>
      <c r="C535" s="549" t="s">
        <v>3158</v>
      </c>
      <c r="D535" s="166" t="s">
        <v>299</v>
      </c>
      <c r="E535" s="173"/>
      <c r="F535" s="174"/>
    </row>
    <row r="536" spans="2:6" s="165" customFormat="1" ht="15" customHeight="1" outlineLevel="2" x14ac:dyDescent="0.2">
      <c r="B536" s="60" t="s">
        <v>4153</v>
      </c>
      <c r="C536" s="549" t="s">
        <v>3159</v>
      </c>
      <c r="D536" s="166" t="s">
        <v>299</v>
      </c>
      <c r="E536" s="173"/>
      <c r="F536" s="174"/>
    </row>
    <row r="537" spans="2:6" s="165" customFormat="1" ht="15" customHeight="1" outlineLevel="2" x14ac:dyDescent="0.2">
      <c r="B537" s="60" t="s">
        <v>4154</v>
      </c>
      <c r="C537" s="549" t="s">
        <v>3160</v>
      </c>
      <c r="D537" s="166" t="s">
        <v>299</v>
      </c>
      <c r="E537" s="173"/>
      <c r="F537" s="174"/>
    </row>
    <row r="538" spans="2:6" s="165" customFormat="1" ht="15" customHeight="1" outlineLevel="2" x14ac:dyDescent="0.2">
      <c r="B538" s="60" t="s">
        <v>4155</v>
      </c>
      <c r="C538" s="549" t="s">
        <v>3161</v>
      </c>
      <c r="D538" s="166" t="s">
        <v>299</v>
      </c>
      <c r="E538" s="173"/>
      <c r="F538" s="174"/>
    </row>
    <row r="539" spans="2:6" s="165" customFormat="1" ht="15" customHeight="1" outlineLevel="2" x14ac:dyDescent="0.2">
      <c r="B539" s="60" t="s">
        <v>4156</v>
      </c>
      <c r="C539" s="549" t="s">
        <v>3162</v>
      </c>
      <c r="D539" s="166" t="s">
        <v>299</v>
      </c>
      <c r="E539" s="173"/>
      <c r="F539" s="174"/>
    </row>
    <row r="540" spans="2:6" s="165" customFormat="1" ht="15" customHeight="1" outlineLevel="2" x14ac:dyDescent="0.2">
      <c r="B540" s="60" t="s">
        <v>4157</v>
      </c>
      <c r="C540" s="549" t="s">
        <v>3163</v>
      </c>
      <c r="D540" s="166" t="s">
        <v>299</v>
      </c>
      <c r="E540" s="173"/>
      <c r="F540" s="174"/>
    </row>
    <row r="541" spans="2:6" s="165" customFormat="1" ht="15" customHeight="1" outlineLevel="2" x14ac:dyDescent="0.2">
      <c r="B541" s="60" t="s">
        <v>4158</v>
      </c>
      <c r="C541" s="549" t="s">
        <v>3164</v>
      </c>
      <c r="D541" s="166" t="s">
        <v>299</v>
      </c>
      <c r="E541" s="173"/>
      <c r="F541" s="174"/>
    </row>
    <row r="542" spans="2:6" s="165" customFormat="1" ht="15" customHeight="1" outlineLevel="2" x14ac:dyDescent="0.2">
      <c r="B542" s="60" t="s">
        <v>4159</v>
      </c>
      <c r="C542" s="549" t="s">
        <v>3165</v>
      </c>
      <c r="D542" s="166" t="s">
        <v>299</v>
      </c>
      <c r="E542" s="173"/>
      <c r="F542" s="174"/>
    </row>
    <row r="543" spans="2:6" s="165" customFormat="1" ht="15" customHeight="1" outlineLevel="2" x14ac:dyDescent="0.2">
      <c r="B543" s="60" t="s">
        <v>4160</v>
      </c>
      <c r="C543" s="549" t="s">
        <v>3166</v>
      </c>
      <c r="D543" s="166" t="s">
        <v>299</v>
      </c>
      <c r="E543" s="173"/>
      <c r="F543" s="174"/>
    </row>
    <row r="544" spans="2:6" s="165" customFormat="1" ht="15" customHeight="1" outlineLevel="2" x14ac:dyDescent="0.2">
      <c r="B544" s="60" t="s">
        <v>4161</v>
      </c>
      <c r="C544" s="549" t="s">
        <v>3167</v>
      </c>
      <c r="D544" s="166" t="s">
        <v>299</v>
      </c>
      <c r="E544" s="173"/>
      <c r="F544" s="174"/>
    </row>
    <row r="545" spans="2:6" s="165" customFormat="1" ht="15" customHeight="1" outlineLevel="2" x14ac:dyDescent="0.2">
      <c r="B545" s="60" t="s">
        <v>4162</v>
      </c>
      <c r="C545" s="549" t="s">
        <v>3168</v>
      </c>
      <c r="D545" s="166" t="s">
        <v>299</v>
      </c>
      <c r="E545" s="173"/>
      <c r="F545" s="174"/>
    </row>
    <row r="546" spans="2:6" s="165" customFormat="1" ht="15" customHeight="1" outlineLevel="2" x14ac:dyDescent="0.2">
      <c r="B546" s="60" t="s">
        <v>4163</v>
      </c>
      <c r="C546" s="549" t="s">
        <v>3169</v>
      </c>
      <c r="D546" s="166" t="s">
        <v>299</v>
      </c>
      <c r="E546" s="173"/>
      <c r="F546" s="174"/>
    </row>
    <row r="547" spans="2:6" s="165" customFormat="1" ht="15" customHeight="1" outlineLevel="2" x14ac:dyDescent="0.2">
      <c r="B547" s="60" t="s">
        <v>4164</v>
      </c>
      <c r="C547" s="549" t="s">
        <v>3170</v>
      </c>
      <c r="D547" s="166" t="s">
        <v>299</v>
      </c>
      <c r="E547" s="173"/>
      <c r="F547" s="174"/>
    </row>
    <row r="548" spans="2:6" s="165" customFormat="1" ht="15" customHeight="1" outlineLevel="2" x14ac:dyDescent="0.2">
      <c r="B548" s="60" t="s">
        <v>4165</v>
      </c>
      <c r="C548" s="549" t="s">
        <v>3171</v>
      </c>
      <c r="D548" s="166" t="s">
        <v>299</v>
      </c>
      <c r="E548" s="173"/>
      <c r="F548" s="174"/>
    </row>
    <row r="549" spans="2:6" s="165" customFormat="1" ht="15" customHeight="1" outlineLevel="2" x14ac:dyDescent="0.2">
      <c r="B549" s="60" t="s">
        <v>4166</v>
      </c>
      <c r="C549" s="549" t="s">
        <v>3172</v>
      </c>
      <c r="D549" s="166" t="s">
        <v>299</v>
      </c>
      <c r="E549" s="173"/>
      <c r="F549" s="174"/>
    </row>
    <row r="550" spans="2:6" s="165" customFormat="1" ht="15" customHeight="1" outlineLevel="2" x14ac:dyDescent="0.2">
      <c r="B550" s="60" t="s">
        <v>4167</v>
      </c>
      <c r="C550" s="549" t="s">
        <v>3173</v>
      </c>
      <c r="D550" s="166" t="s">
        <v>299</v>
      </c>
      <c r="E550" s="173"/>
      <c r="F550" s="174"/>
    </row>
    <row r="551" spans="2:6" s="165" customFormat="1" ht="15" customHeight="1" outlineLevel="2" x14ac:dyDescent="0.2">
      <c r="B551" s="60" t="s">
        <v>4168</v>
      </c>
      <c r="C551" s="549" t="s">
        <v>3174</v>
      </c>
      <c r="D551" s="166" t="s">
        <v>299</v>
      </c>
      <c r="E551" s="173"/>
      <c r="F551" s="174"/>
    </row>
    <row r="552" spans="2:6" s="165" customFormat="1" ht="15" customHeight="1" outlineLevel="2" x14ac:dyDescent="0.2">
      <c r="B552" s="60" t="s">
        <v>4169</v>
      </c>
      <c r="C552" s="549" t="s">
        <v>3175</v>
      </c>
      <c r="D552" s="166" t="s">
        <v>299</v>
      </c>
      <c r="E552" s="154"/>
      <c r="F552" s="175"/>
    </row>
    <row r="553" spans="2:6" s="138" customFormat="1" ht="15" customHeight="1" outlineLevel="1" x14ac:dyDescent="0.2">
      <c r="B553" s="60" t="s">
        <v>4170</v>
      </c>
      <c r="C553" s="505">
        <v>17.2</v>
      </c>
      <c r="D553" s="162" t="s">
        <v>36</v>
      </c>
      <c r="E553" s="91">
        <f>SUM(E554:E573)</f>
        <v>0</v>
      </c>
      <c r="F553" s="92">
        <f>SUM(F554:F573)</f>
        <v>0</v>
      </c>
    </row>
    <row r="554" spans="2:6" s="165" customFormat="1" ht="15" customHeight="1" outlineLevel="2" x14ac:dyDescent="0.2">
      <c r="B554" s="60" t="s">
        <v>4171</v>
      </c>
      <c r="C554" s="549" t="s">
        <v>3176</v>
      </c>
      <c r="D554" s="166" t="s">
        <v>299</v>
      </c>
      <c r="E554" s="173"/>
      <c r="F554" s="174"/>
    </row>
    <row r="555" spans="2:6" s="165" customFormat="1" ht="15" customHeight="1" outlineLevel="2" x14ac:dyDescent="0.2">
      <c r="B555" s="60" t="s">
        <v>4172</v>
      </c>
      <c r="C555" s="549" t="s">
        <v>3177</v>
      </c>
      <c r="D555" s="166" t="s">
        <v>299</v>
      </c>
      <c r="E555" s="173"/>
      <c r="F555" s="174"/>
    </row>
    <row r="556" spans="2:6" s="165" customFormat="1" ht="15" customHeight="1" outlineLevel="2" x14ac:dyDescent="0.2">
      <c r="B556" s="60" t="s">
        <v>4173</v>
      </c>
      <c r="C556" s="549" t="s">
        <v>3178</v>
      </c>
      <c r="D556" s="166" t="s">
        <v>299</v>
      </c>
      <c r="E556" s="173"/>
      <c r="F556" s="174"/>
    </row>
    <row r="557" spans="2:6" s="165" customFormat="1" ht="15" customHeight="1" outlineLevel="2" x14ac:dyDescent="0.2">
      <c r="B557" s="60" t="s">
        <v>4174</v>
      </c>
      <c r="C557" s="549" t="s">
        <v>3179</v>
      </c>
      <c r="D557" s="166" t="s">
        <v>299</v>
      </c>
      <c r="E557" s="173"/>
      <c r="F557" s="174"/>
    </row>
    <row r="558" spans="2:6" s="165" customFormat="1" ht="15" customHeight="1" outlineLevel="2" x14ac:dyDescent="0.2">
      <c r="B558" s="60" t="s">
        <v>4175</v>
      </c>
      <c r="C558" s="549" t="s">
        <v>3180</v>
      </c>
      <c r="D558" s="166" t="s">
        <v>299</v>
      </c>
      <c r="E558" s="173"/>
      <c r="F558" s="174"/>
    </row>
    <row r="559" spans="2:6" s="165" customFormat="1" ht="15" customHeight="1" outlineLevel="2" x14ac:dyDescent="0.2">
      <c r="B559" s="60" t="s">
        <v>4176</v>
      </c>
      <c r="C559" s="549" t="s">
        <v>3181</v>
      </c>
      <c r="D559" s="166" t="s">
        <v>299</v>
      </c>
      <c r="E559" s="173"/>
      <c r="F559" s="174"/>
    </row>
    <row r="560" spans="2:6" s="165" customFormat="1" ht="15" customHeight="1" outlineLevel="2" x14ac:dyDescent="0.2">
      <c r="B560" s="60" t="s">
        <v>4177</v>
      </c>
      <c r="C560" s="549" t="s">
        <v>3182</v>
      </c>
      <c r="D560" s="166" t="s">
        <v>299</v>
      </c>
      <c r="E560" s="173"/>
      <c r="F560" s="174"/>
    </row>
    <row r="561" spans="2:6" s="165" customFormat="1" ht="15" customHeight="1" outlineLevel="2" x14ac:dyDescent="0.2">
      <c r="B561" s="60" t="s">
        <v>4178</v>
      </c>
      <c r="C561" s="549" t="s">
        <v>3183</v>
      </c>
      <c r="D561" s="166" t="s">
        <v>299</v>
      </c>
      <c r="E561" s="173"/>
      <c r="F561" s="174"/>
    </row>
    <row r="562" spans="2:6" s="165" customFormat="1" ht="15" customHeight="1" outlineLevel="2" x14ac:dyDescent="0.2">
      <c r="B562" s="60" t="s">
        <v>4179</v>
      </c>
      <c r="C562" s="549" t="s">
        <v>3184</v>
      </c>
      <c r="D562" s="166" t="s">
        <v>299</v>
      </c>
      <c r="E562" s="173"/>
      <c r="F562" s="174"/>
    </row>
    <row r="563" spans="2:6" s="165" customFormat="1" ht="15" customHeight="1" outlineLevel="2" x14ac:dyDescent="0.2">
      <c r="B563" s="60" t="s">
        <v>4180</v>
      </c>
      <c r="C563" s="549" t="s">
        <v>3185</v>
      </c>
      <c r="D563" s="166" t="s">
        <v>299</v>
      </c>
      <c r="E563" s="173"/>
      <c r="F563" s="174"/>
    </row>
    <row r="564" spans="2:6" s="165" customFormat="1" ht="15" customHeight="1" outlineLevel="2" x14ac:dyDescent="0.2">
      <c r="B564" s="60" t="s">
        <v>4181</v>
      </c>
      <c r="C564" s="549" t="s">
        <v>3186</v>
      </c>
      <c r="D564" s="166" t="s">
        <v>299</v>
      </c>
      <c r="E564" s="173"/>
      <c r="F564" s="174"/>
    </row>
    <row r="565" spans="2:6" s="165" customFormat="1" ht="15" customHeight="1" outlineLevel="2" x14ac:dyDescent="0.2">
      <c r="B565" s="60" t="s">
        <v>4182</v>
      </c>
      <c r="C565" s="549" t="s">
        <v>3187</v>
      </c>
      <c r="D565" s="166" t="s">
        <v>299</v>
      </c>
      <c r="E565" s="173"/>
      <c r="F565" s="174"/>
    </row>
    <row r="566" spans="2:6" s="165" customFormat="1" ht="15" customHeight="1" outlineLevel="2" x14ac:dyDescent="0.2">
      <c r="B566" s="60" t="s">
        <v>4183</v>
      </c>
      <c r="C566" s="549" t="s">
        <v>3188</v>
      </c>
      <c r="D566" s="166" t="s">
        <v>299</v>
      </c>
      <c r="E566" s="173"/>
      <c r="F566" s="174"/>
    </row>
    <row r="567" spans="2:6" s="165" customFormat="1" ht="15" customHeight="1" outlineLevel="2" x14ac:dyDescent="0.2">
      <c r="B567" s="60" t="s">
        <v>4184</v>
      </c>
      <c r="C567" s="549" t="s">
        <v>3189</v>
      </c>
      <c r="D567" s="166" t="s">
        <v>299</v>
      </c>
      <c r="E567" s="173"/>
      <c r="F567" s="174"/>
    </row>
    <row r="568" spans="2:6" s="165" customFormat="1" ht="15" customHeight="1" outlineLevel="2" x14ac:dyDescent="0.2">
      <c r="B568" s="60" t="s">
        <v>4185</v>
      </c>
      <c r="C568" s="549" t="s">
        <v>3190</v>
      </c>
      <c r="D568" s="166" t="s">
        <v>299</v>
      </c>
      <c r="E568" s="173"/>
      <c r="F568" s="174"/>
    </row>
    <row r="569" spans="2:6" s="165" customFormat="1" ht="15" customHeight="1" outlineLevel="2" x14ac:dyDescent="0.2">
      <c r="B569" s="60" t="s">
        <v>4186</v>
      </c>
      <c r="C569" s="549" t="s">
        <v>3191</v>
      </c>
      <c r="D569" s="166" t="s">
        <v>299</v>
      </c>
      <c r="E569" s="173"/>
      <c r="F569" s="174"/>
    </row>
    <row r="570" spans="2:6" s="165" customFormat="1" ht="15" customHeight="1" outlineLevel="2" x14ac:dyDescent="0.2">
      <c r="B570" s="60" t="s">
        <v>4187</v>
      </c>
      <c r="C570" s="549" t="s">
        <v>3192</v>
      </c>
      <c r="D570" s="166" t="s">
        <v>299</v>
      </c>
      <c r="E570" s="173"/>
      <c r="F570" s="174"/>
    </row>
    <row r="571" spans="2:6" s="165" customFormat="1" ht="15" customHeight="1" outlineLevel="2" x14ac:dyDescent="0.2">
      <c r="B571" s="60" t="s">
        <v>4188</v>
      </c>
      <c r="C571" s="549" t="s">
        <v>3193</v>
      </c>
      <c r="D571" s="166" t="s">
        <v>299</v>
      </c>
      <c r="E571" s="173"/>
      <c r="F571" s="174"/>
    </row>
    <row r="572" spans="2:6" s="165" customFormat="1" ht="15" customHeight="1" outlineLevel="2" x14ac:dyDescent="0.2">
      <c r="B572" s="60" t="s">
        <v>4189</v>
      </c>
      <c r="C572" s="549" t="s">
        <v>3194</v>
      </c>
      <c r="D572" s="166" t="s">
        <v>299</v>
      </c>
      <c r="E572" s="173"/>
      <c r="F572" s="174"/>
    </row>
    <row r="573" spans="2:6" s="165" customFormat="1" ht="15" customHeight="1" outlineLevel="2" x14ac:dyDescent="0.2">
      <c r="B573" s="60" t="s">
        <v>4190</v>
      </c>
      <c r="C573" s="549" t="s">
        <v>3195</v>
      </c>
      <c r="D573" s="166" t="s">
        <v>299</v>
      </c>
      <c r="E573" s="173"/>
      <c r="F573" s="174"/>
    </row>
    <row r="574" spans="2:6" s="159" customFormat="1" ht="15" customHeight="1" x14ac:dyDescent="0.2">
      <c r="B574" s="60" t="s">
        <v>4191</v>
      </c>
      <c r="C574" s="565">
        <v>18</v>
      </c>
      <c r="D574" s="168" t="s">
        <v>290</v>
      </c>
      <c r="E574" s="155">
        <f>E575+E596</f>
        <v>0</v>
      </c>
      <c r="F574" s="209">
        <f>F575+F596</f>
        <v>0</v>
      </c>
    </row>
    <row r="575" spans="2:6" s="138" customFormat="1" ht="15" customHeight="1" outlineLevel="1" x14ac:dyDescent="0.2">
      <c r="B575" s="60" t="s">
        <v>4192</v>
      </c>
      <c r="C575" s="505">
        <v>18.100000000000001</v>
      </c>
      <c r="D575" s="162" t="s">
        <v>35</v>
      </c>
      <c r="E575" s="91">
        <f>SUM(E576:E595)</f>
        <v>0</v>
      </c>
      <c r="F575" s="92">
        <f>SUM(F576:F595)</f>
        <v>0</v>
      </c>
    </row>
    <row r="576" spans="2:6" s="165" customFormat="1" ht="15" customHeight="1" outlineLevel="2" x14ac:dyDescent="0.2">
      <c r="B576" s="60" t="s">
        <v>4193</v>
      </c>
      <c r="C576" s="549" t="s">
        <v>3196</v>
      </c>
      <c r="D576" s="166" t="s">
        <v>299</v>
      </c>
      <c r="E576" s="173"/>
      <c r="F576" s="174"/>
    </row>
    <row r="577" spans="2:6" s="165" customFormat="1" ht="15" customHeight="1" outlineLevel="2" x14ac:dyDescent="0.2">
      <c r="B577" s="60" t="s">
        <v>4194</v>
      </c>
      <c r="C577" s="549" t="s">
        <v>3197</v>
      </c>
      <c r="D577" s="166" t="s">
        <v>299</v>
      </c>
      <c r="E577" s="173"/>
      <c r="F577" s="174"/>
    </row>
    <row r="578" spans="2:6" s="165" customFormat="1" ht="15" customHeight="1" outlineLevel="2" x14ac:dyDescent="0.2">
      <c r="B578" s="60" t="s">
        <v>4195</v>
      </c>
      <c r="C578" s="549" t="s">
        <v>3198</v>
      </c>
      <c r="D578" s="166" t="s">
        <v>299</v>
      </c>
      <c r="E578" s="173"/>
      <c r="F578" s="174"/>
    </row>
    <row r="579" spans="2:6" s="165" customFormat="1" ht="15" customHeight="1" outlineLevel="2" x14ac:dyDescent="0.2">
      <c r="B579" s="60" t="s">
        <v>4196</v>
      </c>
      <c r="C579" s="549" t="s">
        <v>3199</v>
      </c>
      <c r="D579" s="166" t="s">
        <v>299</v>
      </c>
      <c r="E579" s="173"/>
      <c r="F579" s="174"/>
    </row>
    <row r="580" spans="2:6" s="165" customFormat="1" ht="15" customHeight="1" outlineLevel="2" x14ac:dyDescent="0.2">
      <c r="B580" s="60" t="s">
        <v>4197</v>
      </c>
      <c r="C580" s="549" t="s">
        <v>3200</v>
      </c>
      <c r="D580" s="166" t="s">
        <v>299</v>
      </c>
      <c r="E580" s="173"/>
      <c r="F580" s="174"/>
    </row>
    <row r="581" spans="2:6" s="165" customFormat="1" ht="15" customHeight="1" outlineLevel="2" x14ac:dyDescent="0.2">
      <c r="B581" s="60" t="s">
        <v>4198</v>
      </c>
      <c r="C581" s="549" t="s">
        <v>3201</v>
      </c>
      <c r="D581" s="166" t="s">
        <v>299</v>
      </c>
      <c r="E581" s="173"/>
      <c r="F581" s="174"/>
    </row>
    <row r="582" spans="2:6" s="165" customFormat="1" ht="15" customHeight="1" outlineLevel="2" x14ac:dyDescent="0.2">
      <c r="B582" s="60" t="s">
        <v>4199</v>
      </c>
      <c r="C582" s="549" t="s">
        <v>3202</v>
      </c>
      <c r="D582" s="166" t="s">
        <v>299</v>
      </c>
      <c r="E582" s="173"/>
      <c r="F582" s="174"/>
    </row>
    <row r="583" spans="2:6" s="165" customFormat="1" ht="15" customHeight="1" outlineLevel="2" x14ac:dyDescent="0.2">
      <c r="B583" s="60" t="s">
        <v>4200</v>
      </c>
      <c r="C583" s="549" t="s">
        <v>3203</v>
      </c>
      <c r="D583" s="166" t="s">
        <v>299</v>
      </c>
      <c r="E583" s="173"/>
      <c r="F583" s="174"/>
    </row>
    <row r="584" spans="2:6" s="165" customFormat="1" ht="15" customHeight="1" outlineLevel="2" x14ac:dyDescent="0.2">
      <c r="B584" s="60" t="s">
        <v>4201</v>
      </c>
      <c r="C584" s="549" t="s">
        <v>3204</v>
      </c>
      <c r="D584" s="166" t="s">
        <v>299</v>
      </c>
      <c r="E584" s="173"/>
      <c r="F584" s="174"/>
    </row>
    <row r="585" spans="2:6" s="165" customFormat="1" ht="15" customHeight="1" outlineLevel="2" x14ac:dyDescent="0.2">
      <c r="B585" s="60" t="s">
        <v>4202</v>
      </c>
      <c r="C585" s="549" t="s">
        <v>3205</v>
      </c>
      <c r="D585" s="166" t="s">
        <v>299</v>
      </c>
      <c r="E585" s="173"/>
      <c r="F585" s="174"/>
    </row>
    <row r="586" spans="2:6" s="165" customFormat="1" ht="15" customHeight="1" outlineLevel="2" x14ac:dyDescent="0.2">
      <c r="B586" s="60" t="s">
        <v>4203</v>
      </c>
      <c r="C586" s="549" t="s">
        <v>3206</v>
      </c>
      <c r="D586" s="166" t="s">
        <v>299</v>
      </c>
      <c r="E586" s="173"/>
      <c r="F586" s="174"/>
    </row>
    <row r="587" spans="2:6" s="165" customFormat="1" ht="15" customHeight="1" outlineLevel="2" x14ac:dyDescent="0.2">
      <c r="B587" s="60" t="s">
        <v>4204</v>
      </c>
      <c r="C587" s="549" t="s">
        <v>3207</v>
      </c>
      <c r="D587" s="166" t="s">
        <v>299</v>
      </c>
      <c r="E587" s="173"/>
      <c r="F587" s="174"/>
    </row>
    <row r="588" spans="2:6" s="165" customFormat="1" ht="15" customHeight="1" outlineLevel="2" x14ac:dyDescent="0.2">
      <c r="B588" s="60" t="s">
        <v>4205</v>
      </c>
      <c r="C588" s="549" t="s">
        <v>3208</v>
      </c>
      <c r="D588" s="166" t="s">
        <v>299</v>
      </c>
      <c r="E588" s="173"/>
      <c r="F588" s="174"/>
    </row>
    <row r="589" spans="2:6" s="165" customFormat="1" ht="15" customHeight="1" outlineLevel="2" x14ac:dyDescent="0.2">
      <c r="B589" s="60" t="s">
        <v>4206</v>
      </c>
      <c r="C589" s="549" t="s">
        <v>3209</v>
      </c>
      <c r="D589" s="166" t="s">
        <v>299</v>
      </c>
      <c r="E589" s="173"/>
      <c r="F589" s="174"/>
    </row>
    <row r="590" spans="2:6" s="165" customFormat="1" ht="15" customHeight="1" outlineLevel="2" x14ac:dyDescent="0.2">
      <c r="B590" s="60" t="s">
        <v>4207</v>
      </c>
      <c r="C590" s="549" t="s">
        <v>3210</v>
      </c>
      <c r="D590" s="166" t="s">
        <v>299</v>
      </c>
      <c r="E590" s="173"/>
      <c r="F590" s="174"/>
    </row>
    <row r="591" spans="2:6" s="165" customFormat="1" ht="15" customHeight="1" outlineLevel="2" x14ac:dyDescent="0.2">
      <c r="B591" s="60" t="s">
        <v>4208</v>
      </c>
      <c r="C591" s="549" t="s">
        <v>3211</v>
      </c>
      <c r="D591" s="166" t="s">
        <v>299</v>
      </c>
      <c r="E591" s="173"/>
      <c r="F591" s="174"/>
    </row>
    <row r="592" spans="2:6" s="165" customFormat="1" ht="15" customHeight="1" outlineLevel="2" x14ac:dyDescent="0.2">
      <c r="B592" s="60" t="s">
        <v>4209</v>
      </c>
      <c r="C592" s="549" t="s">
        <v>3212</v>
      </c>
      <c r="D592" s="166" t="s">
        <v>299</v>
      </c>
      <c r="E592" s="173"/>
      <c r="F592" s="174"/>
    </row>
    <row r="593" spans="2:6" s="165" customFormat="1" ht="15" customHeight="1" outlineLevel="2" x14ac:dyDescent="0.2">
      <c r="B593" s="60" t="s">
        <v>4210</v>
      </c>
      <c r="C593" s="549" t="s">
        <v>3213</v>
      </c>
      <c r="D593" s="166" t="s">
        <v>299</v>
      </c>
      <c r="E593" s="173"/>
      <c r="F593" s="174"/>
    </row>
    <row r="594" spans="2:6" s="165" customFormat="1" ht="15" customHeight="1" outlineLevel="2" x14ac:dyDescent="0.2">
      <c r="B594" s="60" t="s">
        <v>4211</v>
      </c>
      <c r="C594" s="549" t="s">
        <v>3214</v>
      </c>
      <c r="D594" s="166" t="s">
        <v>299</v>
      </c>
      <c r="E594" s="173"/>
      <c r="F594" s="174"/>
    </row>
    <row r="595" spans="2:6" s="165" customFormat="1" ht="15" customHeight="1" outlineLevel="2" x14ac:dyDescent="0.2">
      <c r="B595" s="60" t="s">
        <v>4212</v>
      </c>
      <c r="C595" s="549" t="s">
        <v>3215</v>
      </c>
      <c r="D595" s="166" t="s">
        <v>299</v>
      </c>
      <c r="E595" s="173"/>
      <c r="F595" s="174"/>
    </row>
    <row r="596" spans="2:6" s="138" customFormat="1" ht="15" customHeight="1" outlineLevel="1" x14ac:dyDescent="0.2">
      <c r="B596" s="60" t="s">
        <v>4213</v>
      </c>
      <c r="C596" s="505">
        <v>18.2</v>
      </c>
      <c r="D596" s="162" t="s">
        <v>36</v>
      </c>
      <c r="E596" s="91">
        <f>SUM(E597:E616)</f>
        <v>0</v>
      </c>
      <c r="F596" s="92">
        <f>SUM(F597:F616)</f>
        <v>0</v>
      </c>
    </row>
    <row r="597" spans="2:6" s="165" customFormat="1" ht="15" customHeight="1" outlineLevel="2" x14ac:dyDescent="0.2">
      <c r="B597" s="60" t="s">
        <v>4214</v>
      </c>
      <c r="C597" s="549" t="s">
        <v>3216</v>
      </c>
      <c r="D597" s="166" t="s">
        <v>299</v>
      </c>
      <c r="E597" s="173"/>
      <c r="F597" s="174"/>
    </row>
    <row r="598" spans="2:6" s="165" customFormat="1" ht="15" customHeight="1" outlineLevel="2" x14ac:dyDescent="0.2">
      <c r="B598" s="60" t="s">
        <v>4215</v>
      </c>
      <c r="C598" s="549" t="s">
        <v>3217</v>
      </c>
      <c r="D598" s="166" t="s">
        <v>299</v>
      </c>
      <c r="E598" s="173"/>
      <c r="F598" s="174"/>
    </row>
    <row r="599" spans="2:6" s="165" customFormat="1" ht="15" customHeight="1" outlineLevel="2" x14ac:dyDescent="0.2">
      <c r="B599" s="60" t="s">
        <v>4216</v>
      </c>
      <c r="C599" s="549" t="s">
        <v>3218</v>
      </c>
      <c r="D599" s="166" t="s">
        <v>299</v>
      </c>
      <c r="E599" s="173"/>
      <c r="F599" s="174"/>
    </row>
    <row r="600" spans="2:6" s="165" customFormat="1" ht="15" customHeight="1" outlineLevel="2" x14ac:dyDescent="0.2">
      <c r="B600" s="60" t="s">
        <v>4217</v>
      </c>
      <c r="C600" s="549" t="s">
        <v>3219</v>
      </c>
      <c r="D600" s="166" t="s">
        <v>299</v>
      </c>
      <c r="E600" s="173"/>
      <c r="F600" s="174"/>
    </row>
    <row r="601" spans="2:6" s="165" customFormat="1" ht="15" customHeight="1" outlineLevel="2" x14ac:dyDescent="0.2">
      <c r="B601" s="60" t="s">
        <v>4218</v>
      </c>
      <c r="C601" s="549" t="s">
        <v>3220</v>
      </c>
      <c r="D601" s="166" t="s">
        <v>299</v>
      </c>
      <c r="E601" s="173"/>
      <c r="F601" s="174"/>
    </row>
    <row r="602" spans="2:6" s="165" customFormat="1" ht="15" customHeight="1" outlineLevel="2" x14ac:dyDescent="0.2">
      <c r="B602" s="60" t="s">
        <v>4219</v>
      </c>
      <c r="C602" s="549" t="s">
        <v>3221</v>
      </c>
      <c r="D602" s="166" t="s">
        <v>299</v>
      </c>
      <c r="E602" s="173"/>
      <c r="F602" s="174"/>
    </row>
    <row r="603" spans="2:6" s="165" customFormat="1" ht="15" customHeight="1" outlineLevel="2" x14ac:dyDescent="0.2">
      <c r="B603" s="60" t="s">
        <v>4220</v>
      </c>
      <c r="C603" s="549" t="s">
        <v>3222</v>
      </c>
      <c r="D603" s="166" t="s">
        <v>299</v>
      </c>
      <c r="E603" s="173"/>
      <c r="F603" s="174"/>
    </row>
    <row r="604" spans="2:6" s="165" customFormat="1" ht="15" customHeight="1" outlineLevel="2" x14ac:dyDescent="0.2">
      <c r="B604" s="60" t="s">
        <v>4221</v>
      </c>
      <c r="C604" s="549" t="s">
        <v>3223</v>
      </c>
      <c r="D604" s="166" t="s">
        <v>299</v>
      </c>
      <c r="E604" s="173"/>
      <c r="F604" s="174"/>
    </row>
    <row r="605" spans="2:6" s="165" customFormat="1" ht="15" customHeight="1" outlineLevel="2" x14ac:dyDescent="0.2">
      <c r="B605" s="60" t="s">
        <v>4222</v>
      </c>
      <c r="C605" s="549" t="s">
        <v>3224</v>
      </c>
      <c r="D605" s="166" t="s">
        <v>299</v>
      </c>
      <c r="E605" s="173"/>
      <c r="F605" s="174"/>
    </row>
    <row r="606" spans="2:6" s="165" customFormat="1" ht="15" customHeight="1" outlineLevel="2" x14ac:dyDescent="0.2">
      <c r="B606" s="60" t="s">
        <v>4223</v>
      </c>
      <c r="C606" s="549" t="s">
        <v>3225</v>
      </c>
      <c r="D606" s="166" t="s">
        <v>299</v>
      </c>
      <c r="E606" s="173"/>
      <c r="F606" s="174"/>
    </row>
    <row r="607" spans="2:6" s="165" customFormat="1" ht="15" customHeight="1" outlineLevel="2" x14ac:dyDescent="0.2">
      <c r="B607" s="60" t="s">
        <v>4224</v>
      </c>
      <c r="C607" s="549" t="s">
        <v>3226</v>
      </c>
      <c r="D607" s="166" t="s">
        <v>299</v>
      </c>
      <c r="E607" s="173"/>
      <c r="F607" s="174"/>
    </row>
    <row r="608" spans="2:6" s="165" customFormat="1" ht="15" customHeight="1" outlineLevel="2" x14ac:dyDescent="0.2">
      <c r="B608" s="60" t="s">
        <v>4225</v>
      </c>
      <c r="C608" s="549" t="s">
        <v>3227</v>
      </c>
      <c r="D608" s="166" t="s">
        <v>299</v>
      </c>
      <c r="E608" s="173"/>
      <c r="F608" s="174"/>
    </row>
    <row r="609" spans="2:6" s="165" customFormat="1" ht="15" customHeight="1" outlineLevel="2" x14ac:dyDescent="0.2">
      <c r="B609" s="60" t="s">
        <v>4226</v>
      </c>
      <c r="C609" s="549" t="s">
        <v>3228</v>
      </c>
      <c r="D609" s="166" t="s">
        <v>299</v>
      </c>
      <c r="E609" s="173"/>
      <c r="F609" s="174"/>
    </row>
    <row r="610" spans="2:6" s="165" customFormat="1" ht="15" customHeight="1" outlineLevel="2" x14ac:dyDescent="0.2">
      <c r="B610" s="60" t="s">
        <v>4227</v>
      </c>
      <c r="C610" s="549" t="s">
        <v>3229</v>
      </c>
      <c r="D610" s="166" t="s">
        <v>299</v>
      </c>
      <c r="E610" s="173"/>
      <c r="F610" s="174"/>
    </row>
    <row r="611" spans="2:6" s="165" customFormat="1" ht="15" customHeight="1" outlineLevel="2" x14ac:dyDescent="0.2">
      <c r="B611" s="60" t="s">
        <v>4228</v>
      </c>
      <c r="C611" s="549" t="s">
        <v>3230</v>
      </c>
      <c r="D611" s="166" t="s">
        <v>299</v>
      </c>
      <c r="E611" s="173"/>
      <c r="F611" s="174"/>
    </row>
    <row r="612" spans="2:6" s="165" customFormat="1" ht="15" customHeight="1" outlineLevel="2" x14ac:dyDescent="0.2">
      <c r="B612" s="60" t="s">
        <v>4229</v>
      </c>
      <c r="C612" s="549" t="s">
        <v>3231</v>
      </c>
      <c r="D612" s="166" t="s">
        <v>299</v>
      </c>
      <c r="E612" s="173"/>
      <c r="F612" s="174"/>
    </row>
    <row r="613" spans="2:6" s="165" customFormat="1" ht="15" customHeight="1" outlineLevel="2" x14ac:dyDescent="0.2">
      <c r="B613" s="60" t="s">
        <v>4230</v>
      </c>
      <c r="C613" s="549" t="s">
        <v>3232</v>
      </c>
      <c r="D613" s="166" t="s">
        <v>299</v>
      </c>
      <c r="E613" s="173"/>
      <c r="F613" s="174"/>
    </row>
    <row r="614" spans="2:6" s="165" customFormat="1" ht="15" customHeight="1" outlineLevel="2" x14ac:dyDescent="0.2">
      <c r="B614" s="60" t="s">
        <v>4231</v>
      </c>
      <c r="C614" s="549" t="s">
        <v>3233</v>
      </c>
      <c r="D614" s="166" t="s">
        <v>299</v>
      </c>
      <c r="E614" s="173"/>
      <c r="F614" s="174"/>
    </row>
    <row r="615" spans="2:6" s="165" customFormat="1" ht="15" customHeight="1" outlineLevel="2" x14ac:dyDescent="0.2">
      <c r="B615" s="60" t="s">
        <v>4232</v>
      </c>
      <c r="C615" s="549" t="s">
        <v>3234</v>
      </c>
      <c r="D615" s="166" t="s">
        <v>299</v>
      </c>
      <c r="E615" s="173"/>
      <c r="F615" s="174"/>
    </row>
    <row r="616" spans="2:6" s="165" customFormat="1" ht="15" customHeight="1" outlineLevel="2" x14ac:dyDescent="0.2">
      <c r="B616" s="60" t="s">
        <v>4233</v>
      </c>
      <c r="C616" s="549" t="s">
        <v>3235</v>
      </c>
      <c r="D616" s="166" t="s">
        <v>299</v>
      </c>
      <c r="E616" s="173"/>
      <c r="F616" s="174"/>
    </row>
    <row r="617" spans="2:6" s="159" customFormat="1" ht="15" customHeight="1" x14ac:dyDescent="0.2">
      <c r="B617" s="60" t="s">
        <v>4234</v>
      </c>
      <c r="C617" s="565">
        <v>19</v>
      </c>
      <c r="D617" s="168" t="s">
        <v>282</v>
      </c>
      <c r="E617" s="155">
        <f>E618+E639</f>
        <v>0</v>
      </c>
      <c r="F617" s="209">
        <f>F618+F639</f>
        <v>0</v>
      </c>
    </row>
    <row r="618" spans="2:6" s="138" customFormat="1" ht="15" customHeight="1" outlineLevel="1" x14ac:dyDescent="0.2">
      <c r="B618" s="60" t="s">
        <v>4235</v>
      </c>
      <c r="C618" s="505">
        <v>19.100000000000001</v>
      </c>
      <c r="D618" s="162" t="s">
        <v>35</v>
      </c>
      <c r="E618" s="91">
        <f>SUM(E619:E638)</f>
        <v>0</v>
      </c>
      <c r="F618" s="92">
        <f>SUM(F619:F638)</f>
        <v>0</v>
      </c>
    </row>
    <row r="619" spans="2:6" s="165" customFormat="1" ht="15" customHeight="1" outlineLevel="2" x14ac:dyDescent="0.2">
      <c r="B619" s="60" t="s">
        <v>4236</v>
      </c>
      <c r="C619" s="549" t="s">
        <v>3236</v>
      </c>
      <c r="D619" s="166" t="s">
        <v>299</v>
      </c>
      <c r="E619" s="173"/>
      <c r="F619" s="174"/>
    </row>
    <row r="620" spans="2:6" s="165" customFormat="1" ht="15" customHeight="1" outlineLevel="2" x14ac:dyDescent="0.2">
      <c r="B620" s="60" t="s">
        <v>4237</v>
      </c>
      <c r="C620" s="549" t="s">
        <v>3237</v>
      </c>
      <c r="D620" s="166" t="s">
        <v>299</v>
      </c>
      <c r="E620" s="173"/>
      <c r="F620" s="174"/>
    </row>
    <row r="621" spans="2:6" s="165" customFormat="1" ht="15" customHeight="1" outlineLevel="2" x14ac:dyDescent="0.2">
      <c r="B621" s="60" t="s">
        <v>4238</v>
      </c>
      <c r="C621" s="549" t="s">
        <v>3238</v>
      </c>
      <c r="D621" s="166" t="s">
        <v>299</v>
      </c>
      <c r="E621" s="173"/>
      <c r="F621" s="174"/>
    </row>
    <row r="622" spans="2:6" s="165" customFormat="1" ht="15" customHeight="1" outlineLevel="2" x14ac:dyDescent="0.2">
      <c r="B622" s="60" t="s">
        <v>4239</v>
      </c>
      <c r="C622" s="549" t="s">
        <v>3239</v>
      </c>
      <c r="D622" s="166" t="s">
        <v>299</v>
      </c>
      <c r="E622" s="173"/>
      <c r="F622" s="174"/>
    </row>
    <row r="623" spans="2:6" s="165" customFormat="1" ht="15" customHeight="1" outlineLevel="2" x14ac:dyDescent="0.2">
      <c r="B623" s="60" t="s">
        <v>4240</v>
      </c>
      <c r="C623" s="549" t="s">
        <v>3240</v>
      </c>
      <c r="D623" s="166" t="s">
        <v>299</v>
      </c>
      <c r="E623" s="173"/>
      <c r="F623" s="174"/>
    </row>
    <row r="624" spans="2:6" s="165" customFormat="1" ht="15" customHeight="1" outlineLevel="2" x14ac:dyDescent="0.2">
      <c r="B624" s="60" t="s">
        <v>4241</v>
      </c>
      <c r="C624" s="549" t="s">
        <v>3241</v>
      </c>
      <c r="D624" s="166" t="s">
        <v>299</v>
      </c>
      <c r="E624" s="173"/>
      <c r="F624" s="174"/>
    </row>
    <row r="625" spans="2:6" s="165" customFormat="1" ht="15" customHeight="1" outlineLevel="2" x14ac:dyDescent="0.2">
      <c r="B625" s="60" t="s">
        <v>4242</v>
      </c>
      <c r="C625" s="549" t="s">
        <v>3242</v>
      </c>
      <c r="D625" s="166" t="s">
        <v>299</v>
      </c>
      <c r="E625" s="173"/>
      <c r="F625" s="174"/>
    </row>
    <row r="626" spans="2:6" s="165" customFormat="1" ht="15" customHeight="1" outlineLevel="2" x14ac:dyDescent="0.2">
      <c r="B626" s="60" t="s">
        <v>4243</v>
      </c>
      <c r="C626" s="549" t="s">
        <v>3243</v>
      </c>
      <c r="D626" s="166" t="s">
        <v>299</v>
      </c>
      <c r="E626" s="173"/>
      <c r="F626" s="174"/>
    </row>
    <row r="627" spans="2:6" s="165" customFormat="1" ht="15" customHeight="1" outlineLevel="2" x14ac:dyDescent="0.2">
      <c r="B627" s="60" t="s">
        <v>4244</v>
      </c>
      <c r="C627" s="549" t="s">
        <v>3244</v>
      </c>
      <c r="D627" s="166" t="s">
        <v>299</v>
      </c>
      <c r="E627" s="173"/>
      <c r="F627" s="174"/>
    </row>
    <row r="628" spans="2:6" s="165" customFormat="1" ht="15" customHeight="1" outlineLevel="2" x14ac:dyDescent="0.2">
      <c r="B628" s="60" t="s">
        <v>4245</v>
      </c>
      <c r="C628" s="549" t="s">
        <v>3245</v>
      </c>
      <c r="D628" s="166" t="s">
        <v>299</v>
      </c>
      <c r="E628" s="173"/>
      <c r="F628" s="174"/>
    </row>
    <row r="629" spans="2:6" s="165" customFormat="1" ht="15" customHeight="1" outlineLevel="2" x14ac:dyDescent="0.2">
      <c r="B629" s="60" t="s">
        <v>4246</v>
      </c>
      <c r="C629" s="549" t="s">
        <v>3246</v>
      </c>
      <c r="D629" s="166" t="s">
        <v>299</v>
      </c>
      <c r="E629" s="173"/>
      <c r="F629" s="174"/>
    </row>
    <row r="630" spans="2:6" s="165" customFormat="1" ht="15" customHeight="1" outlineLevel="2" x14ac:dyDescent="0.2">
      <c r="B630" s="60" t="s">
        <v>4247</v>
      </c>
      <c r="C630" s="549" t="s">
        <v>3247</v>
      </c>
      <c r="D630" s="166" t="s">
        <v>299</v>
      </c>
      <c r="E630" s="173"/>
      <c r="F630" s="174"/>
    </row>
    <row r="631" spans="2:6" s="165" customFormat="1" ht="15" customHeight="1" outlineLevel="2" x14ac:dyDescent="0.2">
      <c r="B631" s="60" t="s">
        <v>4248</v>
      </c>
      <c r="C631" s="549" t="s">
        <v>3248</v>
      </c>
      <c r="D631" s="166" t="s">
        <v>299</v>
      </c>
      <c r="E631" s="173"/>
      <c r="F631" s="174"/>
    </row>
    <row r="632" spans="2:6" s="165" customFormat="1" ht="15" customHeight="1" outlineLevel="2" x14ac:dyDescent="0.2">
      <c r="B632" s="60" t="s">
        <v>4249</v>
      </c>
      <c r="C632" s="549" t="s">
        <v>3249</v>
      </c>
      <c r="D632" s="166" t="s">
        <v>299</v>
      </c>
      <c r="E632" s="173"/>
      <c r="F632" s="174"/>
    </row>
    <row r="633" spans="2:6" s="165" customFormat="1" ht="15" customHeight="1" outlineLevel="2" x14ac:dyDescent="0.2">
      <c r="B633" s="60" t="s">
        <v>4250</v>
      </c>
      <c r="C633" s="549" t="s">
        <v>3250</v>
      </c>
      <c r="D633" s="166" t="s">
        <v>299</v>
      </c>
      <c r="E633" s="173"/>
      <c r="F633" s="174"/>
    </row>
    <row r="634" spans="2:6" s="165" customFormat="1" ht="15" customHeight="1" outlineLevel="2" x14ac:dyDescent="0.2">
      <c r="B634" s="60" t="s">
        <v>4251</v>
      </c>
      <c r="C634" s="549" t="s">
        <v>3251</v>
      </c>
      <c r="D634" s="166" t="s">
        <v>299</v>
      </c>
      <c r="E634" s="173"/>
      <c r="F634" s="174"/>
    </row>
    <row r="635" spans="2:6" s="165" customFormat="1" ht="15" customHeight="1" outlineLevel="2" x14ac:dyDescent="0.2">
      <c r="B635" s="60" t="s">
        <v>4252</v>
      </c>
      <c r="C635" s="549" t="s">
        <v>3252</v>
      </c>
      <c r="D635" s="166" t="s">
        <v>299</v>
      </c>
      <c r="E635" s="173"/>
      <c r="F635" s="174"/>
    </row>
    <row r="636" spans="2:6" s="165" customFormat="1" ht="15" customHeight="1" outlineLevel="2" x14ac:dyDescent="0.2">
      <c r="B636" s="60" t="s">
        <v>4253</v>
      </c>
      <c r="C636" s="549" t="s">
        <v>3253</v>
      </c>
      <c r="D636" s="166" t="s">
        <v>299</v>
      </c>
      <c r="E636" s="173"/>
      <c r="F636" s="174"/>
    </row>
    <row r="637" spans="2:6" s="165" customFormat="1" ht="15" customHeight="1" outlineLevel="2" x14ac:dyDescent="0.2">
      <c r="B637" s="60" t="s">
        <v>4254</v>
      </c>
      <c r="C637" s="549" t="s">
        <v>3254</v>
      </c>
      <c r="D637" s="166" t="s">
        <v>299</v>
      </c>
      <c r="E637" s="173"/>
      <c r="F637" s="174"/>
    </row>
    <row r="638" spans="2:6" s="165" customFormat="1" ht="15" customHeight="1" outlineLevel="2" x14ac:dyDescent="0.2">
      <c r="B638" s="60" t="s">
        <v>4255</v>
      </c>
      <c r="C638" s="549" t="s">
        <v>3255</v>
      </c>
      <c r="D638" s="166" t="s">
        <v>299</v>
      </c>
      <c r="E638" s="173"/>
      <c r="F638" s="174"/>
    </row>
    <row r="639" spans="2:6" s="138" customFormat="1" ht="15" customHeight="1" outlineLevel="1" x14ac:dyDescent="0.2">
      <c r="B639" s="60" t="s">
        <v>4256</v>
      </c>
      <c r="C639" s="505">
        <v>19.2</v>
      </c>
      <c r="D639" s="162" t="s">
        <v>36</v>
      </c>
      <c r="E639" s="91">
        <f>SUM(E640:E659)</f>
        <v>0</v>
      </c>
      <c r="F639" s="92">
        <f>SUM(F640:F659)</f>
        <v>0</v>
      </c>
    </row>
    <row r="640" spans="2:6" s="165" customFormat="1" ht="15" customHeight="1" outlineLevel="2" x14ac:dyDescent="0.2">
      <c r="B640" s="60" t="s">
        <v>4257</v>
      </c>
      <c r="C640" s="549" t="s">
        <v>3256</v>
      </c>
      <c r="D640" s="166" t="s">
        <v>299</v>
      </c>
      <c r="E640" s="173"/>
      <c r="F640" s="174"/>
    </row>
    <row r="641" spans="2:6" s="165" customFormat="1" ht="15" customHeight="1" outlineLevel="2" x14ac:dyDescent="0.2">
      <c r="B641" s="60" t="s">
        <v>4258</v>
      </c>
      <c r="C641" s="549" t="s">
        <v>3257</v>
      </c>
      <c r="D641" s="166" t="s">
        <v>299</v>
      </c>
      <c r="E641" s="173"/>
      <c r="F641" s="174"/>
    </row>
    <row r="642" spans="2:6" s="165" customFormat="1" ht="15" customHeight="1" outlineLevel="2" x14ac:dyDescent="0.2">
      <c r="B642" s="60" t="s">
        <v>4259</v>
      </c>
      <c r="C642" s="549" t="s">
        <v>3258</v>
      </c>
      <c r="D642" s="166" t="s">
        <v>299</v>
      </c>
      <c r="E642" s="173"/>
      <c r="F642" s="174"/>
    </row>
    <row r="643" spans="2:6" s="165" customFormat="1" ht="15" customHeight="1" outlineLevel="2" x14ac:dyDescent="0.2">
      <c r="B643" s="60" t="s">
        <v>4260</v>
      </c>
      <c r="C643" s="549" t="s">
        <v>3259</v>
      </c>
      <c r="D643" s="166" t="s">
        <v>299</v>
      </c>
      <c r="E643" s="173"/>
      <c r="F643" s="174"/>
    </row>
    <row r="644" spans="2:6" s="165" customFormat="1" ht="15" customHeight="1" outlineLevel="2" x14ac:dyDescent="0.2">
      <c r="B644" s="60" t="s">
        <v>4261</v>
      </c>
      <c r="C644" s="549" t="s">
        <v>3260</v>
      </c>
      <c r="D644" s="166" t="s">
        <v>299</v>
      </c>
      <c r="E644" s="173"/>
      <c r="F644" s="174"/>
    </row>
    <row r="645" spans="2:6" s="165" customFormat="1" ht="15" customHeight="1" outlineLevel="2" x14ac:dyDescent="0.2">
      <c r="B645" s="60" t="s">
        <v>4262</v>
      </c>
      <c r="C645" s="549" t="s">
        <v>3261</v>
      </c>
      <c r="D645" s="166" t="s">
        <v>299</v>
      </c>
      <c r="E645" s="173"/>
      <c r="F645" s="174"/>
    </row>
    <row r="646" spans="2:6" s="165" customFormat="1" ht="15" customHeight="1" outlineLevel="2" x14ac:dyDescent="0.2">
      <c r="B646" s="60" t="s">
        <v>4263</v>
      </c>
      <c r="C646" s="549" t="s">
        <v>3262</v>
      </c>
      <c r="D646" s="166" t="s">
        <v>299</v>
      </c>
      <c r="E646" s="173"/>
      <c r="F646" s="174"/>
    </row>
    <row r="647" spans="2:6" s="165" customFormat="1" ht="15" customHeight="1" outlineLevel="2" x14ac:dyDescent="0.2">
      <c r="B647" s="60" t="s">
        <v>4264</v>
      </c>
      <c r="C647" s="549" t="s">
        <v>3263</v>
      </c>
      <c r="D647" s="166" t="s">
        <v>299</v>
      </c>
      <c r="E647" s="173"/>
      <c r="F647" s="174"/>
    </row>
    <row r="648" spans="2:6" s="165" customFormat="1" ht="15" customHeight="1" outlineLevel="2" x14ac:dyDescent="0.2">
      <c r="B648" s="60" t="s">
        <v>4265</v>
      </c>
      <c r="C648" s="549" t="s">
        <v>3264</v>
      </c>
      <c r="D648" s="166" t="s">
        <v>299</v>
      </c>
      <c r="E648" s="173"/>
      <c r="F648" s="174"/>
    </row>
    <row r="649" spans="2:6" s="165" customFormat="1" ht="15" customHeight="1" outlineLevel="2" x14ac:dyDescent="0.2">
      <c r="B649" s="60" t="s">
        <v>4266</v>
      </c>
      <c r="C649" s="549" t="s">
        <v>3265</v>
      </c>
      <c r="D649" s="166" t="s">
        <v>299</v>
      </c>
      <c r="E649" s="173"/>
      <c r="F649" s="174"/>
    </row>
    <row r="650" spans="2:6" s="165" customFormat="1" ht="15" customHeight="1" outlineLevel="2" x14ac:dyDescent="0.2">
      <c r="B650" s="60" t="s">
        <v>4267</v>
      </c>
      <c r="C650" s="549" t="s">
        <v>3266</v>
      </c>
      <c r="D650" s="166" t="s">
        <v>299</v>
      </c>
      <c r="E650" s="173"/>
      <c r="F650" s="174"/>
    </row>
    <row r="651" spans="2:6" s="165" customFormat="1" ht="15" customHeight="1" outlineLevel="2" x14ac:dyDescent="0.2">
      <c r="B651" s="60" t="s">
        <v>4268</v>
      </c>
      <c r="C651" s="549" t="s">
        <v>3267</v>
      </c>
      <c r="D651" s="166" t="s">
        <v>299</v>
      </c>
      <c r="E651" s="173"/>
      <c r="F651" s="174"/>
    </row>
    <row r="652" spans="2:6" s="165" customFormat="1" ht="15" customHeight="1" outlineLevel="2" x14ac:dyDescent="0.2">
      <c r="B652" s="60" t="s">
        <v>4269</v>
      </c>
      <c r="C652" s="549" t="s">
        <v>3268</v>
      </c>
      <c r="D652" s="166" t="s">
        <v>299</v>
      </c>
      <c r="E652" s="173"/>
      <c r="F652" s="174"/>
    </row>
    <row r="653" spans="2:6" s="165" customFormat="1" ht="15" customHeight="1" outlineLevel="2" x14ac:dyDescent="0.2">
      <c r="B653" s="60" t="s">
        <v>4270</v>
      </c>
      <c r="C653" s="549" t="s">
        <v>3269</v>
      </c>
      <c r="D653" s="166" t="s">
        <v>299</v>
      </c>
      <c r="E653" s="173"/>
      <c r="F653" s="174"/>
    </row>
    <row r="654" spans="2:6" s="165" customFormat="1" ht="15" customHeight="1" outlineLevel="2" x14ac:dyDescent="0.2">
      <c r="B654" s="60" t="s">
        <v>4271</v>
      </c>
      <c r="C654" s="549" t="s">
        <v>3270</v>
      </c>
      <c r="D654" s="166" t="s">
        <v>299</v>
      </c>
      <c r="E654" s="173"/>
      <c r="F654" s="174"/>
    </row>
    <row r="655" spans="2:6" s="165" customFormat="1" ht="15" customHeight="1" outlineLevel="2" x14ac:dyDescent="0.2">
      <c r="B655" s="60" t="s">
        <v>4272</v>
      </c>
      <c r="C655" s="549" t="s">
        <v>3271</v>
      </c>
      <c r="D655" s="166" t="s">
        <v>299</v>
      </c>
      <c r="E655" s="173"/>
      <c r="F655" s="174"/>
    </row>
    <row r="656" spans="2:6" s="165" customFormat="1" ht="15" customHeight="1" outlineLevel="2" x14ac:dyDescent="0.2">
      <c r="B656" s="60" t="s">
        <v>4273</v>
      </c>
      <c r="C656" s="549" t="s">
        <v>3272</v>
      </c>
      <c r="D656" s="166" t="s">
        <v>299</v>
      </c>
      <c r="E656" s="173"/>
      <c r="F656" s="174"/>
    </row>
    <row r="657" spans="2:6" s="165" customFormat="1" ht="15" customHeight="1" outlineLevel="2" x14ac:dyDescent="0.2">
      <c r="B657" s="60" t="s">
        <v>4274</v>
      </c>
      <c r="C657" s="549" t="s">
        <v>3273</v>
      </c>
      <c r="D657" s="166" t="s">
        <v>299</v>
      </c>
      <c r="E657" s="173"/>
      <c r="F657" s="174"/>
    </row>
    <row r="658" spans="2:6" s="165" customFormat="1" ht="15" customHeight="1" outlineLevel="2" x14ac:dyDescent="0.2">
      <c r="B658" s="60" t="s">
        <v>4275</v>
      </c>
      <c r="C658" s="549" t="s">
        <v>3274</v>
      </c>
      <c r="D658" s="166" t="s">
        <v>299</v>
      </c>
      <c r="E658" s="173"/>
      <c r="F658" s="174"/>
    </row>
    <row r="659" spans="2:6" s="165" customFormat="1" ht="15" customHeight="1" outlineLevel="2" x14ac:dyDescent="0.2">
      <c r="B659" s="60" t="s">
        <v>4276</v>
      </c>
      <c r="C659" s="549" t="s">
        <v>3275</v>
      </c>
      <c r="D659" s="166" t="s">
        <v>299</v>
      </c>
      <c r="E659" s="173"/>
      <c r="F659" s="174"/>
    </row>
    <row r="660" spans="2:6" s="159" customFormat="1" ht="15" customHeight="1" x14ac:dyDescent="0.2">
      <c r="B660" s="60" t="s">
        <v>4277</v>
      </c>
      <c r="C660" s="565">
        <v>20</v>
      </c>
      <c r="D660" s="168" t="s">
        <v>302</v>
      </c>
      <c r="E660" s="155">
        <f>E661+E682</f>
        <v>0</v>
      </c>
      <c r="F660" s="209">
        <f>F661+F682</f>
        <v>0</v>
      </c>
    </row>
    <row r="661" spans="2:6" s="138" customFormat="1" ht="15" customHeight="1" outlineLevel="1" x14ac:dyDescent="0.2">
      <c r="B661" s="651" t="s">
        <v>4278</v>
      </c>
      <c r="C661" s="656">
        <v>20.100000000000001</v>
      </c>
      <c r="D661" s="653" t="s">
        <v>35</v>
      </c>
      <c r="E661" s="654">
        <f>SUM(E662:E681)</f>
        <v>0</v>
      </c>
      <c r="F661" s="655">
        <f>SUM(F662:F681)</f>
        <v>0</v>
      </c>
    </row>
    <row r="662" spans="2:6" s="165" customFormat="1" ht="15" customHeight="1" outlineLevel="2" x14ac:dyDescent="0.2">
      <c r="B662" s="60" t="s">
        <v>4279</v>
      </c>
      <c r="C662" s="549" t="s">
        <v>3276</v>
      </c>
      <c r="D662" s="166" t="s">
        <v>299</v>
      </c>
      <c r="E662" s="173"/>
      <c r="F662" s="174"/>
    </row>
    <row r="663" spans="2:6" s="165" customFormat="1" ht="15" customHeight="1" outlineLevel="2" x14ac:dyDescent="0.2">
      <c r="B663" s="60" t="s">
        <v>4280</v>
      </c>
      <c r="C663" s="549" t="s">
        <v>3277</v>
      </c>
      <c r="D663" s="166" t="s">
        <v>299</v>
      </c>
      <c r="E663" s="173"/>
      <c r="F663" s="174"/>
    </row>
    <row r="664" spans="2:6" s="165" customFormat="1" ht="15" customHeight="1" outlineLevel="2" x14ac:dyDescent="0.2">
      <c r="B664" s="60" t="s">
        <v>4281</v>
      </c>
      <c r="C664" s="549" t="s">
        <v>3278</v>
      </c>
      <c r="D664" s="166" t="s">
        <v>299</v>
      </c>
      <c r="E664" s="173"/>
      <c r="F664" s="174"/>
    </row>
    <row r="665" spans="2:6" s="165" customFormat="1" ht="15" customHeight="1" outlineLevel="2" x14ac:dyDescent="0.2">
      <c r="B665" s="60" t="s">
        <v>4282</v>
      </c>
      <c r="C665" s="549" t="s">
        <v>3279</v>
      </c>
      <c r="D665" s="166" t="s">
        <v>299</v>
      </c>
      <c r="E665" s="173"/>
      <c r="F665" s="174"/>
    </row>
    <row r="666" spans="2:6" s="165" customFormat="1" ht="15" customHeight="1" outlineLevel="2" x14ac:dyDescent="0.2">
      <c r="B666" s="60" t="s">
        <v>4283</v>
      </c>
      <c r="C666" s="549" t="s">
        <v>3280</v>
      </c>
      <c r="D666" s="166" t="s">
        <v>299</v>
      </c>
      <c r="E666" s="173"/>
      <c r="F666" s="174"/>
    </row>
    <row r="667" spans="2:6" s="165" customFormat="1" ht="15" customHeight="1" outlineLevel="2" x14ac:dyDescent="0.2">
      <c r="B667" s="60" t="s">
        <v>4284</v>
      </c>
      <c r="C667" s="549" t="s">
        <v>3281</v>
      </c>
      <c r="D667" s="166" t="s">
        <v>299</v>
      </c>
      <c r="E667" s="173"/>
      <c r="F667" s="174"/>
    </row>
    <row r="668" spans="2:6" s="165" customFormat="1" ht="15" customHeight="1" outlineLevel="2" x14ac:dyDescent="0.2">
      <c r="B668" s="60" t="s">
        <v>4285</v>
      </c>
      <c r="C668" s="549" t="s">
        <v>3282</v>
      </c>
      <c r="D668" s="166" t="s">
        <v>299</v>
      </c>
      <c r="E668" s="173"/>
      <c r="F668" s="174"/>
    </row>
    <row r="669" spans="2:6" s="165" customFormat="1" ht="15" customHeight="1" outlineLevel="2" x14ac:dyDescent="0.2">
      <c r="B669" s="60" t="s">
        <v>4286</v>
      </c>
      <c r="C669" s="549" t="s">
        <v>3283</v>
      </c>
      <c r="D669" s="166" t="s">
        <v>299</v>
      </c>
      <c r="E669" s="173"/>
      <c r="F669" s="174"/>
    </row>
    <row r="670" spans="2:6" s="165" customFormat="1" ht="15" customHeight="1" outlineLevel="2" x14ac:dyDescent="0.2">
      <c r="B670" s="60" t="s">
        <v>4287</v>
      </c>
      <c r="C670" s="549" t="s">
        <v>3284</v>
      </c>
      <c r="D670" s="166" t="s">
        <v>299</v>
      </c>
      <c r="E670" s="173"/>
      <c r="F670" s="174"/>
    </row>
    <row r="671" spans="2:6" s="165" customFormat="1" ht="15" customHeight="1" outlineLevel="2" x14ac:dyDescent="0.2">
      <c r="B671" s="60" t="s">
        <v>4288</v>
      </c>
      <c r="C671" s="549" t="s">
        <v>3285</v>
      </c>
      <c r="D671" s="166" t="s">
        <v>299</v>
      </c>
      <c r="E671" s="173"/>
      <c r="F671" s="174"/>
    </row>
    <row r="672" spans="2:6" s="165" customFormat="1" ht="15" customHeight="1" outlineLevel="2" x14ac:dyDescent="0.2">
      <c r="B672" s="60" t="s">
        <v>4289</v>
      </c>
      <c r="C672" s="549" t="s">
        <v>3286</v>
      </c>
      <c r="D672" s="166" t="s">
        <v>299</v>
      </c>
      <c r="E672" s="173"/>
      <c r="F672" s="174"/>
    </row>
    <row r="673" spans="2:6" s="165" customFormat="1" ht="15" customHeight="1" outlineLevel="2" x14ac:dyDescent="0.2">
      <c r="B673" s="60" t="s">
        <v>4290</v>
      </c>
      <c r="C673" s="549" t="s">
        <v>3287</v>
      </c>
      <c r="D673" s="166" t="s">
        <v>299</v>
      </c>
      <c r="E673" s="173"/>
      <c r="F673" s="174"/>
    </row>
    <row r="674" spans="2:6" s="165" customFormat="1" ht="15" customHeight="1" outlineLevel="2" x14ac:dyDescent="0.2">
      <c r="B674" s="60" t="s">
        <v>4291</v>
      </c>
      <c r="C674" s="549" t="s">
        <v>3288</v>
      </c>
      <c r="D674" s="166" t="s">
        <v>299</v>
      </c>
      <c r="E674" s="173"/>
      <c r="F674" s="174"/>
    </row>
    <row r="675" spans="2:6" s="165" customFormat="1" ht="15" customHeight="1" outlineLevel="2" x14ac:dyDescent="0.2">
      <c r="B675" s="60" t="s">
        <v>4292</v>
      </c>
      <c r="C675" s="549" t="s">
        <v>3289</v>
      </c>
      <c r="D675" s="166" t="s">
        <v>299</v>
      </c>
      <c r="E675" s="173"/>
      <c r="F675" s="174"/>
    </row>
    <row r="676" spans="2:6" s="165" customFormat="1" ht="15" customHeight="1" outlineLevel="2" x14ac:dyDescent="0.2">
      <c r="B676" s="60" t="s">
        <v>4293</v>
      </c>
      <c r="C676" s="549" t="s">
        <v>3290</v>
      </c>
      <c r="D676" s="166" t="s">
        <v>299</v>
      </c>
      <c r="E676" s="173"/>
      <c r="F676" s="174"/>
    </row>
    <row r="677" spans="2:6" s="165" customFormat="1" ht="15" customHeight="1" outlineLevel="2" x14ac:dyDescent="0.2">
      <c r="B677" s="60" t="s">
        <v>4294</v>
      </c>
      <c r="C677" s="549" t="s">
        <v>3291</v>
      </c>
      <c r="D677" s="166" t="s">
        <v>299</v>
      </c>
      <c r="E677" s="173"/>
      <c r="F677" s="174"/>
    </row>
    <row r="678" spans="2:6" s="165" customFormat="1" ht="15" customHeight="1" outlineLevel="2" x14ac:dyDescent="0.2">
      <c r="B678" s="60" t="s">
        <v>4295</v>
      </c>
      <c r="C678" s="549" t="s">
        <v>3292</v>
      </c>
      <c r="D678" s="166" t="s">
        <v>299</v>
      </c>
      <c r="E678" s="173"/>
      <c r="F678" s="174"/>
    </row>
    <row r="679" spans="2:6" s="165" customFormat="1" ht="15" customHeight="1" outlineLevel="2" x14ac:dyDescent="0.2">
      <c r="B679" s="60" t="s">
        <v>4296</v>
      </c>
      <c r="C679" s="549" t="s">
        <v>3293</v>
      </c>
      <c r="D679" s="166" t="s">
        <v>299</v>
      </c>
      <c r="E679" s="173"/>
      <c r="F679" s="174"/>
    </row>
    <row r="680" spans="2:6" s="165" customFormat="1" ht="15" customHeight="1" outlineLevel="2" x14ac:dyDescent="0.2">
      <c r="B680" s="60" t="s">
        <v>4297</v>
      </c>
      <c r="C680" s="549" t="s">
        <v>3294</v>
      </c>
      <c r="D680" s="166" t="s">
        <v>299</v>
      </c>
      <c r="E680" s="173"/>
      <c r="F680" s="174"/>
    </row>
    <row r="681" spans="2:6" s="165" customFormat="1" ht="15" customHeight="1" outlineLevel="2" x14ac:dyDescent="0.2">
      <c r="B681" s="60" t="s">
        <v>4298</v>
      </c>
      <c r="C681" s="549" t="s">
        <v>3295</v>
      </c>
      <c r="D681" s="166" t="s">
        <v>299</v>
      </c>
      <c r="E681" s="173"/>
      <c r="F681" s="174"/>
    </row>
    <row r="682" spans="2:6" s="138" customFormat="1" ht="15" customHeight="1" outlineLevel="1" x14ac:dyDescent="0.2">
      <c r="B682" s="60" t="s">
        <v>4299</v>
      </c>
      <c r="C682" s="505">
        <v>20.2</v>
      </c>
      <c r="D682" s="162" t="s">
        <v>36</v>
      </c>
      <c r="E682" s="91">
        <f>SUM(E683:E702)</f>
        <v>0</v>
      </c>
      <c r="F682" s="92">
        <f>SUM(F683:F702)</f>
        <v>0</v>
      </c>
    </row>
    <row r="683" spans="2:6" s="165" customFormat="1" ht="15" customHeight="1" outlineLevel="2" x14ac:dyDescent="0.2">
      <c r="B683" s="60" t="s">
        <v>4300</v>
      </c>
      <c r="C683" s="549" t="s">
        <v>3296</v>
      </c>
      <c r="D683" s="166" t="s">
        <v>299</v>
      </c>
      <c r="E683" s="173"/>
      <c r="F683" s="174"/>
    </row>
    <row r="684" spans="2:6" s="165" customFormat="1" ht="15" customHeight="1" outlineLevel="2" x14ac:dyDescent="0.2">
      <c r="B684" s="60" t="s">
        <v>4301</v>
      </c>
      <c r="C684" s="549" t="s">
        <v>3297</v>
      </c>
      <c r="D684" s="166" t="s">
        <v>299</v>
      </c>
      <c r="E684" s="173"/>
      <c r="F684" s="174"/>
    </row>
    <row r="685" spans="2:6" s="165" customFormat="1" ht="15" customHeight="1" outlineLevel="2" x14ac:dyDescent="0.2">
      <c r="B685" s="60" t="s">
        <v>4302</v>
      </c>
      <c r="C685" s="549" t="s">
        <v>3298</v>
      </c>
      <c r="D685" s="166" t="s">
        <v>299</v>
      </c>
      <c r="E685" s="173"/>
      <c r="F685" s="174"/>
    </row>
    <row r="686" spans="2:6" s="165" customFormat="1" ht="15" customHeight="1" outlineLevel="2" x14ac:dyDescent="0.2">
      <c r="B686" s="60" t="s">
        <v>4303</v>
      </c>
      <c r="C686" s="549" t="s">
        <v>3299</v>
      </c>
      <c r="D686" s="166" t="s">
        <v>299</v>
      </c>
      <c r="E686" s="173"/>
      <c r="F686" s="174"/>
    </row>
    <row r="687" spans="2:6" s="165" customFormat="1" ht="15" customHeight="1" outlineLevel="2" x14ac:dyDescent="0.2">
      <c r="B687" s="60" t="s">
        <v>4304</v>
      </c>
      <c r="C687" s="549" t="s">
        <v>3300</v>
      </c>
      <c r="D687" s="166" t="s">
        <v>299</v>
      </c>
      <c r="E687" s="173"/>
      <c r="F687" s="174"/>
    </row>
    <row r="688" spans="2:6" s="165" customFormat="1" ht="15" customHeight="1" outlineLevel="2" x14ac:dyDescent="0.2">
      <c r="B688" s="60" t="s">
        <v>4305</v>
      </c>
      <c r="C688" s="549" t="s">
        <v>3301</v>
      </c>
      <c r="D688" s="166" t="s">
        <v>299</v>
      </c>
      <c r="E688" s="173"/>
      <c r="F688" s="174"/>
    </row>
    <row r="689" spans="2:7" s="165" customFormat="1" ht="15" customHeight="1" outlineLevel="2" x14ac:dyDescent="0.2">
      <c r="B689" s="60" t="s">
        <v>4306</v>
      </c>
      <c r="C689" s="549" t="s">
        <v>3302</v>
      </c>
      <c r="D689" s="166" t="s">
        <v>299</v>
      </c>
      <c r="E689" s="173"/>
      <c r="F689" s="174"/>
    </row>
    <row r="690" spans="2:7" s="165" customFormat="1" ht="15" customHeight="1" outlineLevel="2" x14ac:dyDescent="0.2">
      <c r="B690" s="60" t="s">
        <v>4307</v>
      </c>
      <c r="C690" s="549" t="s">
        <v>3303</v>
      </c>
      <c r="D690" s="166" t="s">
        <v>299</v>
      </c>
      <c r="E690" s="173"/>
      <c r="F690" s="174"/>
    </row>
    <row r="691" spans="2:7" s="165" customFormat="1" ht="15" customHeight="1" outlineLevel="2" x14ac:dyDescent="0.2">
      <c r="B691" s="60" t="s">
        <v>4308</v>
      </c>
      <c r="C691" s="549" t="s">
        <v>3304</v>
      </c>
      <c r="D691" s="166" t="s">
        <v>299</v>
      </c>
      <c r="E691" s="173"/>
      <c r="F691" s="174"/>
    </row>
    <row r="692" spans="2:7" s="165" customFormat="1" ht="15" customHeight="1" outlineLevel="2" x14ac:dyDescent="0.2">
      <c r="B692" s="60" t="s">
        <v>4309</v>
      </c>
      <c r="C692" s="549" t="s">
        <v>3305</v>
      </c>
      <c r="D692" s="166" t="s">
        <v>299</v>
      </c>
      <c r="E692" s="173"/>
      <c r="F692" s="174"/>
    </row>
    <row r="693" spans="2:7" s="165" customFormat="1" ht="15" customHeight="1" outlineLevel="2" x14ac:dyDescent="0.2">
      <c r="B693" s="60" t="s">
        <v>4310</v>
      </c>
      <c r="C693" s="549" t="s">
        <v>3306</v>
      </c>
      <c r="D693" s="166" t="s">
        <v>299</v>
      </c>
      <c r="E693" s="173"/>
      <c r="F693" s="174"/>
    </row>
    <row r="694" spans="2:7" s="165" customFormat="1" ht="15" customHeight="1" outlineLevel="2" x14ac:dyDescent="0.2">
      <c r="B694" s="60" t="s">
        <v>4311</v>
      </c>
      <c r="C694" s="549" t="s">
        <v>3307</v>
      </c>
      <c r="D694" s="166" t="s">
        <v>299</v>
      </c>
      <c r="E694" s="173"/>
      <c r="F694" s="174"/>
    </row>
    <row r="695" spans="2:7" s="165" customFormat="1" ht="15" customHeight="1" outlineLevel="2" x14ac:dyDescent="0.2">
      <c r="B695" s="60" t="s">
        <v>4312</v>
      </c>
      <c r="C695" s="549" t="s">
        <v>3308</v>
      </c>
      <c r="D695" s="166" t="s">
        <v>299</v>
      </c>
      <c r="E695" s="173"/>
      <c r="F695" s="174"/>
    </row>
    <row r="696" spans="2:7" s="165" customFormat="1" ht="15" customHeight="1" outlineLevel="2" x14ac:dyDescent="0.2">
      <c r="B696" s="60" t="s">
        <v>4313</v>
      </c>
      <c r="C696" s="549" t="s">
        <v>3309</v>
      </c>
      <c r="D696" s="166" t="s">
        <v>299</v>
      </c>
      <c r="E696" s="173"/>
      <c r="F696" s="174"/>
    </row>
    <row r="697" spans="2:7" s="165" customFormat="1" ht="15" customHeight="1" outlineLevel="2" x14ac:dyDescent="0.2">
      <c r="B697" s="60" t="s">
        <v>4314</v>
      </c>
      <c r="C697" s="549" t="s">
        <v>3310</v>
      </c>
      <c r="D697" s="166" t="s">
        <v>299</v>
      </c>
      <c r="E697" s="173"/>
      <c r="F697" s="174"/>
    </row>
    <row r="698" spans="2:7" s="165" customFormat="1" ht="15" customHeight="1" outlineLevel="2" x14ac:dyDescent="0.2">
      <c r="B698" s="60" t="s">
        <v>4315</v>
      </c>
      <c r="C698" s="549" t="s">
        <v>3311</v>
      </c>
      <c r="D698" s="166" t="s">
        <v>299</v>
      </c>
      <c r="E698" s="173"/>
      <c r="F698" s="174"/>
    </row>
    <row r="699" spans="2:7" s="165" customFormat="1" ht="15" customHeight="1" outlineLevel="2" x14ac:dyDescent="0.2">
      <c r="B699" s="60" t="s">
        <v>4316</v>
      </c>
      <c r="C699" s="549" t="s">
        <v>3312</v>
      </c>
      <c r="D699" s="166" t="s">
        <v>299</v>
      </c>
      <c r="E699" s="173"/>
      <c r="F699" s="174"/>
    </row>
    <row r="700" spans="2:7" s="165" customFormat="1" ht="15" customHeight="1" outlineLevel="2" x14ac:dyDescent="0.2">
      <c r="B700" s="60" t="s">
        <v>4317</v>
      </c>
      <c r="C700" s="549" t="s">
        <v>3313</v>
      </c>
      <c r="D700" s="166" t="s">
        <v>299</v>
      </c>
      <c r="E700" s="173"/>
      <c r="F700" s="174"/>
    </row>
    <row r="701" spans="2:7" s="165" customFormat="1" ht="15" customHeight="1" outlineLevel="2" x14ac:dyDescent="0.2">
      <c r="B701" s="60" t="s">
        <v>4318</v>
      </c>
      <c r="C701" s="549" t="s">
        <v>3314</v>
      </c>
      <c r="D701" s="166" t="s">
        <v>299</v>
      </c>
      <c r="E701" s="173"/>
      <c r="F701" s="174"/>
    </row>
    <row r="702" spans="2:7" s="165" customFormat="1" ht="15" customHeight="1" outlineLevel="2" thickBot="1" x14ac:dyDescent="0.25">
      <c r="B702" s="491" t="s">
        <v>4319</v>
      </c>
      <c r="C702" s="567" t="s">
        <v>3315</v>
      </c>
      <c r="D702" s="208" t="s">
        <v>299</v>
      </c>
      <c r="E702" s="210"/>
      <c r="F702" s="211"/>
    </row>
    <row r="703" spans="2:7" s="134" customFormat="1" ht="9" customHeight="1" thickBot="1" x14ac:dyDescent="0.25">
      <c r="B703" s="141"/>
      <c r="C703" s="141"/>
      <c r="D703" s="141"/>
      <c r="E703" s="672"/>
      <c r="F703" s="672"/>
      <c r="G703" s="138"/>
    </row>
    <row r="704" spans="2:7" s="142" customFormat="1" ht="30" customHeight="1" thickBot="1" x14ac:dyDescent="0.25">
      <c r="B704" s="566" t="s">
        <v>4320</v>
      </c>
      <c r="C704" s="878" t="s">
        <v>3389</v>
      </c>
      <c r="D704" s="879"/>
      <c r="E704" s="271">
        <f>E8+E182+E356+E530</f>
        <v>0</v>
      </c>
      <c r="F704" s="272">
        <f>F8+F182+F356+F530</f>
        <v>0</v>
      </c>
    </row>
    <row r="705" spans="3:6" ht="15" customHeight="1" x14ac:dyDescent="0.3">
      <c r="C705" s="5"/>
    </row>
    <row r="706" spans="3:6" ht="15" customHeight="1" x14ac:dyDescent="0.3">
      <c r="C706" s="5"/>
    </row>
    <row r="707" spans="3:6" x14ac:dyDescent="0.3">
      <c r="C707" s="782"/>
      <c r="D707" s="782"/>
      <c r="E707" s="782"/>
      <c r="F707" s="782"/>
    </row>
    <row r="708" spans="3:6" x14ac:dyDescent="0.3">
      <c r="C708" s="785"/>
      <c r="D708" s="785"/>
      <c r="E708" s="785"/>
      <c r="F708" s="785"/>
    </row>
    <row r="709" spans="3:6" x14ac:dyDescent="0.3">
      <c r="C709" s="782"/>
      <c r="D709" s="782"/>
      <c r="E709" s="782"/>
      <c r="F709" s="782"/>
    </row>
    <row r="710" spans="3:6" x14ac:dyDescent="0.3">
      <c r="C710" s="785"/>
      <c r="D710" s="785"/>
      <c r="E710" s="785"/>
      <c r="F710" s="785"/>
    </row>
    <row r="711" spans="3:6" x14ac:dyDescent="0.3">
      <c r="C711" s="782"/>
      <c r="D711" s="782"/>
      <c r="E711" s="782"/>
      <c r="F711" s="782"/>
    </row>
    <row r="712" spans="3:6" x14ac:dyDescent="0.3">
      <c r="C712" s="785"/>
      <c r="D712" s="785"/>
      <c r="E712" s="785"/>
      <c r="F712" s="785"/>
    </row>
  </sheetData>
  <customSheetViews>
    <customSheetView guid="{F18E25A1-ACAC-4BA2-9084-15C64EADD71F}" showPageBreaks="1" fitToPage="1" topLeftCell="A7">
      <selection activeCell="G15" sqref="G15"/>
      <pageMargins left="0.37" right="0.39" top="0.43" bottom="0.28999999999999998" header="0.41" footer="0.28999999999999998"/>
      <pageSetup paperSize="9" scale="78" fitToHeight="2" orientation="portrait" horizontalDpi="300" verticalDpi="300" r:id="rId1"/>
      <headerFooter alignWithMargins="0"/>
    </customSheetView>
    <customSheetView guid="{42441662-3193-455A-AAAC-E0697E2ED236}" showPageBreaks="1" fitToPage="1" topLeftCell="A25">
      <selection activeCell="C70" sqref="C70"/>
      <pageMargins left="0.37" right="0.39" top="0.43" bottom="0.28999999999999998" header="0.41" footer="0.28999999999999998"/>
      <pageSetup paperSize="9" scale="78" fitToHeight="2" orientation="portrait" horizontalDpi="300" verticalDpi="300" r:id="rId2"/>
      <headerFooter alignWithMargins="0"/>
    </customSheetView>
    <customSheetView guid="{AB1DC9E9-A3E4-4BE0-8A49-B02D340E9D12}" fitToPage="1" topLeftCell="A40">
      <selection activeCell="B5" sqref="B5"/>
      <pageMargins left="0.37" right="0.39" top="0.43" bottom="0.28999999999999998" header="0.41" footer="0.28999999999999998"/>
      <pageSetup paperSize="9" scale="78" fitToHeight="2" orientation="portrait" horizontalDpi="300" verticalDpi="300" r:id="rId3"/>
      <headerFooter alignWithMargins="0"/>
    </customSheetView>
    <customSheetView guid="{BC7A4191-54CC-4009-AB21-42ED557A5091}" showPageBreaks="1" fitToPage="1" showRuler="0" topLeftCell="A40">
      <selection activeCell="C1" sqref="C1"/>
      <pageMargins left="0.37" right="0.39" top="0.43" bottom="0.28999999999999998" header="0.41" footer="0.28999999999999998"/>
      <pageSetup paperSize="9" scale="78" fitToHeight="2" orientation="portrait" horizontalDpi="300" verticalDpi="300" r:id="rId4"/>
      <headerFooter alignWithMargins="0"/>
    </customSheetView>
  </customSheetViews>
  <mergeCells count="12">
    <mergeCell ref="C712:F712"/>
    <mergeCell ref="C704:D704"/>
    <mergeCell ref="E1:F1"/>
    <mergeCell ref="E5:F5"/>
    <mergeCell ref="D4:F4"/>
    <mergeCell ref="B2:F2"/>
    <mergeCell ref="B1:C1"/>
    <mergeCell ref="C707:F707"/>
    <mergeCell ref="C708:F708"/>
    <mergeCell ref="C709:F709"/>
    <mergeCell ref="C710:F710"/>
    <mergeCell ref="C711:F711"/>
  </mergeCells>
  <phoneticPr fontId="3" type="noConversion"/>
  <printOptions horizontalCentered="1"/>
  <pageMargins left="0.19685039370078741" right="0.19685039370078741" top="0.27559055118110237" bottom="0.19685039370078741" header="0.15748031496062992" footer="0.15748031496062992"/>
  <pageSetup paperSize="9" scale="69" fitToHeight="2" orientation="portrait" horizontalDpi="300" verticalDpi="300" r:id="rId5"/>
  <headerFooter alignWithMargins="0"/>
  <ignoredErrors>
    <ignoredError sqref="B8:B704"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ummaryRight="0"/>
  </sheetPr>
  <dimension ref="B1:H451"/>
  <sheetViews>
    <sheetView showGridLines="0" zoomScale="90" zoomScaleNormal="90" workbookViewId="0">
      <pane ySplit="6" topLeftCell="A7" activePane="bottomLeft" state="frozen"/>
      <selection activeCell="C120" sqref="C120"/>
      <selection pane="bottomLeft" activeCell="L19" sqref="L19"/>
    </sheetView>
  </sheetViews>
  <sheetFormatPr defaultColWidth="9.140625" defaultRowHeight="15" outlineLevelRow="1" x14ac:dyDescent="0.3"/>
  <cols>
    <col min="1" max="1" width="2" style="5" customWidth="1"/>
    <col min="2" max="2" width="10.5703125" style="5" customWidth="1"/>
    <col min="3" max="3" width="5.7109375" style="5" customWidth="1"/>
    <col min="4" max="4" width="76" style="5" customWidth="1"/>
    <col min="5" max="6" width="16.140625" style="669" customWidth="1"/>
    <col min="7" max="16384" width="9.140625" style="5"/>
  </cols>
  <sheetData>
    <row r="1" spans="2:6" s="4" customFormat="1" ht="15" customHeight="1" x14ac:dyDescent="0.3">
      <c r="B1" s="799" t="s">
        <v>315</v>
      </c>
      <c r="C1" s="799"/>
      <c r="D1" s="52"/>
      <c r="E1" s="885" t="s">
        <v>1236</v>
      </c>
      <c r="F1" s="885"/>
    </row>
    <row r="2" spans="2:6" ht="15" customHeight="1" x14ac:dyDescent="0.3">
      <c r="B2" s="874" t="s">
        <v>4688</v>
      </c>
      <c r="C2" s="874"/>
      <c r="D2" s="874"/>
      <c r="E2" s="874"/>
      <c r="F2" s="874"/>
    </row>
    <row r="3" spans="2:6" ht="15" customHeight="1" x14ac:dyDescent="0.3">
      <c r="C3" s="6"/>
      <c r="F3" s="673"/>
    </row>
    <row r="4" spans="2:6" s="76" customFormat="1" ht="15" customHeight="1" x14ac:dyDescent="0.35">
      <c r="B4" s="214"/>
      <c r="D4" s="815" t="s">
        <v>27</v>
      </c>
      <c r="E4" s="815"/>
      <c r="F4" s="815"/>
    </row>
    <row r="5" spans="2:6" s="10" customFormat="1" ht="15" customHeight="1" thickBot="1" x14ac:dyDescent="0.35">
      <c r="E5" s="886" t="s">
        <v>323</v>
      </c>
      <c r="F5" s="886"/>
    </row>
    <row r="6" spans="2:6" s="54" customFormat="1" ht="45.75" thickBot="1" x14ac:dyDescent="0.25">
      <c r="B6" s="481" t="s">
        <v>4627</v>
      </c>
      <c r="C6" s="492" t="s">
        <v>1211</v>
      </c>
      <c r="D6" s="415"/>
      <c r="E6" s="674" t="s">
        <v>322</v>
      </c>
      <c r="F6" s="675" t="s">
        <v>333</v>
      </c>
    </row>
    <row r="7" spans="2:6" s="4" customFormat="1" ht="9" customHeight="1" x14ac:dyDescent="0.3">
      <c r="C7" s="12"/>
      <c r="D7" s="79"/>
      <c r="E7" s="676"/>
      <c r="F7" s="676"/>
    </row>
    <row r="8" spans="2:6" s="30" customFormat="1" ht="15" customHeight="1" thickBot="1" x14ac:dyDescent="0.25">
      <c r="C8" s="839" t="s">
        <v>28</v>
      </c>
      <c r="D8" s="839"/>
      <c r="E8" s="839"/>
      <c r="F8" s="839"/>
    </row>
    <row r="9" spans="2:6" s="145" customFormat="1" ht="15" customHeight="1" x14ac:dyDescent="0.2">
      <c r="B9" s="418" t="s">
        <v>3628</v>
      </c>
      <c r="C9" s="423">
        <v>1</v>
      </c>
      <c r="D9" s="412" t="s">
        <v>255</v>
      </c>
      <c r="E9" s="575">
        <f>SUM(E10:E29)</f>
        <v>0</v>
      </c>
      <c r="F9" s="576">
        <f>SUM(F10:F29)</f>
        <v>0</v>
      </c>
    </row>
    <row r="10" spans="2:6" s="148" customFormat="1" ht="15" customHeight="1" outlineLevel="1" x14ac:dyDescent="0.2">
      <c r="B10" s="60" t="s">
        <v>3629</v>
      </c>
      <c r="C10" s="571" t="s">
        <v>430</v>
      </c>
      <c r="D10" s="166" t="s">
        <v>258</v>
      </c>
      <c r="E10" s="154"/>
      <c r="F10" s="175"/>
    </row>
    <row r="11" spans="2:6" s="167" customFormat="1" ht="15" customHeight="1" outlineLevel="1" x14ac:dyDescent="0.2">
      <c r="B11" s="60" t="s">
        <v>3630</v>
      </c>
      <c r="C11" s="571" t="s">
        <v>431</v>
      </c>
      <c r="D11" s="166" t="s">
        <v>258</v>
      </c>
      <c r="E11" s="154"/>
      <c r="F11" s="175"/>
    </row>
    <row r="12" spans="2:6" s="167" customFormat="1" ht="15" customHeight="1" outlineLevel="1" x14ac:dyDescent="0.2">
      <c r="B12" s="60" t="s">
        <v>3631</v>
      </c>
      <c r="C12" s="571" t="s">
        <v>432</v>
      </c>
      <c r="D12" s="166" t="s">
        <v>258</v>
      </c>
      <c r="E12" s="154"/>
      <c r="F12" s="175"/>
    </row>
    <row r="13" spans="2:6" s="167" customFormat="1" ht="15" customHeight="1" outlineLevel="1" x14ac:dyDescent="0.2">
      <c r="B13" s="60" t="s">
        <v>3632</v>
      </c>
      <c r="C13" s="571" t="s">
        <v>433</v>
      </c>
      <c r="D13" s="166" t="s">
        <v>258</v>
      </c>
      <c r="E13" s="154"/>
      <c r="F13" s="175"/>
    </row>
    <row r="14" spans="2:6" s="167" customFormat="1" ht="15" customHeight="1" outlineLevel="1" x14ac:dyDescent="0.2">
      <c r="B14" s="60" t="s">
        <v>3633</v>
      </c>
      <c r="C14" s="571" t="s">
        <v>400</v>
      </c>
      <c r="D14" s="166" t="s">
        <v>258</v>
      </c>
      <c r="E14" s="154"/>
      <c r="F14" s="175"/>
    </row>
    <row r="15" spans="2:6" s="167" customFormat="1" ht="15" customHeight="1" outlineLevel="1" x14ac:dyDescent="0.2">
      <c r="B15" s="60" t="s">
        <v>3634</v>
      </c>
      <c r="C15" s="571" t="s">
        <v>462</v>
      </c>
      <c r="D15" s="166" t="s">
        <v>258</v>
      </c>
      <c r="E15" s="154"/>
      <c r="F15" s="175"/>
    </row>
    <row r="16" spans="2:6" s="167" customFormat="1" ht="15" customHeight="1" outlineLevel="1" x14ac:dyDescent="0.2">
      <c r="B16" s="60" t="s">
        <v>3635</v>
      </c>
      <c r="C16" s="571" t="s">
        <v>463</v>
      </c>
      <c r="D16" s="166" t="s">
        <v>258</v>
      </c>
      <c r="E16" s="154"/>
      <c r="F16" s="175"/>
    </row>
    <row r="17" spans="2:8" s="167" customFormat="1" ht="15" customHeight="1" outlineLevel="1" x14ac:dyDescent="0.2">
      <c r="B17" s="60" t="s">
        <v>3636</v>
      </c>
      <c r="C17" s="571" t="s">
        <v>464</v>
      </c>
      <c r="D17" s="166" t="s">
        <v>258</v>
      </c>
      <c r="E17" s="154"/>
      <c r="F17" s="175"/>
    </row>
    <row r="18" spans="2:8" s="167" customFormat="1" ht="15" customHeight="1" outlineLevel="1" x14ac:dyDescent="0.2">
      <c r="B18" s="60" t="s">
        <v>3637</v>
      </c>
      <c r="C18" s="571" t="s">
        <v>465</v>
      </c>
      <c r="D18" s="166" t="s">
        <v>258</v>
      </c>
      <c r="E18" s="154"/>
      <c r="F18" s="175"/>
    </row>
    <row r="19" spans="2:8" s="167" customFormat="1" ht="15" customHeight="1" outlineLevel="1" x14ac:dyDescent="0.2">
      <c r="B19" s="60" t="s">
        <v>3638</v>
      </c>
      <c r="C19" s="571" t="s">
        <v>466</v>
      </c>
      <c r="D19" s="166" t="s">
        <v>258</v>
      </c>
      <c r="E19" s="154"/>
      <c r="F19" s="175"/>
    </row>
    <row r="20" spans="2:8" s="167" customFormat="1" ht="15" customHeight="1" outlineLevel="1" x14ac:dyDescent="0.2">
      <c r="B20" s="60" t="s">
        <v>3639</v>
      </c>
      <c r="C20" s="571" t="s">
        <v>467</v>
      </c>
      <c r="D20" s="166" t="s">
        <v>258</v>
      </c>
      <c r="E20" s="154"/>
      <c r="F20" s="175"/>
    </row>
    <row r="21" spans="2:8" s="167" customFormat="1" ht="15" customHeight="1" outlineLevel="1" x14ac:dyDescent="0.2">
      <c r="B21" s="60" t="s">
        <v>3640</v>
      </c>
      <c r="C21" s="571" t="s">
        <v>468</v>
      </c>
      <c r="D21" s="166" t="s">
        <v>258</v>
      </c>
      <c r="E21" s="154"/>
      <c r="F21" s="175"/>
    </row>
    <row r="22" spans="2:8" s="167" customFormat="1" ht="15" customHeight="1" outlineLevel="1" x14ac:dyDescent="0.2">
      <c r="B22" s="60" t="s">
        <v>3641</v>
      </c>
      <c r="C22" s="571" t="s">
        <v>469</v>
      </c>
      <c r="D22" s="166" t="s">
        <v>258</v>
      </c>
      <c r="E22" s="154"/>
      <c r="F22" s="175"/>
    </row>
    <row r="23" spans="2:8" s="167" customFormat="1" ht="15" customHeight="1" outlineLevel="1" x14ac:dyDescent="0.2">
      <c r="B23" s="60" t="s">
        <v>3642</v>
      </c>
      <c r="C23" s="571" t="s">
        <v>470</v>
      </c>
      <c r="D23" s="166" t="s">
        <v>258</v>
      </c>
      <c r="E23" s="154"/>
      <c r="F23" s="175"/>
    </row>
    <row r="24" spans="2:8" s="167" customFormat="1" ht="15" customHeight="1" outlineLevel="1" x14ac:dyDescent="0.2">
      <c r="B24" s="60" t="s">
        <v>3643</v>
      </c>
      <c r="C24" s="571" t="s">
        <v>471</v>
      </c>
      <c r="D24" s="166" t="s">
        <v>258</v>
      </c>
      <c r="E24" s="154"/>
      <c r="F24" s="175"/>
    </row>
    <row r="25" spans="2:8" s="167" customFormat="1" ht="15" customHeight="1" outlineLevel="1" x14ac:dyDescent="0.2">
      <c r="B25" s="60" t="s">
        <v>3644</v>
      </c>
      <c r="C25" s="571" t="s">
        <v>472</v>
      </c>
      <c r="D25" s="166" t="s">
        <v>258</v>
      </c>
      <c r="E25" s="154"/>
      <c r="F25" s="175"/>
    </row>
    <row r="26" spans="2:8" s="167" customFormat="1" ht="15" customHeight="1" outlineLevel="1" x14ac:dyDescent="0.2">
      <c r="B26" s="60" t="s">
        <v>3645</v>
      </c>
      <c r="C26" s="571" t="s">
        <v>473</v>
      </c>
      <c r="D26" s="166" t="s">
        <v>258</v>
      </c>
      <c r="E26" s="154"/>
      <c r="F26" s="175"/>
    </row>
    <row r="27" spans="2:8" s="167" customFormat="1" ht="15" customHeight="1" outlineLevel="1" x14ac:dyDescent="0.2">
      <c r="B27" s="60" t="s">
        <v>3646</v>
      </c>
      <c r="C27" s="571" t="s">
        <v>474</v>
      </c>
      <c r="D27" s="166" t="s">
        <v>258</v>
      </c>
      <c r="E27" s="154"/>
      <c r="F27" s="175"/>
    </row>
    <row r="28" spans="2:8" s="167" customFormat="1" ht="15" customHeight="1" outlineLevel="1" x14ac:dyDescent="0.2">
      <c r="B28" s="60" t="s">
        <v>3647</v>
      </c>
      <c r="C28" s="571" t="s">
        <v>475</v>
      </c>
      <c r="D28" s="166" t="s">
        <v>258</v>
      </c>
      <c r="E28" s="154"/>
      <c r="F28" s="175"/>
    </row>
    <row r="29" spans="2:8" s="167" customFormat="1" ht="15" customHeight="1" outlineLevel="1" x14ac:dyDescent="0.2">
      <c r="B29" s="60" t="s">
        <v>3648</v>
      </c>
      <c r="C29" s="571" t="s">
        <v>476</v>
      </c>
      <c r="D29" s="166" t="s">
        <v>258</v>
      </c>
      <c r="E29" s="154"/>
      <c r="F29" s="175"/>
    </row>
    <row r="30" spans="2:8" s="142" customFormat="1" ht="15" customHeight="1" x14ac:dyDescent="0.2">
      <c r="B30" s="60" t="s">
        <v>3649</v>
      </c>
      <c r="C30" s="572" t="s">
        <v>437</v>
      </c>
      <c r="D30" s="163" t="s">
        <v>259</v>
      </c>
      <c r="E30" s="215">
        <f>SUM(E31:E50)</f>
        <v>0</v>
      </c>
      <c r="F30" s="216">
        <f>SUM(F31:F50)</f>
        <v>0</v>
      </c>
      <c r="H30" s="143"/>
    </row>
    <row r="31" spans="2:8" s="167" customFormat="1" ht="15" customHeight="1" outlineLevel="1" x14ac:dyDescent="0.2">
      <c r="B31" s="60" t="s">
        <v>3650</v>
      </c>
      <c r="C31" s="571" t="s">
        <v>424</v>
      </c>
      <c r="D31" s="166" t="s">
        <v>260</v>
      </c>
      <c r="E31" s="154"/>
      <c r="F31" s="175"/>
    </row>
    <row r="32" spans="2:8" s="167" customFormat="1" ht="15" customHeight="1" outlineLevel="1" x14ac:dyDescent="0.2">
      <c r="B32" s="60" t="s">
        <v>3651</v>
      </c>
      <c r="C32" s="571" t="s">
        <v>425</v>
      </c>
      <c r="D32" s="166" t="s">
        <v>260</v>
      </c>
      <c r="E32" s="154"/>
      <c r="F32" s="175"/>
    </row>
    <row r="33" spans="2:6" s="167" customFormat="1" ht="15" customHeight="1" outlineLevel="1" x14ac:dyDescent="0.2">
      <c r="B33" s="60" t="s">
        <v>3652</v>
      </c>
      <c r="C33" s="571" t="s">
        <v>441</v>
      </c>
      <c r="D33" s="166" t="s">
        <v>260</v>
      </c>
      <c r="E33" s="154"/>
      <c r="F33" s="175"/>
    </row>
    <row r="34" spans="2:6" s="167" customFormat="1" ht="15" customHeight="1" outlineLevel="1" x14ac:dyDescent="0.2">
      <c r="B34" s="60" t="s">
        <v>3653</v>
      </c>
      <c r="C34" s="571" t="s">
        <v>477</v>
      </c>
      <c r="D34" s="166" t="s">
        <v>260</v>
      </c>
      <c r="E34" s="154"/>
      <c r="F34" s="175"/>
    </row>
    <row r="35" spans="2:6" s="167" customFormat="1" ht="15" customHeight="1" outlineLevel="1" x14ac:dyDescent="0.2">
      <c r="B35" s="60" t="s">
        <v>3654</v>
      </c>
      <c r="C35" s="571" t="s">
        <v>478</v>
      </c>
      <c r="D35" s="166" t="s">
        <v>260</v>
      </c>
      <c r="E35" s="154"/>
      <c r="F35" s="175"/>
    </row>
    <row r="36" spans="2:6" s="167" customFormat="1" ht="15" customHeight="1" outlineLevel="1" x14ac:dyDescent="0.2">
      <c r="B36" s="60" t="s">
        <v>3655</v>
      </c>
      <c r="C36" s="571" t="s">
        <v>479</v>
      </c>
      <c r="D36" s="166" t="s">
        <v>260</v>
      </c>
      <c r="E36" s="154"/>
      <c r="F36" s="175"/>
    </row>
    <row r="37" spans="2:6" s="167" customFormat="1" ht="15" customHeight="1" outlineLevel="1" x14ac:dyDescent="0.2">
      <c r="B37" s="60" t="s">
        <v>3656</v>
      </c>
      <c r="C37" s="571" t="s">
        <v>480</v>
      </c>
      <c r="D37" s="166" t="s">
        <v>260</v>
      </c>
      <c r="E37" s="154"/>
      <c r="F37" s="175"/>
    </row>
    <row r="38" spans="2:6" s="167" customFormat="1" ht="15" customHeight="1" outlineLevel="1" x14ac:dyDescent="0.2">
      <c r="B38" s="60" t="s">
        <v>3657</v>
      </c>
      <c r="C38" s="571" t="s">
        <v>481</v>
      </c>
      <c r="D38" s="166" t="s">
        <v>260</v>
      </c>
      <c r="E38" s="154"/>
      <c r="F38" s="175"/>
    </row>
    <row r="39" spans="2:6" s="167" customFormat="1" ht="15" customHeight="1" outlineLevel="1" x14ac:dyDescent="0.2">
      <c r="B39" s="60" t="s">
        <v>3658</v>
      </c>
      <c r="C39" s="571" t="s">
        <v>482</v>
      </c>
      <c r="D39" s="166" t="s">
        <v>260</v>
      </c>
      <c r="E39" s="154"/>
      <c r="F39" s="175"/>
    </row>
    <row r="40" spans="2:6" s="167" customFormat="1" ht="15" customHeight="1" outlineLevel="1" x14ac:dyDescent="0.2">
      <c r="B40" s="60" t="s">
        <v>3659</v>
      </c>
      <c r="C40" s="571" t="s">
        <v>483</v>
      </c>
      <c r="D40" s="166" t="s">
        <v>260</v>
      </c>
      <c r="E40" s="154"/>
      <c r="F40" s="175"/>
    </row>
    <row r="41" spans="2:6" s="167" customFormat="1" ht="15" customHeight="1" outlineLevel="1" x14ac:dyDescent="0.2">
      <c r="B41" s="60" t="s">
        <v>3660</v>
      </c>
      <c r="C41" s="571" t="s">
        <v>484</v>
      </c>
      <c r="D41" s="166" t="s">
        <v>260</v>
      </c>
      <c r="E41" s="154"/>
      <c r="F41" s="175"/>
    </row>
    <row r="42" spans="2:6" s="167" customFormat="1" ht="15" customHeight="1" outlineLevel="1" x14ac:dyDescent="0.2">
      <c r="B42" s="60" t="s">
        <v>3661</v>
      </c>
      <c r="C42" s="571" t="s">
        <v>485</v>
      </c>
      <c r="D42" s="166" t="s">
        <v>260</v>
      </c>
      <c r="E42" s="154"/>
      <c r="F42" s="175"/>
    </row>
    <row r="43" spans="2:6" s="167" customFormat="1" ht="15" customHeight="1" outlineLevel="1" x14ac:dyDescent="0.2">
      <c r="B43" s="60" t="s">
        <v>3662</v>
      </c>
      <c r="C43" s="571" t="s">
        <v>486</v>
      </c>
      <c r="D43" s="166" t="s">
        <v>260</v>
      </c>
      <c r="E43" s="154"/>
      <c r="F43" s="175"/>
    </row>
    <row r="44" spans="2:6" s="167" customFormat="1" ht="15" customHeight="1" outlineLevel="1" x14ac:dyDescent="0.2">
      <c r="B44" s="60" t="s">
        <v>3663</v>
      </c>
      <c r="C44" s="571" t="s">
        <v>487</v>
      </c>
      <c r="D44" s="166" t="s">
        <v>260</v>
      </c>
      <c r="E44" s="154"/>
      <c r="F44" s="175"/>
    </row>
    <row r="45" spans="2:6" s="167" customFormat="1" ht="15" customHeight="1" outlineLevel="1" x14ac:dyDescent="0.2">
      <c r="B45" s="60" t="s">
        <v>3664</v>
      </c>
      <c r="C45" s="571" t="s">
        <v>488</v>
      </c>
      <c r="D45" s="166" t="s">
        <v>260</v>
      </c>
      <c r="E45" s="154"/>
      <c r="F45" s="175"/>
    </row>
    <row r="46" spans="2:6" s="167" customFormat="1" ht="15" customHeight="1" outlineLevel="1" x14ac:dyDescent="0.2">
      <c r="B46" s="60" t="s">
        <v>3665</v>
      </c>
      <c r="C46" s="571" t="s">
        <v>489</v>
      </c>
      <c r="D46" s="166" t="s">
        <v>260</v>
      </c>
      <c r="E46" s="154"/>
      <c r="F46" s="175"/>
    </row>
    <row r="47" spans="2:6" s="167" customFormat="1" ht="15" customHeight="1" outlineLevel="1" x14ac:dyDescent="0.2">
      <c r="B47" s="60" t="s">
        <v>3666</v>
      </c>
      <c r="C47" s="571" t="s">
        <v>490</v>
      </c>
      <c r="D47" s="166" t="s">
        <v>260</v>
      </c>
      <c r="E47" s="154"/>
      <c r="F47" s="175"/>
    </row>
    <row r="48" spans="2:6" s="167" customFormat="1" ht="15" customHeight="1" outlineLevel="1" x14ac:dyDescent="0.2">
      <c r="B48" s="60" t="s">
        <v>3667</v>
      </c>
      <c r="C48" s="571" t="s">
        <v>491</v>
      </c>
      <c r="D48" s="166" t="s">
        <v>260</v>
      </c>
      <c r="E48" s="154"/>
      <c r="F48" s="175"/>
    </row>
    <row r="49" spans="2:6" s="167" customFormat="1" ht="15" customHeight="1" outlineLevel="1" x14ac:dyDescent="0.2">
      <c r="B49" s="60" t="s">
        <v>3668</v>
      </c>
      <c r="C49" s="571" t="s">
        <v>492</v>
      </c>
      <c r="D49" s="166" t="s">
        <v>260</v>
      </c>
      <c r="E49" s="154"/>
      <c r="F49" s="175"/>
    </row>
    <row r="50" spans="2:6" s="167" customFormat="1" ht="15" customHeight="1" outlineLevel="1" x14ac:dyDescent="0.2">
      <c r="B50" s="60" t="s">
        <v>3669</v>
      </c>
      <c r="C50" s="571" t="s">
        <v>493</v>
      </c>
      <c r="D50" s="166" t="s">
        <v>260</v>
      </c>
      <c r="E50" s="154"/>
      <c r="F50" s="175"/>
    </row>
    <row r="51" spans="2:6" s="142" customFormat="1" ht="15" customHeight="1" x14ac:dyDescent="0.2">
      <c r="B51" s="60" t="s">
        <v>3670</v>
      </c>
      <c r="C51" s="572" t="s">
        <v>438</v>
      </c>
      <c r="D51" s="163" t="s">
        <v>261</v>
      </c>
      <c r="E51" s="215">
        <f>SUM(E52:E71)</f>
        <v>0</v>
      </c>
      <c r="F51" s="216">
        <f>SUM(F52:F71)</f>
        <v>0</v>
      </c>
    </row>
    <row r="52" spans="2:6" s="167" customFormat="1" ht="15" customHeight="1" outlineLevel="1" x14ac:dyDescent="0.2">
      <c r="B52" s="60" t="s">
        <v>3671</v>
      </c>
      <c r="C52" s="571" t="s">
        <v>409</v>
      </c>
      <c r="D52" s="151" t="s">
        <v>260</v>
      </c>
      <c r="E52" s="154"/>
      <c r="F52" s="175"/>
    </row>
    <row r="53" spans="2:6" s="167" customFormat="1" ht="15" customHeight="1" outlineLevel="1" x14ac:dyDescent="0.2">
      <c r="B53" s="60" t="s">
        <v>3672</v>
      </c>
      <c r="C53" s="571" t="s">
        <v>410</v>
      </c>
      <c r="D53" s="151" t="s">
        <v>260</v>
      </c>
      <c r="E53" s="154"/>
      <c r="F53" s="175"/>
    </row>
    <row r="54" spans="2:6" s="167" customFormat="1" ht="15" customHeight="1" outlineLevel="1" x14ac:dyDescent="0.2">
      <c r="B54" s="60" t="s">
        <v>3673</v>
      </c>
      <c r="C54" s="571" t="s">
        <v>411</v>
      </c>
      <c r="D54" s="151" t="s">
        <v>260</v>
      </c>
      <c r="E54" s="154"/>
      <c r="F54" s="175"/>
    </row>
    <row r="55" spans="2:6" s="167" customFormat="1" ht="15" customHeight="1" outlineLevel="1" x14ac:dyDescent="0.2">
      <c r="B55" s="60" t="s">
        <v>3674</v>
      </c>
      <c r="C55" s="571" t="s">
        <v>494</v>
      </c>
      <c r="D55" s="151" t="s">
        <v>260</v>
      </c>
      <c r="E55" s="154"/>
      <c r="F55" s="175"/>
    </row>
    <row r="56" spans="2:6" s="167" customFormat="1" ht="15" customHeight="1" outlineLevel="1" x14ac:dyDescent="0.2">
      <c r="B56" s="60" t="s">
        <v>3675</v>
      </c>
      <c r="C56" s="571" t="s">
        <v>495</v>
      </c>
      <c r="D56" s="151" t="s">
        <v>260</v>
      </c>
      <c r="E56" s="154"/>
      <c r="F56" s="175"/>
    </row>
    <row r="57" spans="2:6" s="167" customFormat="1" ht="15" customHeight="1" outlineLevel="1" x14ac:dyDescent="0.2">
      <c r="B57" s="60" t="s">
        <v>3676</v>
      </c>
      <c r="C57" s="571" t="s">
        <v>496</v>
      </c>
      <c r="D57" s="151" t="s">
        <v>260</v>
      </c>
      <c r="E57" s="154"/>
      <c r="F57" s="175"/>
    </row>
    <row r="58" spans="2:6" s="167" customFormat="1" ht="15" customHeight="1" outlineLevel="1" x14ac:dyDescent="0.2">
      <c r="B58" s="60" t="s">
        <v>3677</v>
      </c>
      <c r="C58" s="571" t="s">
        <v>497</v>
      </c>
      <c r="D58" s="151" t="s">
        <v>260</v>
      </c>
      <c r="E58" s="154"/>
      <c r="F58" s="175"/>
    </row>
    <row r="59" spans="2:6" s="167" customFormat="1" ht="15" customHeight="1" outlineLevel="1" x14ac:dyDescent="0.2">
      <c r="B59" s="60" t="s">
        <v>3678</v>
      </c>
      <c r="C59" s="571" t="s">
        <v>498</v>
      </c>
      <c r="D59" s="151" t="s">
        <v>260</v>
      </c>
      <c r="E59" s="154"/>
      <c r="F59" s="175"/>
    </row>
    <row r="60" spans="2:6" s="167" customFormat="1" ht="15" customHeight="1" outlineLevel="1" x14ac:dyDescent="0.2">
      <c r="B60" s="60" t="s">
        <v>3679</v>
      </c>
      <c r="C60" s="571" t="s">
        <v>499</v>
      </c>
      <c r="D60" s="151" t="s">
        <v>260</v>
      </c>
      <c r="E60" s="154"/>
      <c r="F60" s="175"/>
    </row>
    <row r="61" spans="2:6" s="167" customFormat="1" ht="15" customHeight="1" outlineLevel="1" x14ac:dyDescent="0.2">
      <c r="B61" s="60" t="s">
        <v>3680</v>
      </c>
      <c r="C61" s="571" t="s">
        <v>500</v>
      </c>
      <c r="D61" s="151" t="s">
        <v>260</v>
      </c>
      <c r="E61" s="154"/>
      <c r="F61" s="175"/>
    </row>
    <row r="62" spans="2:6" s="167" customFormat="1" ht="15" customHeight="1" outlineLevel="1" x14ac:dyDescent="0.2">
      <c r="B62" s="60" t="s">
        <v>3681</v>
      </c>
      <c r="C62" s="571" t="s">
        <v>501</v>
      </c>
      <c r="D62" s="151" t="s">
        <v>260</v>
      </c>
      <c r="E62" s="154"/>
      <c r="F62" s="175"/>
    </row>
    <row r="63" spans="2:6" s="167" customFormat="1" ht="15" customHeight="1" outlineLevel="1" x14ac:dyDescent="0.2">
      <c r="B63" s="60" t="s">
        <v>3682</v>
      </c>
      <c r="C63" s="571" t="s">
        <v>502</v>
      </c>
      <c r="D63" s="151" t="s">
        <v>260</v>
      </c>
      <c r="E63" s="154"/>
      <c r="F63" s="175"/>
    </row>
    <row r="64" spans="2:6" s="167" customFormat="1" ht="15" customHeight="1" outlineLevel="1" x14ac:dyDescent="0.2">
      <c r="B64" s="60" t="s">
        <v>3683</v>
      </c>
      <c r="C64" s="571" t="s">
        <v>503</v>
      </c>
      <c r="D64" s="151" t="s">
        <v>260</v>
      </c>
      <c r="E64" s="154"/>
      <c r="F64" s="175"/>
    </row>
    <row r="65" spans="2:6" s="167" customFormat="1" ht="15" customHeight="1" outlineLevel="1" x14ac:dyDescent="0.2">
      <c r="B65" s="60" t="s">
        <v>3684</v>
      </c>
      <c r="C65" s="571" t="s">
        <v>504</v>
      </c>
      <c r="D65" s="151" t="s">
        <v>260</v>
      </c>
      <c r="E65" s="154"/>
      <c r="F65" s="175"/>
    </row>
    <row r="66" spans="2:6" s="167" customFormat="1" ht="15" customHeight="1" outlineLevel="1" x14ac:dyDescent="0.2">
      <c r="B66" s="60" t="s">
        <v>3685</v>
      </c>
      <c r="C66" s="571" t="s">
        <v>505</v>
      </c>
      <c r="D66" s="151" t="s">
        <v>260</v>
      </c>
      <c r="E66" s="154"/>
      <c r="F66" s="175"/>
    </row>
    <row r="67" spans="2:6" s="167" customFormat="1" ht="15" customHeight="1" outlineLevel="1" x14ac:dyDescent="0.2">
      <c r="B67" s="60" t="s">
        <v>3686</v>
      </c>
      <c r="C67" s="571" t="s">
        <v>506</v>
      </c>
      <c r="D67" s="151" t="s">
        <v>260</v>
      </c>
      <c r="E67" s="154"/>
      <c r="F67" s="175"/>
    </row>
    <row r="68" spans="2:6" s="167" customFormat="1" ht="15" customHeight="1" outlineLevel="1" x14ac:dyDescent="0.2">
      <c r="B68" s="60" t="s">
        <v>3687</v>
      </c>
      <c r="C68" s="571" t="s">
        <v>507</v>
      </c>
      <c r="D68" s="151" t="s">
        <v>260</v>
      </c>
      <c r="E68" s="154"/>
      <c r="F68" s="175"/>
    </row>
    <row r="69" spans="2:6" s="167" customFormat="1" ht="15" customHeight="1" outlineLevel="1" x14ac:dyDescent="0.2">
      <c r="B69" s="60" t="s">
        <v>3688</v>
      </c>
      <c r="C69" s="571" t="s">
        <v>508</v>
      </c>
      <c r="D69" s="151" t="s">
        <v>260</v>
      </c>
      <c r="E69" s="154"/>
      <c r="F69" s="175"/>
    </row>
    <row r="70" spans="2:6" s="167" customFormat="1" ht="15" customHeight="1" outlineLevel="1" x14ac:dyDescent="0.2">
      <c r="B70" s="60" t="s">
        <v>3689</v>
      </c>
      <c r="C70" s="571" t="s">
        <v>509</v>
      </c>
      <c r="D70" s="151" t="s">
        <v>260</v>
      </c>
      <c r="E70" s="154"/>
      <c r="F70" s="175"/>
    </row>
    <row r="71" spans="2:6" s="167" customFormat="1" ht="15" customHeight="1" outlineLevel="1" x14ac:dyDescent="0.2">
      <c r="B71" s="60" t="s">
        <v>3690</v>
      </c>
      <c r="C71" s="571" t="s">
        <v>510</v>
      </c>
      <c r="D71" s="151" t="s">
        <v>260</v>
      </c>
      <c r="E71" s="154"/>
      <c r="F71" s="175"/>
    </row>
    <row r="72" spans="2:6" s="142" customFormat="1" ht="15" customHeight="1" x14ac:dyDescent="0.2">
      <c r="B72" s="60" t="s">
        <v>3691</v>
      </c>
      <c r="C72" s="572" t="s">
        <v>426</v>
      </c>
      <c r="D72" s="163" t="s">
        <v>262</v>
      </c>
      <c r="E72" s="215">
        <f>SUM(E73:E92)</f>
        <v>0</v>
      </c>
      <c r="F72" s="216">
        <f>SUM(F73:F92)</f>
        <v>0</v>
      </c>
    </row>
    <row r="73" spans="2:6" s="167" customFormat="1" ht="15" customHeight="1" outlineLevel="1" x14ac:dyDescent="0.2">
      <c r="B73" s="60" t="s">
        <v>3692</v>
      </c>
      <c r="C73" s="571" t="s">
        <v>427</v>
      </c>
      <c r="D73" s="166" t="s">
        <v>2845</v>
      </c>
      <c r="E73" s="154"/>
      <c r="F73" s="175"/>
    </row>
    <row r="74" spans="2:6" s="167" customFormat="1" ht="15" customHeight="1" outlineLevel="1" x14ac:dyDescent="0.2">
      <c r="B74" s="60" t="s">
        <v>3693</v>
      </c>
      <c r="C74" s="571" t="s">
        <v>428</v>
      </c>
      <c r="D74" s="166" t="s">
        <v>2845</v>
      </c>
      <c r="E74" s="154"/>
      <c r="F74" s="175"/>
    </row>
    <row r="75" spans="2:6" s="167" customFormat="1" ht="15" customHeight="1" outlineLevel="1" x14ac:dyDescent="0.2">
      <c r="B75" s="60" t="s">
        <v>3694</v>
      </c>
      <c r="C75" s="571" t="s">
        <v>439</v>
      </c>
      <c r="D75" s="166" t="s">
        <v>2845</v>
      </c>
      <c r="E75" s="154"/>
      <c r="F75" s="175"/>
    </row>
    <row r="76" spans="2:6" s="167" customFormat="1" ht="15" customHeight="1" outlineLevel="1" x14ac:dyDescent="0.2">
      <c r="B76" s="60" t="s">
        <v>3695</v>
      </c>
      <c r="C76" s="571" t="s">
        <v>511</v>
      </c>
      <c r="D76" s="166" t="s">
        <v>2845</v>
      </c>
      <c r="E76" s="154"/>
      <c r="F76" s="175"/>
    </row>
    <row r="77" spans="2:6" s="167" customFormat="1" ht="15" customHeight="1" outlineLevel="1" x14ac:dyDescent="0.2">
      <c r="B77" s="60" t="s">
        <v>3696</v>
      </c>
      <c r="C77" s="571" t="s">
        <v>512</v>
      </c>
      <c r="D77" s="166" t="s">
        <v>2845</v>
      </c>
      <c r="E77" s="154"/>
      <c r="F77" s="175"/>
    </row>
    <row r="78" spans="2:6" s="167" customFormat="1" ht="15" customHeight="1" outlineLevel="1" x14ac:dyDescent="0.2">
      <c r="B78" s="60" t="s">
        <v>3697</v>
      </c>
      <c r="C78" s="571" t="s">
        <v>513</v>
      </c>
      <c r="D78" s="166" t="s">
        <v>2845</v>
      </c>
      <c r="E78" s="154"/>
      <c r="F78" s="175"/>
    </row>
    <row r="79" spans="2:6" s="167" customFormat="1" ht="15" customHeight="1" outlineLevel="1" x14ac:dyDescent="0.2">
      <c r="B79" s="60" t="s">
        <v>3698</v>
      </c>
      <c r="C79" s="571" t="s">
        <v>514</v>
      </c>
      <c r="D79" s="166" t="s">
        <v>2845</v>
      </c>
      <c r="E79" s="154"/>
      <c r="F79" s="175"/>
    </row>
    <row r="80" spans="2:6" s="167" customFormat="1" ht="15" customHeight="1" outlineLevel="1" x14ac:dyDescent="0.2">
      <c r="B80" s="60" t="s">
        <v>3699</v>
      </c>
      <c r="C80" s="571" t="s">
        <v>515</v>
      </c>
      <c r="D80" s="166" t="s">
        <v>2845</v>
      </c>
      <c r="E80" s="154"/>
      <c r="F80" s="175"/>
    </row>
    <row r="81" spans="2:7" s="167" customFormat="1" ht="15" customHeight="1" outlineLevel="1" x14ac:dyDescent="0.2">
      <c r="B81" s="60" t="s">
        <v>3700</v>
      </c>
      <c r="C81" s="571" t="s">
        <v>516</v>
      </c>
      <c r="D81" s="166" t="s">
        <v>2845</v>
      </c>
      <c r="E81" s="154"/>
      <c r="F81" s="175"/>
    </row>
    <row r="82" spans="2:7" s="167" customFormat="1" ht="15" customHeight="1" outlineLevel="1" x14ac:dyDescent="0.2">
      <c r="B82" s="60" t="s">
        <v>3701</v>
      </c>
      <c r="C82" s="571" t="s">
        <v>517</v>
      </c>
      <c r="D82" s="166" t="s">
        <v>2845</v>
      </c>
      <c r="E82" s="154"/>
      <c r="F82" s="175"/>
    </row>
    <row r="83" spans="2:7" s="167" customFormat="1" ht="15" customHeight="1" outlineLevel="1" x14ac:dyDescent="0.2">
      <c r="B83" s="60" t="s">
        <v>3702</v>
      </c>
      <c r="C83" s="571" t="s">
        <v>518</v>
      </c>
      <c r="D83" s="166" t="s">
        <v>2845</v>
      </c>
      <c r="E83" s="154"/>
      <c r="F83" s="175"/>
    </row>
    <row r="84" spans="2:7" s="167" customFormat="1" ht="15" customHeight="1" outlineLevel="1" x14ac:dyDescent="0.2">
      <c r="B84" s="60" t="s">
        <v>3703</v>
      </c>
      <c r="C84" s="571" t="s">
        <v>519</v>
      </c>
      <c r="D84" s="166" t="s">
        <v>2845</v>
      </c>
      <c r="E84" s="154"/>
      <c r="F84" s="175"/>
    </row>
    <row r="85" spans="2:7" s="167" customFormat="1" ht="15" customHeight="1" outlineLevel="1" x14ac:dyDescent="0.2">
      <c r="B85" s="60" t="s">
        <v>3704</v>
      </c>
      <c r="C85" s="571" t="s">
        <v>520</v>
      </c>
      <c r="D85" s="166" t="s">
        <v>2845</v>
      </c>
      <c r="E85" s="154"/>
      <c r="F85" s="175"/>
    </row>
    <row r="86" spans="2:7" s="167" customFormat="1" ht="15" customHeight="1" outlineLevel="1" x14ac:dyDescent="0.2">
      <c r="B86" s="60" t="s">
        <v>3705</v>
      </c>
      <c r="C86" s="571" t="s">
        <v>521</v>
      </c>
      <c r="D86" s="166" t="s">
        <v>2845</v>
      </c>
      <c r="E86" s="154"/>
      <c r="F86" s="175"/>
    </row>
    <row r="87" spans="2:7" s="167" customFormat="1" ht="15" customHeight="1" outlineLevel="1" x14ac:dyDescent="0.2">
      <c r="B87" s="60" t="s">
        <v>3706</v>
      </c>
      <c r="C87" s="571" t="s">
        <v>522</v>
      </c>
      <c r="D87" s="166" t="s">
        <v>2845</v>
      </c>
      <c r="E87" s="154"/>
      <c r="F87" s="175"/>
    </row>
    <row r="88" spans="2:7" s="167" customFormat="1" ht="15" customHeight="1" outlineLevel="1" x14ac:dyDescent="0.2">
      <c r="B88" s="60" t="s">
        <v>3707</v>
      </c>
      <c r="C88" s="571" t="s">
        <v>523</v>
      </c>
      <c r="D88" s="166" t="s">
        <v>2845</v>
      </c>
      <c r="E88" s="154"/>
      <c r="F88" s="175"/>
    </row>
    <row r="89" spans="2:7" s="167" customFormat="1" ht="15" customHeight="1" outlineLevel="1" x14ac:dyDescent="0.2">
      <c r="B89" s="60" t="s">
        <v>3708</v>
      </c>
      <c r="C89" s="571" t="s">
        <v>524</v>
      </c>
      <c r="D89" s="166" t="s">
        <v>2845</v>
      </c>
      <c r="E89" s="154"/>
      <c r="F89" s="175"/>
    </row>
    <row r="90" spans="2:7" s="167" customFormat="1" ht="15" customHeight="1" outlineLevel="1" x14ac:dyDescent="0.2">
      <c r="B90" s="60" t="s">
        <v>3709</v>
      </c>
      <c r="C90" s="571" t="s">
        <v>525</v>
      </c>
      <c r="D90" s="166" t="s">
        <v>2845</v>
      </c>
      <c r="E90" s="154"/>
      <c r="F90" s="175"/>
    </row>
    <row r="91" spans="2:7" s="167" customFormat="1" ht="15" customHeight="1" outlineLevel="1" x14ac:dyDescent="0.2">
      <c r="B91" s="60" t="s">
        <v>3710</v>
      </c>
      <c r="C91" s="571" t="s">
        <v>526</v>
      </c>
      <c r="D91" s="166" t="s">
        <v>2845</v>
      </c>
      <c r="E91" s="154"/>
      <c r="F91" s="175"/>
    </row>
    <row r="92" spans="2:7" s="167" customFormat="1" ht="15" customHeight="1" outlineLevel="1" x14ac:dyDescent="0.2">
      <c r="B92" s="60" t="s">
        <v>3711</v>
      </c>
      <c r="C92" s="571" t="s">
        <v>527</v>
      </c>
      <c r="D92" s="166" t="s">
        <v>2845</v>
      </c>
      <c r="E92" s="154"/>
      <c r="F92" s="175"/>
    </row>
    <row r="93" spans="2:7" s="142" customFormat="1" ht="15" customHeight="1" collapsed="1" thickBot="1" x14ac:dyDescent="0.25">
      <c r="B93" s="491" t="s">
        <v>3712</v>
      </c>
      <c r="C93" s="882" t="s">
        <v>29</v>
      </c>
      <c r="D93" s="883"/>
      <c r="E93" s="241">
        <f>E9+E30+E51+E72</f>
        <v>0</v>
      </c>
      <c r="F93" s="242">
        <f>F9+F30+F51+F72</f>
        <v>0</v>
      </c>
    </row>
    <row r="94" spans="2:7" s="11" customFormat="1" ht="9" customHeight="1" x14ac:dyDescent="0.3">
      <c r="C94" s="13"/>
      <c r="D94" s="13"/>
      <c r="E94" s="677"/>
      <c r="F94" s="677"/>
    </row>
    <row r="95" spans="2:7" s="11" customFormat="1" ht="15" customHeight="1" thickBot="1" x14ac:dyDescent="0.35">
      <c r="C95" s="839" t="s">
        <v>30</v>
      </c>
      <c r="D95" s="839"/>
      <c r="E95" s="839"/>
      <c r="F95" s="839"/>
      <c r="G95" s="4"/>
    </row>
    <row r="96" spans="2:7" s="48" customFormat="1" ht="15" customHeight="1" x14ac:dyDescent="0.3">
      <c r="B96" s="418" t="s">
        <v>3713</v>
      </c>
      <c r="C96" s="573">
        <v>1</v>
      </c>
      <c r="D96" s="568" t="s">
        <v>255</v>
      </c>
      <c r="E96" s="569">
        <f>E97+E118</f>
        <v>0</v>
      </c>
      <c r="F96" s="570">
        <f>F97+F118</f>
        <v>0</v>
      </c>
    </row>
    <row r="97" spans="2:6" ht="15" customHeight="1" x14ac:dyDescent="0.3">
      <c r="B97" s="60" t="s">
        <v>3714</v>
      </c>
      <c r="C97" s="574" t="s">
        <v>430</v>
      </c>
      <c r="D97" s="195" t="s">
        <v>250</v>
      </c>
      <c r="E97" s="71">
        <f>SUM(E98:E117)</f>
        <v>0</v>
      </c>
      <c r="F97" s="74">
        <f>SUM(F98:F117)</f>
        <v>0</v>
      </c>
    </row>
    <row r="98" spans="2:6" s="167" customFormat="1" ht="15" customHeight="1" outlineLevel="1" x14ac:dyDescent="0.2">
      <c r="B98" s="60" t="s">
        <v>3715</v>
      </c>
      <c r="C98" s="571" t="s">
        <v>446</v>
      </c>
      <c r="D98" s="166" t="s">
        <v>258</v>
      </c>
      <c r="E98" s="154"/>
      <c r="F98" s="175"/>
    </row>
    <row r="99" spans="2:6" s="167" customFormat="1" ht="15" customHeight="1" outlineLevel="1" x14ac:dyDescent="0.2">
      <c r="B99" s="60" t="s">
        <v>3716</v>
      </c>
      <c r="C99" s="571" t="s">
        <v>447</v>
      </c>
      <c r="D99" s="166" t="s">
        <v>258</v>
      </c>
      <c r="E99" s="154"/>
      <c r="F99" s="175"/>
    </row>
    <row r="100" spans="2:6" s="167" customFormat="1" ht="15" customHeight="1" outlineLevel="1" x14ac:dyDescent="0.2">
      <c r="B100" s="60" t="s">
        <v>3717</v>
      </c>
      <c r="C100" s="571" t="s">
        <v>456</v>
      </c>
      <c r="D100" s="166" t="s">
        <v>258</v>
      </c>
      <c r="E100" s="154"/>
      <c r="F100" s="175"/>
    </row>
    <row r="101" spans="2:6" s="167" customFormat="1" ht="15" customHeight="1" outlineLevel="1" x14ac:dyDescent="0.2">
      <c r="B101" s="60" t="s">
        <v>3718</v>
      </c>
      <c r="C101" s="571" t="s">
        <v>528</v>
      </c>
      <c r="D101" s="166" t="s">
        <v>258</v>
      </c>
      <c r="E101" s="154"/>
      <c r="F101" s="175"/>
    </row>
    <row r="102" spans="2:6" s="167" customFormat="1" ht="15" customHeight="1" outlineLevel="1" x14ac:dyDescent="0.2">
      <c r="B102" s="60" t="s">
        <v>3719</v>
      </c>
      <c r="C102" s="571" t="s">
        <v>529</v>
      </c>
      <c r="D102" s="166" t="s">
        <v>258</v>
      </c>
      <c r="E102" s="154"/>
      <c r="F102" s="175"/>
    </row>
    <row r="103" spans="2:6" s="167" customFormat="1" ht="15" customHeight="1" outlineLevel="1" x14ac:dyDescent="0.2">
      <c r="B103" s="60" t="s">
        <v>3720</v>
      </c>
      <c r="C103" s="571" t="s">
        <v>530</v>
      </c>
      <c r="D103" s="166" t="s">
        <v>258</v>
      </c>
      <c r="E103" s="154"/>
      <c r="F103" s="175"/>
    </row>
    <row r="104" spans="2:6" s="167" customFormat="1" ht="15" customHeight="1" outlineLevel="1" x14ac:dyDescent="0.2">
      <c r="B104" s="60" t="s">
        <v>3721</v>
      </c>
      <c r="C104" s="571" t="s">
        <v>531</v>
      </c>
      <c r="D104" s="166" t="s">
        <v>258</v>
      </c>
      <c r="E104" s="154"/>
      <c r="F104" s="175"/>
    </row>
    <row r="105" spans="2:6" s="167" customFormat="1" ht="15" customHeight="1" outlineLevel="1" x14ac:dyDescent="0.2">
      <c r="B105" s="60" t="s">
        <v>3722</v>
      </c>
      <c r="C105" s="571" t="s">
        <v>532</v>
      </c>
      <c r="D105" s="166" t="s">
        <v>258</v>
      </c>
      <c r="E105" s="154"/>
      <c r="F105" s="175"/>
    </row>
    <row r="106" spans="2:6" s="167" customFormat="1" ht="15" customHeight="1" outlineLevel="1" x14ac:dyDescent="0.2">
      <c r="B106" s="60" t="s">
        <v>3723</v>
      </c>
      <c r="C106" s="571" t="s">
        <v>533</v>
      </c>
      <c r="D106" s="166" t="s">
        <v>258</v>
      </c>
      <c r="E106" s="154"/>
      <c r="F106" s="175"/>
    </row>
    <row r="107" spans="2:6" s="167" customFormat="1" ht="15" customHeight="1" outlineLevel="1" x14ac:dyDescent="0.2">
      <c r="B107" s="60" t="s">
        <v>3724</v>
      </c>
      <c r="C107" s="571" t="s">
        <v>534</v>
      </c>
      <c r="D107" s="166" t="s">
        <v>258</v>
      </c>
      <c r="E107" s="154"/>
      <c r="F107" s="175"/>
    </row>
    <row r="108" spans="2:6" s="167" customFormat="1" ht="15" customHeight="1" outlineLevel="1" x14ac:dyDescent="0.2">
      <c r="B108" s="60" t="s">
        <v>3725</v>
      </c>
      <c r="C108" s="571" t="s">
        <v>535</v>
      </c>
      <c r="D108" s="166" t="s">
        <v>258</v>
      </c>
      <c r="E108" s="154"/>
      <c r="F108" s="175"/>
    </row>
    <row r="109" spans="2:6" s="167" customFormat="1" ht="15" customHeight="1" outlineLevel="1" x14ac:dyDescent="0.2">
      <c r="B109" s="60" t="s">
        <v>3726</v>
      </c>
      <c r="C109" s="571" t="s">
        <v>536</v>
      </c>
      <c r="D109" s="166" t="s">
        <v>258</v>
      </c>
      <c r="E109" s="154"/>
      <c r="F109" s="175"/>
    </row>
    <row r="110" spans="2:6" s="167" customFormat="1" ht="15" customHeight="1" outlineLevel="1" x14ac:dyDescent="0.2">
      <c r="B110" s="60" t="s">
        <v>3727</v>
      </c>
      <c r="C110" s="571" t="s">
        <v>537</v>
      </c>
      <c r="D110" s="166" t="s">
        <v>258</v>
      </c>
      <c r="E110" s="154"/>
      <c r="F110" s="175"/>
    </row>
    <row r="111" spans="2:6" s="167" customFormat="1" ht="15" customHeight="1" outlineLevel="1" x14ac:dyDescent="0.2">
      <c r="B111" s="60" t="s">
        <v>3728</v>
      </c>
      <c r="C111" s="571" t="s">
        <v>538</v>
      </c>
      <c r="D111" s="166" t="s">
        <v>258</v>
      </c>
      <c r="E111" s="154"/>
      <c r="F111" s="175"/>
    </row>
    <row r="112" spans="2:6" s="167" customFormat="1" ht="15" customHeight="1" outlineLevel="1" x14ac:dyDescent="0.2">
      <c r="B112" s="60" t="s">
        <v>3729</v>
      </c>
      <c r="C112" s="571" t="s">
        <v>539</v>
      </c>
      <c r="D112" s="166" t="s">
        <v>258</v>
      </c>
      <c r="E112" s="154"/>
      <c r="F112" s="175"/>
    </row>
    <row r="113" spans="2:6" s="167" customFormat="1" ht="15" customHeight="1" outlineLevel="1" x14ac:dyDescent="0.2">
      <c r="B113" s="60" t="s">
        <v>3730</v>
      </c>
      <c r="C113" s="571" t="s">
        <v>540</v>
      </c>
      <c r="D113" s="166" t="s">
        <v>258</v>
      </c>
      <c r="E113" s="154"/>
      <c r="F113" s="175"/>
    </row>
    <row r="114" spans="2:6" s="167" customFormat="1" ht="15" customHeight="1" outlineLevel="1" x14ac:dyDescent="0.2">
      <c r="B114" s="60" t="s">
        <v>3731</v>
      </c>
      <c r="C114" s="571" t="s">
        <v>541</v>
      </c>
      <c r="D114" s="166" t="s">
        <v>258</v>
      </c>
      <c r="E114" s="154"/>
      <c r="F114" s="175"/>
    </row>
    <row r="115" spans="2:6" s="167" customFormat="1" ht="15" customHeight="1" outlineLevel="1" x14ac:dyDescent="0.2">
      <c r="B115" s="60" t="s">
        <v>3732</v>
      </c>
      <c r="C115" s="571" t="s">
        <v>542</v>
      </c>
      <c r="D115" s="166" t="s">
        <v>258</v>
      </c>
      <c r="E115" s="154"/>
      <c r="F115" s="175"/>
    </row>
    <row r="116" spans="2:6" s="167" customFormat="1" ht="15" customHeight="1" outlineLevel="1" x14ac:dyDescent="0.2">
      <c r="B116" s="60" t="s">
        <v>3733</v>
      </c>
      <c r="C116" s="571" t="s">
        <v>543</v>
      </c>
      <c r="D116" s="166" t="s">
        <v>258</v>
      </c>
      <c r="E116" s="154"/>
      <c r="F116" s="175"/>
    </row>
    <row r="117" spans="2:6" s="167" customFormat="1" ht="15" customHeight="1" outlineLevel="1" x14ac:dyDescent="0.2">
      <c r="B117" s="60" t="s">
        <v>3734</v>
      </c>
      <c r="C117" s="571" t="s">
        <v>544</v>
      </c>
      <c r="D117" s="166" t="s">
        <v>258</v>
      </c>
      <c r="E117" s="154"/>
      <c r="F117" s="175"/>
    </row>
    <row r="118" spans="2:6" ht="15" customHeight="1" x14ac:dyDescent="0.3">
      <c r="B118" s="60" t="s">
        <v>3735</v>
      </c>
      <c r="C118" s="574" t="s">
        <v>431</v>
      </c>
      <c r="D118" s="195" t="s">
        <v>254</v>
      </c>
      <c r="E118" s="71">
        <f>SUM(E119:E138)</f>
        <v>0</v>
      </c>
      <c r="F118" s="74">
        <f>SUM(F119:F138)</f>
        <v>0</v>
      </c>
    </row>
    <row r="119" spans="2:6" s="167" customFormat="1" ht="15" customHeight="1" outlineLevel="1" x14ac:dyDescent="0.2">
      <c r="B119" s="60" t="s">
        <v>3736</v>
      </c>
      <c r="C119" s="571" t="s">
        <v>452</v>
      </c>
      <c r="D119" s="166" t="s">
        <v>258</v>
      </c>
      <c r="E119" s="154"/>
      <c r="F119" s="175"/>
    </row>
    <row r="120" spans="2:6" s="167" customFormat="1" ht="15" customHeight="1" outlineLevel="1" x14ac:dyDescent="0.2">
      <c r="B120" s="60" t="s">
        <v>3737</v>
      </c>
      <c r="C120" s="571" t="s">
        <v>453</v>
      </c>
      <c r="D120" s="166" t="s">
        <v>258</v>
      </c>
      <c r="E120" s="154"/>
      <c r="F120" s="175"/>
    </row>
    <row r="121" spans="2:6" s="167" customFormat="1" ht="15" customHeight="1" outlineLevel="1" x14ac:dyDescent="0.2">
      <c r="B121" s="60" t="s">
        <v>3738</v>
      </c>
      <c r="C121" s="571" t="s">
        <v>457</v>
      </c>
      <c r="D121" s="166" t="s">
        <v>258</v>
      </c>
      <c r="E121" s="154"/>
      <c r="F121" s="175"/>
    </row>
    <row r="122" spans="2:6" s="167" customFormat="1" ht="15" customHeight="1" outlineLevel="1" x14ac:dyDescent="0.2">
      <c r="B122" s="60" t="s">
        <v>3739</v>
      </c>
      <c r="C122" s="571" t="s">
        <v>545</v>
      </c>
      <c r="D122" s="166" t="s">
        <v>258</v>
      </c>
      <c r="E122" s="154"/>
      <c r="F122" s="175"/>
    </row>
    <row r="123" spans="2:6" s="167" customFormat="1" ht="15" customHeight="1" outlineLevel="1" x14ac:dyDescent="0.2">
      <c r="B123" s="60" t="s">
        <v>3740</v>
      </c>
      <c r="C123" s="571" t="s">
        <v>546</v>
      </c>
      <c r="D123" s="166" t="s">
        <v>258</v>
      </c>
      <c r="E123" s="154"/>
      <c r="F123" s="175"/>
    </row>
    <row r="124" spans="2:6" s="167" customFormat="1" ht="15" customHeight="1" outlineLevel="1" x14ac:dyDescent="0.2">
      <c r="B124" s="60" t="s">
        <v>3741</v>
      </c>
      <c r="C124" s="571" t="s">
        <v>547</v>
      </c>
      <c r="D124" s="166" t="s">
        <v>258</v>
      </c>
      <c r="E124" s="154"/>
      <c r="F124" s="175"/>
    </row>
    <row r="125" spans="2:6" s="167" customFormat="1" ht="15" customHeight="1" outlineLevel="1" x14ac:dyDescent="0.2">
      <c r="B125" s="60" t="s">
        <v>3742</v>
      </c>
      <c r="C125" s="571" t="s">
        <v>548</v>
      </c>
      <c r="D125" s="166" t="s">
        <v>258</v>
      </c>
      <c r="E125" s="154"/>
      <c r="F125" s="175"/>
    </row>
    <row r="126" spans="2:6" s="167" customFormat="1" ht="15" customHeight="1" outlineLevel="1" x14ac:dyDescent="0.2">
      <c r="B126" s="60" t="s">
        <v>3743</v>
      </c>
      <c r="C126" s="571" t="s">
        <v>549</v>
      </c>
      <c r="D126" s="166" t="s">
        <v>258</v>
      </c>
      <c r="E126" s="154"/>
      <c r="F126" s="175"/>
    </row>
    <row r="127" spans="2:6" s="167" customFormat="1" ht="15" customHeight="1" outlineLevel="1" x14ac:dyDescent="0.2">
      <c r="B127" s="60" t="s">
        <v>3744</v>
      </c>
      <c r="C127" s="571" t="s">
        <v>550</v>
      </c>
      <c r="D127" s="166" t="s">
        <v>258</v>
      </c>
      <c r="E127" s="154"/>
      <c r="F127" s="175"/>
    </row>
    <row r="128" spans="2:6" s="167" customFormat="1" ht="15" customHeight="1" outlineLevel="1" x14ac:dyDescent="0.2">
      <c r="B128" s="60" t="s">
        <v>3745</v>
      </c>
      <c r="C128" s="571" t="s">
        <v>551</v>
      </c>
      <c r="D128" s="166" t="s">
        <v>258</v>
      </c>
      <c r="E128" s="154"/>
      <c r="F128" s="175"/>
    </row>
    <row r="129" spans="2:6" s="167" customFormat="1" ht="15" customHeight="1" outlineLevel="1" x14ac:dyDescent="0.2">
      <c r="B129" s="60" t="s">
        <v>3746</v>
      </c>
      <c r="C129" s="571" t="s">
        <v>552</v>
      </c>
      <c r="D129" s="166" t="s">
        <v>258</v>
      </c>
      <c r="E129" s="154"/>
      <c r="F129" s="175"/>
    </row>
    <row r="130" spans="2:6" s="167" customFormat="1" ht="15" customHeight="1" outlineLevel="1" x14ac:dyDescent="0.2">
      <c r="B130" s="60" t="s">
        <v>3747</v>
      </c>
      <c r="C130" s="571" t="s">
        <v>553</v>
      </c>
      <c r="D130" s="166" t="s">
        <v>258</v>
      </c>
      <c r="E130" s="154"/>
      <c r="F130" s="175"/>
    </row>
    <row r="131" spans="2:6" s="167" customFormat="1" ht="15" customHeight="1" outlineLevel="1" x14ac:dyDescent="0.2">
      <c r="B131" s="60" t="s">
        <v>3748</v>
      </c>
      <c r="C131" s="571" t="s">
        <v>554</v>
      </c>
      <c r="D131" s="166" t="s">
        <v>258</v>
      </c>
      <c r="E131" s="154"/>
      <c r="F131" s="175"/>
    </row>
    <row r="132" spans="2:6" s="167" customFormat="1" ht="15" customHeight="1" outlineLevel="1" x14ac:dyDescent="0.2">
      <c r="B132" s="60" t="s">
        <v>3749</v>
      </c>
      <c r="C132" s="571" t="s">
        <v>555</v>
      </c>
      <c r="D132" s="166" t="s">
        <v>258</v>
      </c>
      <c r="E132" s="154"/>
      <c r="F132" s="175"/>
    </row>
    <row r="133" spans="2:6" s="167" customFormat="1" ht="15" customHeight="1" outlineLevel="1" x14ac:dyDescent="0.2">
      <c r="B133" s="60" t="s">
        <v>3750</v>
      </c>
      <c r="C133" s="571" t="s">
        <v>556</v>
      </c>
      <c r="D133" s="166" t="s">
        <v>258</v>
      </c>
      <c r="E133" s="154"/>
      <c r="F133" s="175"/>
    </row>
    <row r="134" spans="2:6" s="167" customFormat="1" ht="15" customHeight="1" outlineLevel="1" x14ac:dyDescent="0.2">
      <c r="B134" s="60" t="s">
        <v>3751</v>
      </c>
      <c r="C134" s="571" t="s">
        <v>557</v>
      </c>
      <c r="D134" s="166" t="s">
        <v>258</v>
      </c>
      <c r="E134" s="154"/>
      <c r="F134" s="175"/>
    </row>
    <row r="135" spans="2:6" s="167" customFormat="1" ht="15" customHeight="1" outlineLevel="1" x14ac:dyDescent="0.2">
      <c r="B135" s="60" t="s">
        <v>3752</v>
      </c>
      <c r="C135" s="571" t="s">
        <v>558</v>
      </c>
      <c r="D135" s="166" t="s">
        <v>258</v>
      </c>
      <c r="E135" s="154"/>
      <c r="F135" s="175"/>
    </row>
    <row r="136" spans="2:6" s="167" customFormat="1" ht="15" customHeight="1" outlineLevel="1" x14ac:dyDescent="0.2">
      <c r="B136" s="60" t="s">
        <v>3753</v>
      </c>
      <c r="C136" s="571" t="s">
        <v>559</v>
      </c>
      <c r="D136" s="166" t="s">
        <v>258</v>
      </c>
      <c r="E136" s="154"/>
      <c r="F136" s="175"/>
    </row>
    <row r="137" spans="2:6" s="167" customFormat="1" ht="15" customHeight="1" outlineLevel="1" x14ac:dyDescent="0.2">
      <c r="B137" s="60" t="s">
        <v>3754</v>
      </c>
      <c r="C137" s="571" t="s">
        <v>560</v>
      </c>
      <c r="D137" s="166" t="s">
        <v>258</v>
      </c>
      <c r="E137" s="154"/>
      <c r="F137" s="175"/>
    </row>
    <row r="138" spans="2:6" s="167" customFormat="1" ht="15" customHeight="1" outlineLevel="1" x14ac:dyDescent="0.2">
      <c r="B138" s="60" t="s">
        <v>3755</v>
      </c>
      <c r="C138" s="571" t="s">
        <v>561</v>
      </c>
      <c r="D138" s="166" t="s">
        <v>258</v>
      </c>
      <c r="E138" s="154"/>
      <c r="F138" s="175"/>
    </row>
    <row r="139" spans="2:6" s="48" customFormat="1" ht="15" customHeight="1" collapsed="1" x14ac:dyDescent="0.3">
      <c r="B139" s="60" t="s">
        <v>3756</v>
      </c>
      <c r="C139" s="562">
        <v>2</v>
      </c>
      <c r="D139" s="189" t="s">
        <v>259</v>
      </c>
      <c r="E139" s="185">
        <f>E140+E161</f>
        <v>0</v>
      </c>
      <c r="F139" s="186">
        <f>F140+F161</f>
        <v>0</v>
      </c>
    </row>
    <row r="140" spans="2:6" s="134" customFormat="1" ht="15" customHeight="1" x14ac:dyDescent="0.2">
      <c r="B140" s="60" t="s">
        <v>3757</v>
      </c>
      <c r="C140" s="512" t="s">
        <v>424</v>
      </c>
      <c r="D140" s="164" t="s">
        <v>250</v>
      </c>
      <c r="E140" s="91">
        <f>SUM(E141:E160)</f>
        <v>0</v>
      </c>
      <c r="F140" s="92">
        <f>SUM(F141:F160)</f>
        <v>0</v>
      </c>
    </row>
    <row r="141" spans="2:6" s="167" customFormat="1" ht="15" customHeight="1" outlineLevel="1" x14ac:dyDescent="0.2">
      <c r="B141" s="60" t="s">
        <v>3758</v>
      </c>
      <c r="C141" s="506" t="s">
        <v>448</v>
      </c>
      <c r="D141" s="151" t="s">
        <v>260</v>
      </c>
      <c r="E141" s="154"/>
      <c r="F141" s="175"/>
    </row>
    <row r="142" spans="2:6" s="167" customFormat="1" ht="15" customHeight="1" outlineLevel="1" x14ac:dyDescent="0.2">
      <c r="B142" s="60" t="s">
        <v>3759</v>
      </c>
      <c r="C142" s="506" t="s">
        <v>449</v>
      </c>
      <c r="D142" s="151" t="s">
        <v>260</v>
      </c>
      <c r="E142" s="154"/>
      <c r="F142" s="175"/>
    </row>
    <row r="143" spans="2:6" s="167" customFormat="1" ht="15" customHeight="1" outlineLevel="1" x14ac:dyDescent="0.2">
      <c r="B143" s="60" t="s">
        <v>3760</v>
      </c>
      <c r="C143" s="506" t="s">
        <v>562</v>
      </c>
      <c r="D143" s="151" t="s">
        <v>260</v>
      </c>
      <c r="E143" s="154"/>
      <c r="F143" s="175"/>
    </row>
    <row r="144" spans="2:6" s="167" customFormat="1" ht="15" customHeight="1" outlineLevel="1" x14ac:dyDescent="0.2">
      <c r="B144" s="60" t="s">
        <v>3761</v>
      </c>
      <c r="C144" s="506" t="s">
        <v>563</v>
      </c>
      <c r="D144" s="151" t="s">
        <v>260</v>
      </c>
      <c r="E144" s="154"/>
      <c r="F144" s="175"/>
    </row>
    <row r="145" spans="2:6" s="167" customFormat="1" ht="15" customHeight="1" outlineLevel="1" x14ac:dyDescent="0.2">
      <c r="B145" s="60" t="s">
        <v>3762</v>
      </c>
      <c r="C145" s="506" t="s">
        <v>564</v>
      </c>
      <c r="D145" s="151" t="s">
        <v>260</v>
      </c>
      <c r="E145" s="154"/>
      <c r="F145" s="175"/>
    </row>
    <row r="146" spans="2:6" s="167" customFormat="1" ht="15" customHeight="1" outlineLevel="1" x14ac:dyDescent="0.2">
      <c r="B146" s="60" t="s">
        <v>3763</v>
      </c>
      <c r="C146" s="506" t="s">
        <v>565</v>
      </c>
      <c r="D146" s="151" t="s">
        <v>260</v>
      </c>
      <c r="E146" s="154"/>
      <c r="F146" s="175"/>
    </row>
    <row r="147" spans="2:6" s="167" customFormat="1" ht="15" customHeight="1" outlineLevel="1" x14ac:dyDescent="0.2">
      <c r="B147" s="60" t="s">
        <v>3764</v>
      </c>
      <c r="C147" s="506" t="s">
        <v>566</v>
      </c>
      <c r="D147" s="151" t="s">
        <v>260</v>
      </c>
      <c r="E147" s="154"/>
      <c r="F147" s="175"/>
    </row>
    <row r="148" spans="2:6" s="167" customFormat="1" ht="15" customHeight="1" outlineLevel="1" x14ac:dyDescent="0.2">
      <c r="B148" s="60" t="s">
        <v>3765</v>
      </c>
      <c r="C148" s="506" t="s">
        <v>567</v>
      </c>
      <c r="D148" s="151" t="s">
        <v>260</v>
      </c>
      <c r="E148" s="154"/>
      <c r="F148" s="175"/>
    </row>
    <row r="149" spans="2:6" s="167" customFormat="1" ht="15" customHeight="1" outlineLevel="1" x14ac:dyDescent="0.2">
      <c r="B149" s="60" t="s">
        <v>3766</v>
      </c>
      <c r="C149" s="506" t="s">
        <v>568</v>
      </c>
      <c r="D149" s="151" t="s">
        <v>260</v>
      </c>
      <c r="E149" s="154"/>
      <c r="F149" s="175"/>
    </row>
    <row r="150" spans="2:6" s="167" customFormat="1" ht="15" customHeight="1" outlineLevel="1" x14ac:dyDescent="0.2">
      <c r="B150" s="60" t="s">
        <v>3767</v>
      </c>
      <c r="C150" s="506" t="s">
        <v>569</v>
      </c>
      <c r="D150" s="151" t="s">
        <v>260</v>
      </c>
      <c r="E150" s="154"/>
      <c r="F150" s="175"/>
    </row>
    <row r="151" spans="2:6" s="167" customFormat="1" ht="15" customHeight="1" outlineLevel="1" x14ac:dyDescent="0.2">
      <c r="B151" s="60" t="s">
        <v>3768</v>
      </c>
      <c r="C151" s="506" t="s">
        <v>570</v>
      </c>
      <c r="D151" s="151" t="s">
        <v>260</v>
      </c>
      <c r="E151" s="154"/>
      <c r="F151" s="175"/>
    </row>
    <row r="152" spans="2:6" s="167" customFormat="1" ht="15" customHeight="1" outlineLevel="1" x14ac:dyDescent="0.2">
      <c r="B152" s="60" t="s">
        <v>3769</v>
      </c>
      <c r="C152" s="506" t="s">
        <v>571</v>
      </c>
      <c r="D152" s="151" t="s">
        <v>260</v>
      </c>
      <c r="E152" s="154"/>
      <c r="F152" s="175"/>
    </row>
    <row r="153" spans="2:6" s="167" customFormat="1" ht="15" customHeight="1" outlineLevel="1" x14ac:dyDescent="0.2">
      <c r="B153" s="60" t="s">
        <v>3770</v>
      </c>
      <c r="C153" s="506" t="s">
        <v>572</v>
      </c>
      <c r="D153" s="151" t="s">
        <v>260</v>
      </c>
      <c r="E153" s="154"/>
      <c r="F153" s="175"/>
    </row>
    <row r="154" spans="2:6" s="167" customFormat="1" ht="15" customHeight="1" outlineLevel="1" x14ac:dyDescent="0.2">
      <c r="B154" s="60" t="s">
        <v>3771</v>
      </c>
      <c r="C154" s="506" t="s">
        <v>573</v>
      </c>
      <c r="D154" s="151" t="s">
        <v>260</v>
      </c>
      <c r="E154" s="154"/>
      <c r="F154" s="175"/>
    </row>
    <row r="155" spans="2:6" s="167" customFormat="1" ht="15" customHeight="1" outlineLevel="1" x14ac:dyDescent="0.2">
      <c r="B155" s="60" t="s">
        <v>3772</v>
      </c>
      <c r="C155" s="506" t="s">
        <v>574</v>
      </c>
      <c r="D155" s="151" t="s">
        <v>260</v>
      </c>
      <c r="E155" s="154"/>
      <c r="F155" s="175"/>
    </row>
    <row r="156" spans="2:6" s="167" customFormat="1" ht="15" customHeight="1" outlineLevel="1" x14ac:dyDescent="0.2">
      <c r="B156" s="60" t="s">
        <v>3773</v>
      </c>
      <c r="C156" s="506" t="s">
        <v>575</v>
      </c>
      <c r="D156" s="151" t="s">
        <v>260</v>
      </c>
      <c r="E156" s="154"/>
      <c r="F156" s="175"/>
    </row>
    <row r="157" spans="2:6" s="167" customFormat="1" ht="15" customHeight="1" outlineLevel="1" x14ac:dyDescent="0.2">
      <c r="B157" s="60" t="s">
        <v>3774</v>
      </c>
      <c r="C157" s="506" t="s">
        <v>576</v>
      </c>
      <c r="D157" s="151" t="s">
        <v>260</v>
      </c>
      <c r="E157" s="154"/>
      <c r="F157" s="175"/>
    </row>
    <row r="158" spans="2:6" s="167" customFormat="1" ht="15" customHeight="1" outlineLevel="1" x14ac:dyDescent="0.2">
      <c r="B158" s="60" t="s">
        <v>3775</v>
      </c>
      <c r="C158" s="506" t="s">
        <v>577</v>
      </c>
      <c r="D158" s="151" t="s">
        <v>260</v>
      </c>
      <c r="E158" s="154"/>
      <c r="F158" s="175"/>
    </row>
    <row r="159" spans="2:6" s="167" customFormat="1" ht="15" customHeight="1" outlineLevel="1" x14ac:dyDescent="0.2">
      <c r="B159" s="60" t="s">
        <v>3776</v>
      </c>
      <c r="C159" s="506" t="s">
        <v>578</v>
      </c>
      <c r="D159" s="151" t="s">
        <v>260</v>
      </c>
      <c r="E159" s="154"/>
      <c r="F159" s="175"/>
    </row>
    <row r="160" spans="2:6" s="167" customFormat="1" ht="15" customHeight="1" outlineLevel="1" x14ac:dyDescent="0.2">
      <c r="B160" s="60" t="s">
        <v>3777</v>
      </c>
      <c r="C160" s="506" t="s">
        <v>579</v>
      </c>
      <c r="D160" s="151" t="s">
        <v>260</v>
      </c>
      <c r="E160" s="154"/>
      <c r="F160" s="175"/>
    </row>
    <row r="161" spans="2:6" s="134" customFormat="1" ht="15" customHeight="1" x14ac:dyDescent="0.2">
      <c r="B161" s="60" t="s">
        <v>3778</v>
      </c>
      <c r="C161" s="512" t="s">
        <v>425</v>
      </c>
      <c r="D161" s="164" t="s">
        <v>254</v>
      </c>
      <c r="E161" s="91">
        <f>SUM(E162:E181)</f>
        <v>0</v>
      </c>
      <c r="F161" s="92">
        <f>SUM(F162:F181)</f>
        <v>0</v>
      </c>
    </row>
    <row r="162" spans="2:6" s="167" customFormat="1" ht="15" customHeight="1" outlineLevel="1" x14ac:dyDescent="0.2">
      <c r="B162" s="60" t="s">
        <v>3779</v>
      </c>
      <c r="C162" s="506" t="s">
        <v>580</v>
      </c>
      <c r="D162" s="151" t="s">
        <v>260</v>
      </c>
      <c r="E162" s="154"/>
      <c r="F162" s="175"/>
    </row>
    <row r="163" spans="2:6" s="167" customFormat="1" ht="15" customHeight="1" outlineLevel="1" x14ac:dyDescent="0.2">
      <c r="B163" s="60" t="s">
        <v>3780</v>
      </c>
      <c r="C163" s="506" t="s">
        <v>581</v>
      </c>
      <c r="D163" s="151" t="s">
        <v>260</v>
      </c>
      <c r="E163" s="154"/>
      <c r="F163" s="175"/>
    </row>
    <row r="164" spans="2:6" s="167" customFormat="1" ht="15" customHeight="1" outlineLevel="1" x14ac:dyDescent="0.2">
      <c r="B164" s="60" t="s">
        <v>3781</v>
      </c>
      <c r="C164" s="506" t="s">
        <v>582</v>
      </c>
      <c r="D164" s="151" t="s">
        <v>260</v>
      </c>
      <c r="E164" s="154"/>
      <c r="F164" s="175"/>
    </row>
    <row r="165" spans="2:6" s="167" customFormat="1" ht="15" customHeight="1" outlineLevel="1" x14ac:dyDescent="0.2">
      <c r="B165" s="60" t="s">
        <v>3782</v>
      </c>
      <c r="C165" s="506" t="s">
        <v>583</v>
      </c>
      <c r="D165" s="151" t="s">
        <v>260</v>
      </c>
      <c r="E165" s="154"/>
      <c r="F165" s="175"/>
    </row>
    <row r="166" spans="2:6" s="167" customFormat="1" ht="15" customHeight="1" outlineLevel="1" x14ac:dyDescent="0.2">
      <c r="B166" s="60" t="s">
        <v>3783</v>
      </c>
      <c r="C166" s="506" t="s">
        <v>584</v>
      </c>
      <c r="D166" s="151" t="s">
        <v>260</v>
      </c>
      <c r="E166" s="154"/>
      <c r="F166" s="175"/>
    </row>
    <row r="167" spans="2:6" s="167" customFormat="1" ht="15" customHeight="1" outlineLevel="1" x14ac:dyDescent="0.2">
      <c r="B167" s="60" t="s">
        <v>3784</v>
      </c>
      <c r="C167" s="506" t="s">
        <v>585</v>
      </c>
      <c r="D167" s="151" t="s">
        <v>260</v>
      </c>
      <c r="E167" s="154"/>
      <c r="F167" s="175"/>
    </row>
    <row r="168" spans="2:6" s="167" customFormat="1" ht="15" customHeight="1" outlineLevel="1" x14ac:dyDescent="0.2">
      <c r="B168" s="60" t="s">
        <v>3785</v>
      </c>
      <c r="C168" s="506" t="s">
        <v>586</v>
      </c>
      <c r="D168" s="151" t="s">
        <v>260</v>
      </c>
      <c r="E168" s="154"/>
      <c r="F168" s="175"/>
    </row>
    <row r="169" spans="2:6" s="167" customFormat="1" ht="15" customHeight="1" outlineLevel="1" x14ac:dyDescent="0.2">
      <c r="B169" s="60" t="s">
        <v>3786</v>
      </c>
      <c r="C169" s="506" t="s">
        <v>587</v>
      </c>
      <c r="D169" s="151" t="s">
        <v>260</v>
      </c>
      <c r="E169" s="154"/>
      <c r="F169" s="175"/>
    </row>
    <row r="170" spans="2:6" s="167" customFormat="1" ht="15" customHeight="1" outlineLevel="1" x14ac:dyDescent="0.2">
      <c r="B170" s="60" t="s">
        <v>3787</v>
      </c>
      <c r="C170" s="506" t="s">
        <v>588</v>
      </c>
      <c r="D170" s="151" t="s">
        <v>260</v>
      </c>
      <c r="E170" s="154"/>
      <c r="F170" s="175"/>
    </row>
    <row r="171" spans="2:6" s="167" customFormat="1" ht="15" customHeight="1" outlineLevel="1" x14ac:dyDescent="0.2">
      <c r="B171" s="60" t="s">
        <v>3788</v>
      </c>
      <c r="C171" s="506" t="s">
        <v>589</v>
      </c>
      <c r="D171" s="151" t="s">
        <v>260</v>
      </c>
      <c r="E171" s="154"/>
      <c r="F171" s="175"/>
    </row>
    <row r="172" spans="2:6" s="167" customFormat="1" ht="15" customHeight="1" outlineLevel="1" x14ac:dyDescent="0.2">
      <c r="B172" s="60" t="s">
        <v>3789</v>
      </c>
      <c r="C172" s="506" t="s">
        <v>590</v>
      </c>
      <c r="D172" s="151" t="s">
        <v>260</v>
      </c>
      <c r="E172" s="154"/>
      <c r="F172" s="175"/>
    </row>
    <row r="173" spans="2:6" s="167" customFormat="1" ht="15" customHeight="1" outlineLevel="1" x14ac:dyDescent="0.2">
      <c r="B173" s="60" t="s">
        <v>3790</v>
      </c>
      <c r="C173" s="506" t="s">
        <v>591</v>
      </c>
      <c r="D173" s="151" t="s">
        <v>260</v>
      </c>
      <c r="E173" s="154"/>
      <c r="F173" s="175"/>
    </row>
    <row r="174" spans="2:6" s="167" customFormat="1" ht="15" customHeight="1" outlineLevel="1" x14ac:dyDescent="0.2">
      <c r="B174" s="60" t="s">
        <v>3791</v>
      </c>
      <c r="C174" s="506" t="s">
        <v>592</v>
      </c>
      <c r="D174" s="151" t="s">
        <v>260</v>
      </c>
      <c r="E174" s="154"/>
      <c r="F174" s="175"/>
    </row>
    <row r="175" spans="2:6" s="167" customFormat="1" ht="15" customHeight="1" outlineLevel="1" x14ac:dyDescent="0.2">
      <c r="B175" s="60" t="s">
        <v>3792</v>
      </c>
      <c r="C175" s="506" t="s">
        <v>593</v>
      </c>
      <c r="D175" s="151" t="s">
        <v>260</v>
      </c>
      <c r="E175" s="154"/>
      <c r="F175" s="175"/>
    </row>
    <row r="176" spans="2:6" s="167" customFormat="1" ht="15" customHeight="1" outlineLevel="1" x14ac:dyDescent="0.2">
      <c r="B176" s="60" t="s">
        <v>3793</v>
      </c>
      <c r="C176" s="506" t="s">
        <v>594</v>
      </c>
      <c r="D176" s="151" t="s">
        <v>260</v>
      </c>
      <c r="E176" s="154"/>
      <c r="F176" s="175"/>
    </row>
    <row r="177" spans="2:6" s="167" customFormat="1" ht="15" customHeight="1" outlineLevel="1" x14ac:dyDescent="0.2">
      <c r="B177" s="60" t="s">
        <v>3794</v>
      </c>
      <c r="C177" s="506" t="s">
        <v>595</v>
      </c>
      <c r="D177" s="151" t="s">
        <v>260</v>
      </c>
      <c r="E177" s="154"/>
      <c r="F177" s="175"/>
    </row>
    <row r="178" spans="2:6" s="167" customFormat="1" ht="15" customHeight="1" outlineLevel="1" x14ac:dyDescent="0.2">
      <c r="B178" s="60" t="s">
        <v>3795</v>
      </c>
      <c r="C178" s="506" t="s">
        <v>596</v>
      </c>
      <c r="D178" s="151" t="s">
        <v>260</v>
      </c>
      <c r="E178" s="154"/>
      <c r="F178" s="175"/>
    </row>
    <row r="179" spans="2:6" s="167" customFormat="1" ht="15" customHeight="1" outlineLevel="1" x14ac:dyDescent="0.2">
      <c r="B179" s="60" t="s">
        <v>3796</v>
      </c>
      <c r="C179" s="506" t="s">
        <v>597</v>
      </c>
      <c r="D179" s="151" t="s">
        <v>260</v>
      </c>
      <c r="E179" s="154"/>
      <c r="F179" s="175"/>
    </row>
    <row r="180" spans="2:6" s="167" customFormat="1" ht="15" customHeight="1" outlineLevel="1" x14ac:dyDescent="0.2">
      <c r="B180" s="60" t="s">
        <v>3797</v>
      </c>
      <c r="C180" s="506" t="s">
        <v>598</v>
      </c>
      <c r="D180" s="151" t="s">
        <v>260</v>
      </c>
      <c r="E180" s="154"/>
      <c r="F180" s="175"/>
    </row>
    <row r="181" spans="2:6" s="167" customFormat="1" ht="15" customHeight="1" outlineLevel="1" x14ac:dyDescent="0.2">
      <c r="B181" s="60" t="s">
        <v>3798</v>
      </c>
      <c r="C181" s="506" t="s">
        <v>599</v>
      </c>
      <c r="D181" s="151" t="s">
        <v>260</v>
      </c>
      <c r="E181" s="154"/>
      <c r="F181" s="175"/>
    </row>
    <row r="182" spans="2:6" s="132" customFormat="1" ht="15" customHeight="1" collapsed="1" x14ac:dyDescent="0.2">
      <c r="B182" s="60" t="s">
        <v>3799</v>
      </c>
      <c r="C182" s="397">
        <v>3</v>
      </c>
      <c r="D182" s="94" t="s">
        <v>261</v>
      </c>
      <c r="E182" s="635">
        <f>E183+E204</f>
        <v>0</v>
      </c>
      <c r="F182" s="638">
        <f>F183+F204</f>
        <v>0</v>
      </c>
    </row>
    <row r="183" spans="2:6" s="134" customFormat="1" ht="15" customHeight="1" x14ac:dyDescent="0.2">
      <c r="B183" s="60" t="s">
        <v>3800</v>
      </c>
      <c r="C183" s="512" t="s">
        <v>409</v>
      </c>
      <c r="D183" s="164" t="s">
        <v>250</v>
      </c>
      <c r="E183" s="91">
        <f>SUM(E184:E203)</f>
        <v>0</v>
      </c>
      <c r="F183" s="92">
        <f>SUM(F184:F203)</f>
        <v>0</v>
      </c>
    </row>
    <row r="184" spans="2:6" s="167" customFormat="1" ht="15" customHeight="1" outlineLevel="1" x14ac:dyDescent="0.2">
      <c r="B184" s="60" t="s">
        <v>3801</v>
      </c>
      <c r="C184" s="506" t="s">
        <v>450</v>
      </c>
      <c r="D184" s="151" t="s">
        <v>260</v>
      </c>
      <c r="E184" s="154"/>
      <c r="F184" s="175"/>
    </row>
    <row r="185" spans="2:6" s="167" customFormat="1" ht="15" customHeight="1" outlineLevel="1" x14ac:dyDescent="0.2">
      <c r="B185" s="60" t="s">
        <v>3802</v>
      </c>
      <c r="C185" s="506" t="s">
        <v>451</v>
      </c>
      <c r="D185" s="151" t="s">
        <v>260</v>
      </c>
      <c r="E185" s="154"/>
      <c r="F185" s="175"/>
    </row>
    <row r="186" spans="2:6" s="167" customFormat="1" ht="15" customHeight="1" outlineLevel="1" x14ac:dyDescent="0.2">
      <c r="B186" s="60" t="s">
        <v>3803</v>
      </c>
      <c r="C186" s="506" t="s">
        <v>458</v>
      </c>
      <c r="D186" s="151" t="s">
        <v>260</v>
      </c>
      <c r="E186" s="154"/>
      <c r="F186" s="175"/>
    </row>
    <row r="187" spans="2:6" s="167" customFormat="1" ht="15" customHeight="1" outlineLevel="1" x14ac:dyDescent="0.2">
      <c r="B187" s="60" t="s">
        <v>3804</v>
      </c>
      <c r="C187" s="506" t="s">
        <v>600</v>
      </c>
      <c r="D187" s="151" t="s">
        <v>260</v>
      </c>
      <c r="E187" s="154"/>
      <c r="F187" s="175"/>
    </row>
    <row r="188" spans="2:6" s="167" customFormat="1" ht="15" customHeight="1" outlineLevel="1" x14ac:dyDescent="0.2">
      <c r="B188" s="60" t="s">
        <v>3805</v>
      </c>
      <c r="C188" s="506" t="s">
        <v>601</v>
      </c>
      <c r="D188" s="151" t="s">
        <v>260</v>
      </c>
      <c r="E188" s="154"/>
      <c r="F188" s="175"/>
    </row>
    <row r="189" spans="2:6" s="167" customFormat="1" ht="15" customHeight="1" outlineLevel="1" x14ac:dyDescent="0.2">
      <c r="B189" s="60" t="s">
        <v>3806</v>
      </c>
      <c r="C189" s="506" t="s">
        <v>602</v>
      </c>
      <c r="D189" s="151" t="s">
        <v>260</v>
      </c>
      <c r="E189" s="154"/>
      <c r="F189" s="175"/>
    </row>
    <row r="190" spans="2:6" s="167" customFormat="1" ht="15" customHeight="1" outlineLevel="1" x14ac:dyDescent="0.2">
      <c r="B190" s="60" t="s">
        <v>3807</v>
      </c>
      <c r="C190" s="506" t="s">
        <v>603</v>
      </c>
      <c r="D190" s="151" t="s">
        <v>260</v>
      </c>
      <c r="E190" s="154"/>
      <c r="F190" s="175"/>
    </row>
    <row r="191" spans="2:6" s="167" customFormat="1" ht="15" customHeight="1" outlineLevel="1" x14ac:dyDescent="0.2">
      <c r="B191" s="60" t="s">
        <v>3808</v>
      </c>
      <c r="C191" s="506" t="s">
        <v>604</v>
      </c>
      <c r="D191" s="151" t="s">
        <v>260</v>
      </c>
      <c r="E191" s="154"/>
      <c r="F191" s="175"/>
    </row>
    <row r="192" spans="2:6" s="167" customFormat="1" ht="15" customHeight="1" outlineLevel="1" x14ac:dyDescent="0.2">
      <c r="B192" s="60" t="s">
        <v>3809</v>
      </c>
      <c r="C192" s="506" t="s">
        <v>605</v>
      </c>
      <c r="D192" s="151" t="s">
        <v>260</v>
      </c>
      <c r="E192" s="154"/>
      <c r="F192" s="175"/>
    </row>
    <row r="193" spans="2:6" s="167" customFormat="1" ht="15" customHeight="1" outlineLevel="1" x14ac:dyDescent="0.2">
      <c r="B193" s="60" t="s">
        <v>3810</v>
      </c>
      <c r="C193" s="506" t="s">
        <v>606</v>
      </c>
      <c r="D193" s="151" t="s">
        <v>260</v>
      </c>
      <c r="E193" s="154"/>
      <c r="F193" s="175"/>
    </row>
    <row r="194" spans="2:6" s="167" customFormat="1" ht="15" customHeight="1" outlineLevel="1" x14ac:dyDescent="0.2">
      <c r="B194" s="60" t="s">
        <v>3811</v>
      </c>
      <c r="C194" s="506" t="s">
        <v>607</v>
      </c>
      <c r="D194" s="151" t="s">
        <v>260</v>
      </c>
      <c r="E194" s="154"/>
      <c r="F194" s="175"/>
    </row>
    <row r="195" spans="2:6" s="167" customFormat="1" ht="15" customHeight="1" outlineLevel="1" x14ac:dyDescent="0.2">
      <c r="B195" s="60" t="s">
        <v>3812</v>
      </c>
      <c r="C195" s="506" t="s">
        <v>608</v>
      </c>
      <c r="D195" s="151" t="s">
        <v>260</v>
      </c>
      <c r="E195" s="154"/>
      <c r="F195" s="175"/>
    </row>
    <row r="196" spans="2:6" s="167" customFormat="1" ht="15" customHeight="1" outlineLevel="1" x14ac:dyDescent="0.2">
      <c r="B196" s="60" t="s">
        <v>3813</v>
      </c>
      <c r="C196" s="506" t="s">
        <v>609</v>
      </c>
      <c r="D196" s="151" t="s">
        <v>260</v>
      </c>
      <c r="E196" s="154"/>
      <c r="F196" s="175"/>
    </row>
    <row r="197" spans="2:6" s="167" customFormat="1" ht="15" customHeight="1" outlineLevel="1" x14ac:dyDescent="0.2">
      <c r="B197" s="60" t="s">
        <v>3814</v>
      </c>
      <c r="C197" s="506" t="s">
        <v>610</v>
      </c>
      <c r="D197" s="151" t="s">
        <v>260</v>
      </c>
      <c r="E197" s="154"/>
      <c r="F197" s="175"/>
    </row>
    <row r="198" spans="2:6" s="167" customFormat="1" ht="15" customHeight="1" outlineLevel="1" x14ac:dyDescent="0.2">
      <c r="B198" s="60" t="s">
        <v>3815</v>
      </c>
      <c r="C198" s="506" t="s">
        <v>611</v>
      </c>
      <c r="D198" s="151" t="s">
        <v>260</v>
      </c>
      <c r="E198" s="154"/>
      <c r="F198" s="175"/>
    </row>
    <row r="199" spans="2:6" s="167" customFormat="1" ht="15" customHeight="1" outlineLevel="1" x14ac:dyDescent="0.2">
      <c r="B199" s="60" t="s">
        <v>3816</v>
      </c>
      <c r="C199" s="506" t="s">
        <v>612</v>
      </c>
      <c r="D199" s="151" t="s">
        <v>260</v>
      </c>
      <c r="E199" s="154"/>
      <c r="F199" s="175"/>
    </row>
    <row r="200" spans="2:6" s="167" customFormat="1" ht="15" customHeight="1" outlineLevel="1" x14ac:dyDescent="0.2">
      <c r="B200" s="60" t="s">
        <v>3817</v>
      </c>
      <c r="C200" s="506" t="s">
        <v>613</v>
      </c>
      <c r="D200" s="151" t="s">
        <v>260</v>
      </c>
      <c r="E200" s="154"/>
      <c r="F200" s="175"/>
    </row>
    <row r="201" spans="2:6" s="167" customFormat="1" ht="15" customHeight="1" outlineLevel="1" x14ac:dyDescent="0.2">
      <c r="B201" s="60" t="s">
        <v>3818</v>
      </c>
      <c r="C201" s="506" t="s">
        <v>614</v>
      </c>
      <c r="D201" s="151" t="s">
        <v>260</v>
      </c>
      <c r="E201" s="154"/>
      <c r="F201" s="175"/>
    </row>
    <row r="202" spans="2:6" s="167" customFormat="1" ht="15" customHeight="1" outlineLevel="1" x14ac:dyDescent="0.2">
      <c r="B202" s="60" t="s">
        <v>3819</v>
      </c>
      <c r="C202" s="506" t="s">
        <v>615</v>
      </c>
      <c r="D202" s="151" t="s">
        <v>260</v>
      </c>
      <c r="E202" s="154"/>
      <c r="F202" s="175"/>
    </row>
    <row r="203" spans="2:6" s="167" customFormat="1" ht="15" customHeight="1" outlineLevel="1" x14ac:dyDescent="0.2">
      <c r="B203" s="60" t="s">
        <v>3820</v>
      </c>
      <c r="C203" s="506" t="s">
        <v>616</v>
      </c>
      <c r="D203" s="151" t="s">
        <v>260</v>
      </c>
      <c r="E203" s="154"/>
      <c r="F203" s="175"/>
    </row>
    <row r="204" spans="2:6" s="134" customFormat="1" ht="15" customHeight="1" x14ac:dyDescent="0.2">
      <c r="B204" s="60" t="s">
        <v>3821</v>
      </c>
      <c r="C204" s="512" t="s">
        <v>410</v>
      </c>
      <c r="D204" s="164" t="s">
        <v>254</v>
      </c>
      <c r="E204" s="91">
        <f>SUM(E205:E224)</f>
        <v>0</v>
      </c>
      <c r="F204" s="92">
        <f>SUM(F205:F224)</f>
        <v>0</v>
      </c>
    </row>
    <row r="205" spans="2:6" s="167" customFormat="1" ht="15" customHeight="1" outlineLevel="1" x14ac:dyDescent="0.2">
      <c r="B205" s="60" t="s">
        <v>3822</v>
      </c>
      <c r="C205" s="506" t="s">
        <v>454</v>
      </c>
      <c r="D205" s="151" t="s">
        <v>260</v>
      </c>
      <c r="E205" s="154"/>
      <c r="F205" s="175"/>
    </row>
    <row r="206" spans="2:6" s="167" customFormat="1" ht="15" customHeight="1" outlineLevel="1" x14ac:dyDescent="0.2">
      <c r="B206" s="60" t="s">
        <v>3823</v>
      </c>
      <c r="C206" s="506" t="s">
        <v>455</v>
      </c>
      <c r="D206" s="151" t="s">
        <v>260</v>
      </c>
      <c r="E206" s="154"/>
      <c r="F206" s="175"/>
    </row>
    <row r="207" spans="2:6" s="167" customFormat="1" ht="15" customHeight="1" outlineLevel="1" x14ac:dyDescent="0.2">
      <c r="B207" s="60" t="s">
        <v>3824</v>
      </c>
      <c r="C207" s="506" t="s">
        <v>459</v>
      </c>
      <c r="D207" s="151" t="s">
        <v>260</v>
      </c>
      <c r="E207" s="154"/>
      <c r="F207" s="175"/>
    </row>
    <row r="208" spans="2:6" s="167" customFormat="1" ht="15" customHeight="1" outlineLevel="1" x14ac:dyDescent="0.2">
      <c r="B208" s="60" t="s">
        <v>3825</v>
      </c>
      <c r="C208" s="506" t="s">
        <v>617</v>
      </c>
      <c r="D208" s="151" t="s">
        <v>260</v>
      </c>
      <c r="E208" s="154"/>
      <c r="F208" s="175"/>
    </row>
    <row r="209" spans="2:6" s="167" customFormat="1" ht="15" customHeight="1" outlineLevel="1" x14ac:dyDescent="0.2">
      <c r="B209" s="60" t="s">
        <v>3826</v>
      </c>
      <c r="C209" s="506" t="s">
        <v>618</v>
      </c>
      <c r="D209" s="151" t="s">
        <v>260</v>
      </c>
      <c r="E209" s="154"/>
      <c r="F209" s="175"/>
    </row>
    <row r="210" spans="2:6" s="167" customFormat="1" ht="15" customHeight="1" outlineLevel="1" x14ac:dyDescent="0.2">
      <c r="B210" s="60" t="s">
        <v>3827</v>
      </c>
      <c r="C210" s="506" t="s">
        <v>619</v>
      </c>
      <c r="D210" s="151" t="s">
        <v>260</v>
      </c>
      <c r="E210" s="154"/>
      <c r="F210" s="175"/>
    </row>
    <row r="211" spans="2:6" s="167" customFormat="1" ht="15" customHeight="1" outlineLevel="1" x14ac:dyDescent="0.2">
      <c r="B211" s="60" t="s">
        <v>3828</v>
      </c>
      <c r="C211" s="506" t="s">
        <v>620</v>
      </c>
      <c r="D211" s="151" t="s">
        <v>260</v>
      </c>
      <c r="E211" s="154"/>
      <c r="F211" s="175"/>
    </row>
    <row r="212" spans="2:6" s="167" customFormat="1" ht="15" customHeight="1" outlineLevel="1" x14ac:dyDescent="0.2">
      <c r="B212" s="60" t="s">
        <v>3829</v>
      </c>
      <c r="C212" s="506" t="s">
        <v>621</v>
      </c>
      <c r="D212" s="151" t="s">
        <v>260</v>
      </c>
      <c r="E212" s="154"/>
      <c r="F212" s="175"/>
    </row>
    <row r="213" spans="2:6" s="167" customFormat="1" ht="15" customHeight="1" outlineLevel="1" x14ac:dyDescent="0.2">
      <c r="B213" s="60" t="s">
        <v>3830</v>
      </c>
      <c r="C213" s="506" t="s">
        <v>622</v>
      </c>
      <c r="D213" s="151" t="s">
        <v>260</v>
      </c>
      <c r="E213" s="154"/>
      <c r="F213" s="175"/>
    </row>
    <row r="214" spans="2:6" s="167" customFormat="1" ht="15" customHeight="1" outlineLevel="1" x14ac:dyDescent="0.2">
      <c r="B214" s="60" t="s">
        <v>3831</v>
      </c>
      <c r="C214" s="506" t="s">
        <v>623</v>
      </c>
      <c r="D214" s="151" t="s">
        <v>260</v>
      </c>
      <c r="E214" s="154"/>
      <c r="F214" s="175"/>
    </row>
    <row r="215" spans="2:6" s="167" customFormat="1" ht="15" customHeight="1" outlineLevel="1" x14ac:dyDescent="0.2">
      <c r="B215" s="60" t="s">
        <v>3832</v>
      </c>
      <c r="C215" s="506" t="s">
        <v>624</v>
      </c>
      <c r="D215" s="151" t="s">
        <v>260</v>
      </c>
      <c r="E215" s="154"/>
      <c r="F215" s="175"/>
    </row>
    <row r="216" spans="2:6" s="167" customFormat="1" ht="15" customHeight="1" outlineLevel="1" x14ac:dyDescent="0.2">
      <c r="B216" s="60" t="s">
        <v>3833</v>
      </c>
      <c r="C216" s="506" t="s">
        <v>625</v>
      </c>
      <c r="D216" s="151" t="s">
        <v>260</v>
      </c>
      <c r="E216" s="154"/>
      <c r="F216" s="175"/>
    </row>
    <row r="217" spans="2:6" s="167" customFormat="1" ht="15" customHeight="1" outlineLevel="1" x14ac:dyDescent="0.2">
      <c r="B217" s="60" t="s">
        <v>3834</v>
      </c>
      <c r="C217" s="506" t="s">
        <v>626</v>
      </c>
      <c r="D217" s="151" t="s">
        <v>260</v>
      </c>
      <c r="E217" s="154"/>
      <c r="F217" s="175"/>
    </row>
    <row r="218" spans="2:6" s="167" customFormat="1" ht="15" customHeight="1" outlineLevel="1" x14ac:dyDescent="0.2">
      <c r="B218" s="60" t="s">
        <v>3835</v>
      </c>
      <c r="C218" s="506" t="s">
        <v>627</v>
      </c>
      <c r="D218" s="151" t="s">
        <v>260</v>
      </c>
      <c r="E218" s="154"/>
      <c r="F218" s="175"/>
    </row>
    <row r="219" spans="2:6" s="167" customFormat="1" ht="15" customHeight="1" outlineLevel="1" x14ac:dyDescent="0.2">
      <c r="B219" s="60" t="s">
        <v>3836</v>
      </c>
      <c r="C219" s="506" t="s">
        <v>628</v>
      </c>
      <c r="D219" s="151" t="s">
        <v>260</v>
      </c>
      <c r="E219" s="154"/>
      <c r="F219" s="175"/>
    </row>
    <row r="220" spans="2:6" s="167" customFormat="1" ht="15" customHeight="1" outlineLevel="1" x14ac:dyDescent="0.2">
      <c r="B220" s="60" t="s">
        <v>3837</v>
      </c>
      <c r="C220" s="506" t="s">
        <v>629</v>
      </c>
      <c r="D220" s="151" t="s">
        <v>260</v>
      </c>
      <c r="E220" s="154"/>
      <c r="F220" s="175"/>
    </row>
    <row r="221" spans="2:6" s="167" customFormat="1" ht="15" customHeight="1" outlineLevel="1" x14ac:dyDescent="0.2">
      <c r="B221" s="60" t="s">
        <v>3838</v>
      </c>
      <c r="C221" s="506" t="s">
        <v>630</v>
      </c>
      <c r="D221" s="151" t="s">
        <v>260</v>
      </c>
      <c r="E221" s="154"/>
      <c r="F221" s="175"/>
    </row>
    <row r="222" spans="2:6" s="167" customFormat="1" ht="15" customHeight="1" outlineLevel="1" x14ac:dyDescent="0.2">
      <c r="B222" s="60" t="s">
        <v>3839</v>
      </c>
      <c r="C222" s="506" t="s">
        <v>631</v>
      </c>
      <c r="D222" s="151" t="s">
        <v>260</v>
      </c>
      <c r="E222" s="154"/>
      <c r="F222" s="175"/>
    </row>
    <row r="223" spans="2:6" s="167" customFormat="1" ht="15" customHeight="1" outlineLevel="1" x14ac:dyDescent="0.2">
      <c r="B223" s="60" t="s">
        <v>3840</v>
      </c>
      <c r="C223" s="506" t="s">
        <v>632</v>
      </c>
      <c r="D223" s="151" t="s">
        <v>260</v>
      </c>
      <c r="E223" s="154"/>
      <c r="F223" s="175"/>
    </row>
    <row r="224" spans="2:6" s="167" customFormat="1" ht="15" customHeight="1" outlineLevel="1" x14ac:dyDescent="0.2">
      <c r="B224" s="60" t="s">
        <v>3841</v>
      </c>
      <c r="C224" s="506" t="s">
        <v>633</v>
      </c>
      <c r="D224" s="151" t="s">
        <v>260</v>
      </c>
      <c r="E224" s="154"/>
      <c r="F224" s="175"/>
    </row>
    <row r="225" spans="2:6" s="48" customFormat="1" ht="15" customHeight="1" collapsed="1" x14ac:dyDescent="0.3">
      <c r="B225" s="60" t="s">
        <v>3842</v>
      </c>
      <c r="C225" s="562">
        <v>4</v>
      </c>
      <c r="D225" s="189" t="s">
        <v>267</v>
      </c>
      <c r="E225" s="185">
        <f>E226+E247</f>
        <v>0</v>
      </c>
      <c r="F225" s="186">
        <f>F226+F247</f>
        <v>0</v>
      </c>
    </row>
    <row r="226" spans="2:6" s="134" customFormat="1" ht="15" customHeight="1" x14ac:dyDescent="0.2">
      <c r="B226" s="60" t="s">
        <v>3843</v>
      </c>
      <c r="C226" s="512" t="s">
        <v>427</v>
      </c>
      <c r="D226" s="164" t="s">
        <v>250</v>
      </c>
      <c r="E226" s="91">
        <f>SUM(E227:E246)</f>
        <v>0</v>
      </c>
      <c r="F226" s="92">
        <f>SUM(F227:F246)</f>
        <v>0</v>
      </c>
    </row>
    <row r="227" spans="2:6" s="167" customFormat="1" ht="15" customHeight="1" outlineLevel="1" x14ac:dyDescent="0.2">
      <c r="B227" s="60" t="s">
        <v>3844</v>
      </c>
      <c r="C227" s="506" t="s">
        <v>443</v>
      </c>
      <c r="D227" s="166" t="s">
        <v>263</v>
      </c>
      <c r="E227" s="154"/>
      <c r="F227" s="175"/>
    </row>
    <row r="228" spans="2:6" s="167" customFormat="1" ht="15" customHeight="1" outlineLevel="1" x14ac:dyDescent="0.2">
      <c r="B228" s="60" t="s">
        <v>3845</v>
      </c>
      <c r="C228" s="506" t="s">
        <v>442</v>
      </c>
      <c r="D228" s="166" t="s">
        <v>263</v>
      </c>
      <c r="E228" s="154"/>
      <c r="F228" s="175"/>
    </row>
    <row r="229" spans="2:6" s="167" customFormat="1" ht="15" customHeight="1" outlineLevel="1" x14ac:dyDescent="0.2">
      <c r="B229" s="60" t="s">
        <v>3846</v>
      </c>
      <c r="C229" s="506" t="s">
        <v>460</v>
      </c>
      <c r="D229" s="166" t="s">
        <v>263</v>
      </c>
      <c r="E229" s="154"/>
      <c r="F229" s="175"/>
    </row>
    <row r="230" spans="2:6" s="167" customFormat="1" ht="15" customHeight="1" outlineLevel="1" x14ac:dyDescent="0.2">
      <c r="B230" s="60" t="s">
        <v>3847</v>
      </c>
      <c r="C230" s="506" t="s">
        <v>634</v>
      </c>
      <c r="D230" s="166" t="s">
        <v>263</v>
      </c>
      <c r="E230" s="154"/>
      <c r="F230" s="175"/>
    </row>
    <row r="231" spans="2:6" s="167" customFormat="1" ht="15" customHeight="1" outlineLevel="1" x14ac:dyDescent="0.2">
      <c r="B231" s="60" t="s">
        <v>3848</v>
      </c>
      <c r="C231" s="506" t="s">
        <v>635</v>
      </c>
      <c r="D231" s="166" t="s">
        <v>263</v>
      </c>
      <c r="E231" s="154"/>
      <c r="F231" s="175"/>
    </row>
    <row r="232" spans="2:6" s="167" customFormat="1" ht="15" customHeight="1" outlineLevel="1" x14ac:dyDescent="0.2">
      <c r="B232" s="60" t="s">
        <v>3849</v>
      </c>
      <c r="C232" s="506" t="s">
        <v>636</v>
      </c>
      <c r="D232" s="166" t="s">
        <v>263</v>
      </c>
      <c r="E232" s="154"/>
      <c r="F232" s="175"/>
    </row>
    <row r="233" spans="2:6" s="167" customFormat="1" ht="15" customHeight="1" outlineLevel="1" x14ac:dyDescent="0.2">
      <c r="B233" s="60" t="s">
        <v>3850</v>
      </c>
      <c r="C233" s="506" t="s">
        <v>637</v>
      </c>
      <c r="D233" s="166" t="s">
        <v>263</v>
      </c>
      <c r="E233" s="154"/>
      <c r="F233" s="175"/>
    </row>
    <row r="234" spans="2:6" s="167" customFormat="1" ht="15" customHeight="1" outlineLevel="1" x14ac:dyDescent="0.2">
      <c r="B234" s="60" t="s">
        <v>3851</v>
      </c>
      <c r="C234" s="506" t="s">
        <v>638</v>
      </c>
      <c r="D234" s="166" t="s">
        <v>263</v>
      </c>
      <c r="E234" s="154"/>
      <c r="F234" s="175"/>
    </row>
    <row r="235" spans="2:6" s="167" customFormat="1" ht="15" customHeight="1" outlineLevel="1" x14ac:dyDescent="0.2">
      <c r="B235" s="60" t="s">
        <v>3852</v>
      </c>
      <c r="C235" s="506" t="s">
        <v>639</v>
      </c>
      <c r="D235" s="166" t="s">
        <v>263</v>
      </c>
      <c r="E235" s="154"/>
      <c r="F235" s="175"/>
    </row>
    <row r="236" spans="2:6" s="167" customFormat="1" ht="15" customHeight="1" outlineLevel="1" x14ac:dyDescent="0.2">
      <c r="B236" s="60" t="s">
        <v>3853</v>
      </c>
      <c r="C236" s="506" t="s">
        <v>640</v>
      </c>
      <c r="D236" s="166" t="s">
        <v>263</v>
      </c>
      <c r="E236" s="154"/>
      <c r="F236" s="175"/>
    </row>
    <row r="237" spans="2:6" s="167" customFormat="1" ht="15" customHeight="1" outlineLevel="1" x14ac:dyDescent="0.2">
      <c r="B237" s="60" t="s">
        <v>3854</v>
      </c>
      <c r="C237" s="506" t="s">
        <v>641</v>
      </c>
      <c r="D237" s="166" t="s">
        <v>263</v>
      </c>
      <c r="E237" s="154"/>
      <c r="F237" s="175"/>
    </row>
    <row r="238" spans="2:6" s="167" customFormat="1" ht="15" customHeight="1" outlineLevel="1" x14ac:dyDescent="0.2">
      <c r="B238" s="60" t="s">
        <v>3855</v>
      </c>
      <c r="C238" s="506" t="s">
        <v>642</v>
      </c>
      <c r="D238" s="166" t="s">
        <v>263</v>
      </c>
      <c r="E238" s="154"/>
      <c r="F238" s="175"/>
    </row>
    <row r="239" spans="2:6" s="167" customFormat="1" ht="15" customHeight="1" outlineLevel="1" x14ac:dyDescent="0.2">
      <c r="B239" s="60" t="s">
        <v>3856</v>
      </c>
      <c r="C239" s="506" t="s">
        <v>643</v>
      </c>
      <c r="D239" s="166" t="s">
        <v>263</v>
      </c>
      <c r="E239" s="154"/>
      <c r="F239" s="175"/>
    </row>
    <row r="240" spans="2:6" s="167" customFormat="1" ht="15" customHeight="1" outlineLevel="1" x14ac:dyDescent="0.2">
      <c r="B240" s="60" t="s">
        <v>3857</v>
      </c>
      <c r="C240" s="506" t="s">
        <v>644</v>
      </c>
      <c r="D240" s="166" t="s">
        <v>263</v>
      </c>
      <c r="E240" s="154"/>
      <c r="F240" s="175"/>
    </row>
    <row r="241" spans="2:6" s="167" customFormat="1" ht="15" customHeight="1" outlineLevel="1" x14ac:dyDescent="0.2">
      <c r="B241" s="60" t="s">
        <v>3858</v>
      </c>
      <c r="C241" s="506" t="s">
        <v>645</v>
      </c>
      <c r="D241" s="166" t="s">
        <v>263</v>
      </c>
      <c r="E241" s="154"/>
      <c r="F241" s="175"/>
    </row>
    <row r="242" spans="2:6" s="167" customFormat="1" ht="15" customHeight="1" outlineLevel="1" x14ac:dyDescent="0.2">
      <c r="B242" s="60" t="s">
        <v>3859</v>
      </c>
      <c r="C242" s="506" t="s">
        <v>646</v>
      </c>
      <c r="D242" s="166" t="s">
        <v>263</v>
      </c>
      <c r="E242" s="154"/>
      <c r="F242" s="175"/>
    </row>
    <row r="243" spans="2:6" s="167" customFormat="1" ht="15" customHeight="1" outlineLevel="1" x14ac:dyDescent="0.2">
      <c r="B243" s="60" t="s">
        <v>3860</v>
      </c>
      <c r="C243" s="506" t="s">
        <v>647</v>
      </c>
      <c r="D243" s="166" t="s">
        <v>263</v>
      </c>
      <c r="E243" s="154"/>
      <c r="F243" s="175"/>
    </row>
    <row r="244" spans="2:6" s="167" customFormat="1" ht="15" customHeight="1" outlineLevel="1" x14ac:dyDescent="0.2">
      <c r="B244" s="60" t="s">
        <v>3861</v>
      </c>
      <c r="C244" s="506" t="s">
        <v>648</v>
      </c>
      <c r="D244" s="166" t="s">
        <v>263</v>
      </c>
      <c r="E244" s="154"/>
      <c r="F244" s="175"/>
    </row>
    <row r="245" spans="2:6" s="167" customFormat="1" ht="15" customHeight="1" outlineLevel="1" x14ac:dyDescent="0.2">
      <c r="B245" s="60" t="s">
        <v>3862</v>
      </c>
      <c r="C245" s="506" t="s">
        <v>649</v>
      </c>
      <c r="D245" s="166" t="s">
        <v>263</v>
      </c>
      <c r="E245" s="154"/>
      <c r="F245" s="175"/>
    </row>
    <row r="246" spans="2:6" s="167" customFormat="1" ht="15" customHeight="1" outlineLevel="1" x14ac:dyDescent="0.2">
      <c r="B246" s="60" t="s">
        <v>3863</v>
      </c>
      <c r="C246" s="506" t="s">
        <v>650</v>
      </c>
      <c r="D246" s="166" t="s">
        <v>263</v>
      </c>
      <c r="E246" s="154"/>
      <c r="F246" s="175"/>
    </row>
    <row r="247" spans="2:6" s="134" customFormat="1" ht="15" customHeight="1" x14ac:dyDescent="0.2">
      <c r="B247" s="60" t="s">
        <v>3864</v>
      </c>
      <c r="C247" s="512" t="s">
        <v>428</v>
      </c>
      <c r="D247" s="164" t="s">
        <v>254</v>
      </c>
      <c r="E247" s="91">
        <f>SUM(E248:E267)</f>
        <v>0</v>
      </c>
      <c r="F247" s="92">
        <f>SUM(F248:F267)</f>
        <v>0</v>
      </c>
    </row>
    <row r="248" spans="2:6" s="167" customFormat="1" ht="15" customHeight="1" outlineLevel="1" x14ac:dyDescent="0.2">
      <c r="B248" s="60" t="s">
        <v>3865</v>
      </c>
      <c r="C248" s="506" t="s">
        <v>444</v>
      </c>
      <c r="D248" s="166" t="s">
        <v>263</v>
      </c>
      <c r="E248" s="154"/>
      <c r="F248" s="175"/>
    </row>
    <row r="249" spans="2:6" s="167" customFormat="1" ht="15" customHeight="1" outlineLevel="1" x14ac:dyDescent="0.2">
      <c r="B249" s="60" t="s">
        <v>3866</v>
      </c>
      <c r="C249" s="506" t="s">
        <v>445</v>
      </c>
      <c r="D249" s="166" t="s">
        <v>263</v>
      </c>
      <c r="E249" s="154"/>
      <c r="F249" s="175"/>
    </row>
    <row r="250" spans="2:6" s="167" customFormat="1" ht="15" customHeight="1" outlineLevel="1" x14ac:dyDescent="0.2">
      <c r="B250" s="60" t="s">
        <v>3867</v>
      </c>
      <c r="C250" s="506" t="s">
        <v>461</v>
      </c>
      <c r="D250" s="166" t="s">
        <v>263</v>
      </c>
      <c r="E250" s="154"/>
      <c r="F250" s="175"/>
    </row>
    <row r="251" spans="2:6" s="167" customFormat="1" ht="15" customHeight="1" outlineLevel="1" x14ac:dyDescent="0.2">
      <c r="B251" s="60" t="s">
        <v>3868</v>
      </c>
      <c r="C251" s="506" t="s">
        <v>651</v>
      </c>
      <c r="D251" s="166" t="s">
        <v>263</v>
      </c>
      <c r="E251" s="154"/>
      <c r="F251" s="175"/>
    </row>
    <row r="252" spans="2:6" s="167" customFormat="1" ht="15" customHeight="1" outlineLevel="1" x14ac:dyDescent="0.2">
      <c r="B252" s="60" t="s">
        <v>3869</v>
      </c>
      <c r="C252" s="506" t="s">
        <v>652</v>
      </c>
      <c r="D252" s="166" t="s">
        <v>263</v>
      </c>
      <c r="E252" s="154"/>
      <c r="F252" s="175"/>
    </row>
    <row r="253" spans="2:6" s="167" customFormat="1" ht="15" customHeight="1" outlineLevel="1" x14ac:dyDescent="0.2">
      <c r="B253" s="60" t="s">
        <v>3870</v>
      </c>
      <c r="C253" s="506" t="s">
        <v>653</v>
      </c>
      <c r="D253" s="166" t="s">
        <v>263</v>
      </c>
      <c r="E253" s="154"/>
      <c r="F253" s="175"/>
    </row>
    <row r="254" spans="2:6" s="167" customFormat="1" ht="15" customHeight="1" outlineLevel="1" x14ac:dyDescent="0.2">
      <c r="B254" s="60" t="s">
        <v>3871</v>
      </c>
      <c r="C254" s="506" t="s">
        <v>654</v>
      </c>
      <c r="D254" s="166" t="s">
        <v>263</v>
      </c>
      <c r="E254" s="154"/>
      <c r="F254" s="175"/>
    </row>
    <row r="255" spans="2:6" s="167" customFormat="1" ht="15" customHeight="1" outlineLevel="1" x14ac:dyDescent="0.2">
      <c r="B255" s="60" t="s">
        <v>3872</v>
      </c>
      <c r="C255" s="506" t="s">
        <v>655</v>
      </c>
      <c r="D255" s="166" t="s">
        <v>263</v>
      </c>
      <c r="E255" s="154"/>
      <c r="F255" s="175"/>
    </row>
    <row r="256" spans="2:6" s="167" customFormat="1" ht="15" customHeight="1" outlineLevel="1" x14ac:dyDescent="0.2">
      <c r="B256" s="60" t="s">
        <v>3873</v>
      </c>
      <c r="C256" s="506" t="s">
        <v>656</v>
      </c>
      <c r="D256" s="166" t="s">
        <v>263</v>
      </c>
      <c r="E256" s="154"/>
      <c r="F256" s="175"/>
    </row>
    <row r="257" spans="2:7" s="167" customFormat="1" ht="15" customHeight="1" outlineLevel="1" x14ac:dyDescent="0.2">
      <c r="B257" s="60" t="s">
        <v>3874</v>
      </c>
      <c r="C257" s="506" t="s">
        <v>657</v>
      </c>
      <c r="D257" s="166" t="s">
        <v>263</v>
      </c>
      <c r="E257" s="154"/>
      <c r="F257" s="175"/>
    </row>
    <row r="258" spans="2:7" s="167" customFormat="1" ht="15" customHeight="1" outlineLevel="1" x14ac:dyDescent="0.2">
      <c r="B258" s="60" t="s">
        <v>3875</v>
      </c>
      <c r="C258" s="506" t="s">
        <v>658</v>
      </c>
      <c r="D258" s="166" t="s">
        <v>263</v>
      </c>
      <c r="E258" s="154"/>
      <c r="F258" s="175"/>
    </row>
    <row r="259" spans="2:7" s="167" customFormat="1" ht="15" customHeight="1" outlineLevel="1" x14ac:dyDescent="0.2">
      <c r="B259" s="60" t="s">
        <v>3876</v>
      </c>
      <c r="C259" s="506" t="s">
        <v>659</v>
      </c>
      <c r="D259" s="166" t="s">
        <v>263</v>
      </c>
      <c r="E259" s="154"/>
      <c r="F259" s="175"/>
    </row>
    <row r="260" spans="2:7" s="167" customFormat="1" ht="15" customHeight="1" outlineLevel="1" x14ac:dyDescent="0.2">
      <c r="B260" s="60" t="s">
        <v>3877</v>
      </c>
      <c r="C260" s="506" t="s">
        <v>660</v>
      </c>
      <c r="D260" s="166" t="s">
        <v>263</v>
      </c>
      <c r="E260" s="154"/>
      <c r="F260" s="175"/>
    </row>
    <row r="261" spans="2:7" s="167" customFormat="1" ht="15" customHeight="1" outlineLevel="1" x14ac:dyDescent="0.2">
      <c r="B261" s="60" t="s">
        <v>3878</v>
      </c>
      <c r="C261" s="506" t="s">
        <v>661</v>
      </c>
      <c r="D261" s="166" t="s">
        <v>263</v>
      </c>
      <c r="E261" s="154"/>
      <c r="F261" s="175"/>
    </row>
    <row r="262" spans="2:7" s="167" customFormat="1" ht="15" customHeight="1" outlineLevel="1" x14ac:dyDescent="0.2">
      <c r="B262" s="60" t="s">
        <v>3879</v>
      </c>
      <c r="C262" s="506" t="s">
        <v>662</v>
      </c>
      <c r="D262" s="166" t="s">
        <v>263</v>
      </c>
      <c r="E262" s="154"/>
      <c r="F262" s="175"/>
    </row>
    <row r="263" spans="2:7" s="167" customFormat="1" ht="15" customHeight="1" outlineLevel="1" x14ac:dyDescent="0.2">
      <c r="B263" s="60" t="s">
        <v>3880</v>
      </c>
      <c r="C263" s="506" t="s">
        <v>663</v>
      </c>
      <c r="D263" s="166" t="s">
        <v>263</v>
      </c>
      <c r="E263" s="154"/>
      <c r="F263" s="175"/>
    </row>
    <row r="264" spans="2:7" s="167" customFormat="1" ht="15" customHeight="1" outlineLevel="1" x14ac:dyDescent="0.2">
      <c r="B264" s="60" t="s">
        <v>3881</v>
      </c>
      <c r="C264" s="506" t="s">
        <v>664</v>
      </c>
      <c r="D264" s="166" t="s">
        <v>263</v>
      </c>
      <c r="E264" s="154"/>
      <c r="F264" s="175"/>
    </row>
    <row r="265" spans="2:7" s="167" customFormat="1" ht="15" customHeight="1" outlineLevel="1" x14ac:dyDescent="0.2">
      <c r="B265" s="60" t="s">
        <v>3882</v>
      </c>
      <c r="C265" s="506" t="s">
        <v>665</v>
      </c>
      <c r="D265" s="166" t="s">
        <v>263</v>
      </c>
      <c r="E265" s="154"/>
      <c r="F265" s="175"/>
    </row>
    <row r="266" spans="2:7" s="167" customFormat="1" ht="15" customHeight="1" outlineLevel="1" x14ac:dyDescent="0.2">
      <c r="B266" s="60" t="s">
        <v>3883</v>
      </c>
      <c r="C266" s="506" t="s">
        <v>666</v>
      </c>
      <c r="D266" s="166" t="s">
        <v>263</v>
      </c>
      <c r="E266" s="154"/>
      <c r="F266" s="175"/>
    </row>
    <row r="267" spans="2:7" s="167" customFormat="1" ht="15" customHeight="1" outlineLevel="1" x14ac:dyDescent="0.2">
      <c r="B267" s="60" t="s">
        <v>3884</v>
      </c>
      <c r="C267" s="506" t="s">
        <v>667</v>
      </c>
      <c r="D267" s="166" t="s">
        <v>263</v>
      </c>
      <c r="E267" s="154"/>
      <c r="F267" s="175"/>
    </row>
    <row r="268" spans="2:7" s="142" customFormat="1" ht="30.75" customHeight="1" collapsed="1" thickBot="1" x14ac:dyDescent="0.25">
      <c r="B268" s="491" t="s">
        <v>3885</v>
      </c>
      <c r="C268" s="794" t="s">
        <v>31</v>
      </c>
      <c r="D268" s="884"/>
      <c r="E268" s="241">
        <f>E96+E139+E182+E225</f>
        <v>0</v>
      </c>
      <c r="F268" s="242">
        <f>F96+F139+F182+F225</f>
        <v>0</v>
      </c>
    </row>
    <row r="269" spans="2:7" s="11" customFormat="1" ht="9" customHeight="1" x14ac:dyDescent="0.3">
      <c r="C269" s="217"/>
      <c r="D269" s="217"/>
      <c r="E269" s="677"/>
      <c r="F269" s="677"/>
    </row>
    <row r="270" spans="2:7" s="138" customFormat="1" ht="15" customHeight="1" thickBot="1" x14ac:dyDescent="0.25">
      <c r="C270" s="839" t="s">
        <v>32</v>
      </c>
      <c r="D270" s="839"/>
      <c r="E270" s="839"/>
      <c r="F270" s="839"/>
      <c r="G270" s="30"/>
    </row>
    <row r="271" spans="2:7" s="132" customFormat="1" ht="15" customHeight="1" x14ac:dyDescent="0.2">
      <c r="B271" s="418" t="s">
        <v>3886</v>
      </c>
      <c r="C271" s="406">
        <v>1</v>
      </c>
      <c r="D271" s="412" t="s">
        <v>255</v>
      </c>
      <c r="E271" s="504">
        <f>E272+E293</f>
        <v>0</v>
      </c>
      <c r="F271" s="508">
        <f>F272+F293</f>
        <v>0</v>
      </c>
    </row>
    <row r="272" spans="2:7" s="134" customFormat="1" ht="15" customHeight="1" x14ac:dyDescent="0.2">
      <c r="B272" s="60" t="s">
        <v>3887</v>
      </c>
      <c r="C272" s="512" t="s">
        <v>430</v>
      </c>
      <c r="D272" s="164" t="s">
        <v>250</v>
      </c>
      <c r="E272" s="91">
        <f>SUM(E273:E292)</f>
        <v>0</v>
      </c>
      <c r="F272" s="92">
        <f>SUM(F273:F292)</f>
        <v>0</v>
      </c>
    </row>
    <row r="273" spans="2:6" s="167" customFormat="1" ht="15" customHeight="1" outlineLevel="1" x14ac:dyDescent="0.2">
      <c r="B273" s="60" t="s">
        <v>3888</v>
      </c>
      <c r="C273" s="571" t="s">
        <v>446</v>
      </c>
      <c r="D273" s="166" t="s">
        <v>258</v>
      </c>
      <c r="E273" s="154"/>
      <c r="F273" s="175"/>
    </row>
    <row r="274" spans="2:6" s="167" customFormat="1" ht="15" customHeight="1" outlineLevel="1" x14ac:dyDescent="0.2">
      <c r="B274" s="60" t="s">
        <v>3889</v>
      </c>
      <c r="C274" s="571" t="s">
        <v>447</v>
      </c>
      <c r="D274" s="166" t="s">
        <v>258</v>
      </c>
      <c r="E274" s="154"/>
      <c r="F274" s="175"/>
    </row>
    <row r="275" spans="2:6" s="167" customFormat="1" ht="15" customHeight="1" outlineLevel="1" x14ac:dyDescent="0.2">
      <c r="B275" s="60" t="s">
        <v>3890</v>
      </c>
      <c r="C275" s="571" t="s">
        <v>456</v>
      </c>
      <c r="D275" s="166" t="s">
        <v>258</v>
      </c>
      <c r="E275" s="154"/>
      <c r="F275" s="175"/>
    </row>
    <row r="276" spans="2:6" s="167" customFormat="1" ht="15" customHeight="1" outlineLevel="1" x14ac:dyDescent="0.2">
      <c r="B276" s="60" t="s">
        <v>3891</v>
      </c>
      <c r="C276" s="571" t="s">
        <v>528</v>
      </c>
      <c r="D276" s="166" t="s">
        <v>258</v>
      </c>
      <c r="E276" s="154"/>
      <c r="F276" s="175"/>
    </row>
    <row r="277" spans="2:6" s="167" customFormat="1" ht="15" customHeight="1" outlineLevel="1" x14ac:dyDescent="0.2">
      <c r="B277" s="60" t="s">
        <v>3892</v>
      </c>
      <c r="C277" s="571" t="s">
        <v>529</v>
      </c>
      <c r="D277" s="166" t="s">
        <v>258</v>
      </c>
      <c r="E277" s="154"/>
      <c r="F277" s="175"/>
    </row>
    <row r="278" spans="2:6" s="167" customFormat="1" ht="15" customHeight="1" outlineLevel="1" x14ac:dyDescent="0.2">
      <c r="B278" s="60" t="s">
        <v>3893</v>
      </c>
      <c r="C278" s="571" t="s">
        <v>530</v>
      </c>
      <c r="D278" s="166" t="s">
        <v>258</v>
      </c>
      <c r="E278" s="154"/>
      <c r="F278" s="175"/>
    </row>
    <row r="279" spans="2:6" s="167" customFormat="1" ht="15" customHeight="1" outlineLevel="1" x14ac:dyDescent="0.2">
      <c r="B279" s="60" t="s">
        <v>3894</v>
      </c>
      <c r="C279" s="571" t="s">
        <v>531</v>
      </c>
      <c r="D279" s="166" t="s">
        <v>258</v>
      </c>
      <c r="E279" s="154"/>
      <c r="F279" s="175"/>
    </row>
    <row r="280" spans="2:6" s="167" customFormat="1" ht="15" customHeight="1" outlineLevel="1" x14ac:dyDescent="0.2">
      <c r="B280" s="60" t="s">
        <v>3895</v>
      </c>
      <c r="C280" s="571" t="s">
        <v>532</v>
      </c>
      <c r="D280" s="166" t="s">
        <v>258</v>
      </c>
      <c r="E280" s="154"/>
      <c r="F280" s="175"/>
    </row>
    <row r="281" spans="2:6" s="167" customFormat="1" ht="15" customHeight="1" outlineLevel="1" x14ac:dyDescent="0.2">
      <c r="B281" s="60" t="s">
        <v>3896</v>
      </c>
      <c r="C281" s="571" t="s">
        <v>533</v>
      </c>
      <c r="D281" s="166" t="s">
        <v>258</v>
      </c>
      <c r="E281" s="154"/>
      <c r="F281" s="175"/>
    </row>
    <row r="282" spans="2:6" s="167" customFormat="1" ht="15" customHeight="1" outlineLevel="1" x14ac:dyDescent="0.2">
      <c r="B282" s="60" t="s">
        <v>3897</v>
      </c>
      <c r="C282" s="571" t="s">
        <v>534</v>
      </c>
      <c r="D282" s="166" t="s">
        <v>258</v>
      </c>
      <c r="E282" s="154"/>
      <c r="F282" s="175"/>
    </row>
    <row r="283" spans="2:6" s="167" customFormat="1" ht="15" customHeight="1" outlineLevel="1" x14ac:dyDescent="0.2">
      <c r="B283" s="60" t="s">
        <v>3898</v>
      </c>
      <c r="C283" s="571" t="s">
        <v>535</v>
      </c>
      <c r="D283" s="166" t="s">
        <v>258</v>
      </c>
      <c r="E283" s="154"/>
      <c r="F283" s="175"/>
    </row>
    <row r="284" spans="2:6" s="167" customFormat="1" ht="15" customHeight="1" outlineLevel="1" x14ac:dyDescent="0.2">
      <c r="B284" s="60" t="s">
        <v>3899</v>
      </c>
      <c r="C284" s="571" t="s">
        <v>536</v>
      </c>
      <c r="D284" s="166" t="s">
        <v>258</v>
      </c>
      <c r="E284" s="154"/>
      <c r="F284" s="175"/>
    </row>
    <row r="285" spans="2:6" s="167" customFormat="1" ht="15" customHeight="1" outlineLevel="1" x14ac:dyDescent="0.2">
      <c r="B285" s="60" t="s">
        <v>3900</v>
      </c>
      <c r="C285" s="571" t="s">
        <v>537</v>
      </c>
      <c r="D285" s="166" t="s">
        <v>258</v>
      </c>
      <c r="E285" s="154"/>
      <c r="F285" s="175"/>
    </row>
    <row r="286" spans="2:6" s="167" customFormat="1" ht="15" customHeight="1" outlineLevel="1" x14ac:dyDescent="0.2">
      <c r="B286" s="60" t="s">
        <v>3901</v>
      </c>
      <c r="C286" s="571" t="s">
        <v>538</v>
      </c>
      <c r="D286" s="166" t="s">
        <v>258</v>
      </c>
      <c r="E286" s="154"/>
      <c r="F286" s="175"/>
    </row>
    <row r="287" spans="2:6" s="167" customFormat="1" ht="15" customHeight="1" outlineLevel="1" x14ac:dyDescent="0.2">
      <c r="B287" s="60" t="s">
        <v>3902</v>
      </c>
      <c r="C287" s="571" t="s">
        <v>539</v>
      </c>
      <c r="D287" s="166" t="s">
        <v>258</v>
      </c>
      <c r="E287" s="154"/>
      <c r="F287" s="175"/>
    </row>
    <row r="288" spans="2:6" s="167" customFormat="1" ht="15" customHeight="1" outlineLevel="1" x14ac:dyDescent="0.2">
      <c r="B288" s="60" t="s">
        <v>3903</v>
      </c>
      <c r="C288" s="571" t="s">
        <v>540</v>
      </c>
      <c r="D288" s="166" t="s">
        <v>258</v>
      </c>
      <c r="E288" s="154"/>
      <c r="F288" s="175"/>
    </row>
    <row r="289" spans="2:6" s="167" customFormat="1" ht="15" customHeight="1" outlineLevel="1" x14ac:dyDescent="0.2">
      <c r="B289" s="60" t="s">
        <v>3904</v>
      </c>
      <c r="C289" s="571" t="s">
        <v>541</v>
      </c>
      <c r="D289" s="166" t="s">
        <v>258</v>
      </c>
      <c r="E289" s="154"/>
      <c r="F289" s="175"/>
    </row>
    <row r="290" spans="2:6" s="167" customFormat="1" ht="15" customHeight="1" outlineLevel="1" x14ac:dyDescent="0.2">
      <c r="B290" s="60" t="s">
        <v>3905</v>
      </c>
      <c r="C290" s="571" t="s">
        <v>542</v>
      </c>
      <c r="D290" s="166" t="s">
        <v>258</v>
      </c>
      <c r="E290" s="154"/>
      <c r="F290" s="175"/>
    </row>
    <row r="291" spans="2:6" s="167" customFormat="1" ht="15" customHeight="1" outlineLevel="1" x14ac:dyDescent="0.2">
      <c r="B291" s="60" t="s">
        <v>3906</v>
      </c>
      <c r="C291" s="571" t="s">
        <v>543</v>
      </c>
      <c r="D291" s="166" t="s">
        <v>258</v>
      </c>
      <c r="E291" s="154"/>
      <c r="F291" s="175"/>
    </row>
    <row r="292" spans="2:6" s="167" customFormat="1" ht="15" customHeight="1" outlineLevel="1" x14ac:dyDescent="0.2">
      <c r="B292" s="60" t="s">
        <v>3907</v>
      </c>
      <c r="C292" s="571" t="s">
        <v>544</v>
      </c>
      <c r="D292" s="166" t="s">
        <v>258</v>
      </c>
      <c r="E292" s="154"/>
      <c r="F292" s="175"/>
    </row>
    <row r="293" spans="2:6" s="134" customFormat="1" ht="15" customHeight="1" x14ac:dyDescent="0.2">
      <c r="B293" s="60" t="s">
        <v>3908</v>
      </c>
      <c r="C293" s="512" t="s">
        <v>431</v>
      </c>
      <c r="D293" s="164" t="s">
        <v>254</v>
      </c>
      <c r="E293" s="91">
        <f>SUM(E294:E313)</f>
        <v>0</v>
      </c>
      <c r="F293" s="92">
        <f>SUM(F294:F313)</f>
        <v>0</v>
      </c>
    </row>
    <row r="294" spans="2:6" s="167" customFormat="1" ht="15" customHeight="1" outlineLevel="1" x14ac:dyDescent="0.2">
      <c r="B294" s="60" t="s">
        <v>3909</v>
      </c>
      <c r="C294" s="571" t="s">
        <v>452</v>
      </c>
      <c r="D294" s="166" t="s">
        <v>258</v>
      </c>
      <c r="E294" s="154"/>
      <c r="F294" s="175"/>
    </row>
    <row r="295" spans="2:6" s="167" customFormat="1" ht="15" customHeight="1" outlineLevel="1" x14ac:dyDescent="0.2">
      <c r="B295" s="60" t="s">
        <v>3910</v>
      </c>
      <c r="C295" s="571" t="s">
        <v>453</v>
      </c>
      <c r="D295" s="166" t="s">
        <v>258</v>
      </c>
      <c r="E295" s="154"/>
      <c r="F295" s="175"/>
    </row>
    <row r="296" spans="2:6" s="167" customFormat="1" ht="15" customHeight="1" outlineLevel="1" x14ac:dyDescent="0.2">
      <c r="B296" s="60" t="s">
        <v>3911</v>
      </c>
      <c r="C296" s="571" t="s">
        <v>457</v>
      </c>
      <c r="D296" s="166" t="s">
        <v>258</v>
      </c>
      <c r="E296" s="154"/>
      <c r="F296" s="175"/>
    </row>
    <row r="297" spans="2:6" s="167" customFormat="1" ht="15" customHeight="1" outlineLevel="1" x14ac:dyDescent="0.2">
      <c r="B297" s="60" t="s">
        <v>3912</v>
      </c>
      <c r="C297" s="571" t="s">
        <v>545</v>
      </c>
      <c r="D297" s="166" t="s">
        <v>258</v>
      </c>
      <c r="E297" s="154"/>
      <c r="F297" s="175"/>
    </row>
    <row r="298" spans="2:6" s="167" customFormat="1" ht="15" customHeight="1" outlineLevel="1" x14ac:dyDescent="0.2">
      <c r="B298" s="60" t="s">
        <v>3913</v>
      </c>
      <c r="C298" s="571" t="s">
        <v>546</v>
      </c>
      <c r="D298" s="166" t="s">
        <v>258</v>
      </c>
      <c r="E298" s="154"/>
      <c r="F298" s="175"/>
    </row>
    <row r="299" spans="2:6" s="167" customFormat="1" ht="15" customHeight="1" outlineLevel="1" x14ac:dyDescent="0.2">
      <c r="B299" s="60" t="s">
        <v>3914</v>
      </c>
      <c r="C299" s="571" t="s">
        <v>547</v>
      </c>
      <c r="D299" s="166" t="s">
        <v>258</v>
      </c>
      <c r="E299" s="154"/>
      <c r="F299" s="175"/>
    </row>
    <row r="300" spans="2:6" s="167" customFormat="1" ht="15" customHeight="1" outlineLevel="1" x14ac:dyDescent="0.2">
      <c r="B300" s="60" t="s">
        <v>3915</v>
      </c>
      <c r="C300" s="571" t="s">
        <v>548</v>
      </c>
      <c r="D300" s="166" t="s">
        <v>258</v>
      </c>
      <c r="E300" s="154"/>
      <c r="F300" s="175"/>
    </row>
    <row r="301" spans="2:6" s="167" customFormat="1" ht="15" customHeight="1" outlineLevel="1" x14ac:dyDescent="0.2">
      <c r="B301" s="60" t="s">
        <v>3916</v>
      </c>
      <c r="C301" s="571" t="s">
        <v>549</v>
      </c>
      <c r="D301" s="166" t="s">
        <v>258</v>
      </c>
      <c r="E301" s="154"/>
      <c r="F301" s="175"/>
    </row>
    <row r="302" spans="2:6" s="167" customFormat="1" ht="15" customHeight="1" outlineLevel="1" x14ac:dyDescent="0.2">
      <c r="B302" s="60" t="s">
        <v>3917</v>
      </c>
      <c r="C302" s="571" t="s">
        <v>550</v>
      </c>
      <c r="D302" s="166" t="s">
        <v>258</v>
      </c>
      <c r="E302" s="154"/>
      <c r="F302" s="175"/>
    </row>
    <row r="303" spans="2:6" s="167" customFormat="1" ht="15" customHeight="1" outlineLevel="1" x14ac:dyDescent="0.2">
      <c r="B303" s="60" t="s">
        <v>3918</v>
      </c>
      <c r="C303" s="571" t="s">
        <v>551</v>
      </c>
      <c r="D303" s="166" t="s">
        <v>258</v>
      </c>
      <c r="E303" s="154"/>
      <c r="F303" s="175"/>
    </row>
    <row r="304" spans="2:6" s="167" customFormat="1" ht="15" customHeight="1" outlineLevel="1" x14ac:dyDescent="0.2">
      <c r="B304" s="60" t="s">
        <v>3919</v>
      </c>
      <c r="C304" s="571" t="s">
        <v>552</v>
      </c>
      <c r="D304" s="166" t="s">
        <v>258</v>
      </c>
      <c r="E304" s="154"/>
      <c r="F304" s="175"/>
    </row>
    <row r="305" spans="2:6" s="167" customFormat="1" ht="15" customHeight="1" outlineLevel="1" x14ac:dyDescent="0.2">
      <c r="B305" s="60" t="s">
        <v>3920</v>
      </c>
      <c r="C305" s="571" t="s">
        <v>553</v>
      </c>
      <c r="D305" s="166" t="s">
        <v>258</v>
      </c>
      <c r="E305" s="154"/>
      <c r="F305" s="175"/>
    </row>
    <row r="306" spans="2:6" s="167" customFormat="1" ht="15" customHeight="1" outlineLevel="1" x14ac:dyDescent="0.2">
      <c r="B306" s="60" t="s">
        <v>3921</v>
      </c>
      <c r="C306" s="571" t="s">
        <v>554</v>
      </c>
      <c r="D306" s="166" t="s">
        <v>258</v>
      </c>
      <c r="E306" s="154"/>
      <c r="F306" s="175"/>
    </row>
    <row r="307" spans="2:6" s="167" customFormat="1" ht="15" customHeight="1" outlineLevel="1" x14ac:dyDescent="0.2">
      <c r="B307" s="60" t="s">
        <v>3922</v>
      </c>
      <c r="C307" s="571" t="s">
        <v>555</v>
      </c>
      <c r="D307" s="166" t="s">
        <v>258</v>
      </c>
      <c r="E307" s="154"/>
      <c r="F307" s="175"/>
    </row>
    <row r="308" spans="2:6" s="167" customFormat="1" ht="15" customHeight="1" outlineLevel="1" x14ac:dyDescent="0.2">
      <c r="B308" s="60" t="s">
        <v>3923</v>
      </c>
      <c r="C308" s="571" t="s">
        <v>556</v>
      </c>
      <c r="D308" s="166" t="s">
        <v>258</v>
      </c>
      <c r="E308" s="154"/>
      <c r="F308" s="175"/>
    </row>
    <row r="309" spans="2:6" s="167" customFormat="1" ht="15" customHeight="1" outlineLevel="1" x14ac:dyDescent="0.2">
      <c r="B309" s="60" t="s">
        <v>3924</v>
      </c>
      <c r="C309" s="571" t="s">
        <v>557</v>
      </c>
      <c r="D309" s="166" t="s">
        <v>258</v>
      </c>
      <c r="E309" s="154"/>
      <c r="F309" s="175"/>
    </row>
    <row r="310" spans="2:6" s="167" customFormat="1" ht="15" customHeight="1" outlineLevel="1" x14ac:dyDescent="0.2">
      <c r="B310" s="60" t="s">
        <v>3925</v>
      </c>
      <c r="C310" s="571" t="s">
        <v>558</v>
      </c>
      <c r="D310" s="166" t="s">
        <v>258</v>
      </c>
      <c r="E310" s="154"/>
      <c r="F310" s="175"/>
    </row>
    <row r="311" spans="2:6" s="167" customFormat="1" ht="15" customHeight="1" outlineLevel="1" x14ac:dyDescent="0.2">
      <c r="B311" s="60" t="s">
        <v>3926</v>
      </c>
      <c r="C311" s="571" t="s">
        <v>559</v>
      </c>
      <c r="D311" s="166" t="s">
        <v>258</v>
      </c>
      <c r="E311" s="154"/>
      <c r="F311" s="175"/>
    </row>
    <row r="312" spans="2:6" s="167" customFormat="1" ht="15" customHeight="1" outlineLevel="1" x14ac:dyDescent="0.2">
      <c r="B312" s="60" t="s">
        <v>3927</v>
      </c>
      <c r="C312" s="571" t="s">
        <v>560</v>
      </c>
      <c r="D312" s="166" t="s">
        <v>258</v>
      </c>
      <c r="E312" s="154"/>
      <c r="F312" s="175"/>
    </row>
    <row r="313" spans="2:6" s="167" customFormat="1" ht="15" customHeight="1" outlineLevel="1" x14ac:dyDescent="0.2">
      <c r="B313" s="60" t="s">
        <v>3928</v>
      </c>
      <c r="C313" s="571" t="s">
        <v>561</v>
      </c>
      <c r="D313" s="166" t="s">
        <v>258</v>
      </c>
      <c r="E313" s="154"/>
      <c r="F313" s="175"/>
    </row>
    <row r="314" spans="2:6" s="132" customFormat="1" ht="15" customHeight="1" collapsed="1" x14ac:dyDescent="0.2">
      <c r="B314" s="60" t="s">
        <v>3929</v>
      </c>
      <c r="C314" s="397">
        <v>2</v>
      </c>
      <c r="D314" s="94" t="s">
        <v>259</v>
      </c>
      <c r="E314" s="635">
        <f>E315+E336</f>
        <v>0</v>
      </c>
      <c r="F314" s="638">
        <f>F315+F336</f>
        <v>0</v>
      </c>
    </row>
    <row r="315" spans="2:6" s="134" customFormat="1" ht="15" customHeight="1" x14ac:dyDescent="0.2">
      <c r="B315" s="60" t="s">
        <v>3930</v>
      </c>
      <c r="C315" s="512" t="s">
        <v>424</v>
      </c>
      <c r="D315" s="164" t="s">
        <v>250</v>
      </c>
      <c r="E315" s="91">
        <f>SUM(E316:E335)</f>
        <v>0</v>
      </c>
      <c r="F315" s="92">
        <f>SUM(F316:F335)</f>
        <v>0</v>
      </c>
    </row>
    <row r="316" spans="2:6" s="167" customFormat="1" ht="15" customHeight="1" outlineLevel="1" x14ac:dyDescent="0.2">
      <c r="B316" s="60" t="s">
        <v>3931</v>
      </c>
      <c r="C316" s="506" t="s">
        <v>448</v>
      </c>
      <c r="D316" s="151" t="s">
        <v>260</v>
      </c>
      <c r="E316" s="154" t="s">
        <v>669</v>
      </c>
      <c r="F316" s="175"/>
    </row>
    <row r="317" spans="2:6" s="167" customFormat="1" ht="15" customHeight="1" outlineLevel="1" x14ac:dyDescent="0.2">
      <c r="B317" s="60" t="s">
        <v>3932</v>
      </c>
      <c r="C317" s="506" t="s">
        <v>449</v>
      </c>
      <c r="D317" s="151" t="s">
        <v>260</v>
      </c>
      <c r="E317" s="154"/>
      <c r="F317" s="175"/>
    </row>
    <row r="318" spans="2:6" s="167" customFormat="1" ht="15" customHeight="1" outlineLevel="1" x14ac:dyDescent="0.2">
      <c r="B318" s="60" t="s">
        <v>3933</v>
      </c>
      <c r="C318" s="506" t="s">
        <v>562</v>
      </c>
      <c r="D318" s="151" t="s">
        <v>260</v>
      </c>
      <c r="E318" s="154"/>
      <c r="F318" s="175"/>
    </row>
    <row r="319" spans="2:6" s="167" customFormat="1" ht="15" customHeight="1" outlineLevel="1" x14ac:dyDescent="0.2">
      <c r="B319" s="60" t="s">
        <v>3934</v>
      </c>
      <c r="C319" s="506" t="s">
        <v>563</v>
      </c>
      <c r="D319" s="151" t="s">
        <v>260</v>
      </c>
      <c r="E319" s="154"/>
      <c r="F319" s="175"/>
    </row>
    <row r="320" spans="2:6" s="167" customFormat="1" ht="15" customHeight="1" outlineLevel="1" x14ac:dyDescent="0.2">
      <c r="B320" s="60" t="s">
        <v>3935</v>
      </c>
      <c r="C320" s="506" t="s">
        <v>564</v>
      </c>
      <c r="D320" s="151" t="s">
        <v>260</v>
      </c>
      <c r="E320" s="154"/>
      <c r="F320" s="175"/>
    </row>
    <row r="321" spans="2:6" s="167" customFormat="1" ht="15" customHeight="1" outlineLevel="1" x14ac:dyDescent="0.2">
      <c r="B321" s="60" t="s">
        <v>3936</v>
      </c>
      <c r="C321" s="506" t="s">
        <v>565</v>
      </c>
      <c r="D321" s="151" t="s">
        <v>260</v>
      </c>
      <c r="E321" s="154"/>
      <c r="F321" s="175"/>
    </row>
    <row r="322" spans="2:6" s="167" customFormat="1" ht="15" customHeight="1" outlineLevel="1" x14ac:dyDescent="0.2">
      <c r="B322" s="60" t="s">
        <v>3937</v>
      </c>
      <c r="C322" s="506" t="s">
        <v>566</v>
      </c>
      <c r="D322" s="151" t="s">
        <v>260</v>
      </c>
      <c r="E322" s="154"/>
      <c r="F322" s="175"/>
    </row>
    <row r="323" spans="2:6" s="167" customFormat="1" ht="15" customHeight="1" outlineLevel="1" x14ac:dyDescent="0.2">
      <c r="B323" s="60" t="s">
        <v>3938</v>
      </c>
      <c r="C323" s="506" t="s">
        <v>567</v>
      </c>
      <c r="D323" s="151" t="s">
        <v>260</v>
      </c>
      <c r="E323" s="154"/>
      <c r="F323" s="175"/>
    </row>
    <row r="324" spans="2:6" s="167" customFormat="1" ht="15" customHeight="1" outlineLevel="1" x14ac:dyDescent="0.2">
      <c r="B324" s="60" t="s">
        <v>3939</v>
      </c>
      <c r="C324" s="506" t="s">
        <v>568</v>
      </c>
      <c r="D324" s="151" t="s">
        <v>260</v>
      </c>
      <c r="E324" s="154"/>
      <c r="F324" s="175"/>
    </row>
    <row r="325" spans="2:6" s="167" customFormat="1" ht="15" customHeight="1" outlineLevel="1" x14ac:dyDescent="0.2">
      <c r="B325" s="60" t="s">
        <v>3940</v>
      </c>
      <c r="C325" s="506" t="s">
        <v>569</v>
      </c>
      <c r="D325" s="151" t="s">
        <v>260</v>
      </c>
      <c r="E325" s="154"/>
      <c r="F325" s="175"/>
    </row>
    <row r="326" spans="2:6" s="167" customFormat="1" ht="15" customHeight="1" outlineLevel="1" x14ac:dyDescent="0.2">
      <c r="B326" s="60" t="s">
        <v>3941</v>
      </c>
      <c r="C326" s="506" t="s">
        <v>570</v>
      </c>
      <c r="D326" s="151" t="s">
        <v>260</v>
      </c>
      <c r="E326" s="154"/>
      <c r="F326" s="175"/>
    </row>
    <row r="327" spans="2:6" s="167" customFormat="1" ht="15" customHeight="1" outlineLevel="1" x14ac:dyDescent="0.2">
      <c r="B327" s="60" t="s">
        <v>3942</v>
      </c>
      <c r="C327" s="506" t="s">
        <v>571</v>
      </c>
      <c r="D327" s="151" t="s">
        <v>260</v>
      </c>
      <c r="E327" s="154"/>
      <c r="F327" s="175"/>
    </row>
    <row r="328" spans="2:6" s="167" customFormat="1" ht="15" customHeight="1" outlineLevel="1" x14ac:dyDescent="0.2">
      <c r="B328" s="60" t="s">
        <v>3943</v>
      </c>
      <c r="C328" s="506" t="s">
        <v>572</v>
      </c>
      <c r="D328" s="151" t="s">
        <v>260</v>
      </c>
      <c r="E328" s="154"/>
      <c r="F328" s="175"/>
    </row>
    <row r="329" spans="2:6" s="167" customFormat="1" ht="15" customHeight="1" outlineLevel="1" x14ac:dyDescent="0.2">
      <c r="B329" s="60" t="s">
        <v>3944</v>
      </c>
      <c r="C329" s="506" t="s">
        <v>573</v>
      </c>
      <c r="D329" s="151" t="s">
        <v>260</v>
      </c>
      <c r="E329" s="154"/>
      <c r="F329" s="175"/>
    </row>
    <row r="330" spans="2:6" s="167" customFormat="1" ht="15" customHeight="1" outlineLevel="1" x14ac:dyDescent="0.2">
      <c r="B330" s="60" t="s">
        <v>3945</v>
      </c>
      <c r="C330" s="506" t="s">
        <v>574</v>
      </c>
      <c r="D330" s="151" t="s">
        <v>260</v>
      </c>
      <c r="E330" s="154"/>
      <c r="F330" s="175"/>
    </row>
    <row r="331" spans="2:6" s="167" customFormat="1" ht="15" customHeight="1" outlineLevel="1" x14ac:dyDescent="0.2">
      <c r="B331" s="60" t="s">
        <v>3946</v>
      </c>
      <c r="C331" s="506" t="s">
        <v>575</v>
      </c>
      <c r="D331" s="151" t="s">
        <v>260</v>
      </c>
      <c r="E331" s="154"/>
      <c r="F331" s="175"/>
    </row>
    <row r="332" spans="2:6" s="167" customFormat="1" ht="15" customHeight="1" outlineLevel="1" x14ac:dyDescent="0.2">
      <c r="B332" s="60" t="s">
        <v>3947</v>
      </c>
      <c r="C332" s="506" t="s">
        <v>576</v>
      </c>
      <c r="D332" s="151" t="s">
        <v>260</v>
      </c>
      <c r="E332" s="154"/>
      <c r="F332" s="175"/>
    </row>
    <row r="333" spans="2:6" s="167" customFormat="1" ht="15" customHeight="1" outlineLevel="1" x14ac:dyDescent="0.2">
      <c r="B333" s="60" t="s">
        <v>3948</v>
      </c>
      <c r="C333" s="506" t="s">
        <v>577</v>
      </c>
      <c r="D333" s="151" t="s">
        <v>260</v>
      </c>
      <c r="E333" s="154"/>
      <c r="F333" s="175"/>
    </row>
    <row r="334" spans="2:6" s="167" customFormat="1" ht="15" customHeight="1" outlineLevel="1" x14ac:dyDescent="0.2">
      <c r="B334" s="60" t="s">
        <v>3949</v>
      </c>
      <c r="C334" s="506" t="s">
        <v>578</v>
      </c>
      <c r="D334" s="151" t="s">
        <v>260</v>
      </c>
      <c r="E334" s="154"/>
      <c r="F334" s="175"/>
    </row>
    <row r="335" spans="2:6" s="167" customFormat="1" ht="15" customHeight="1" outlineLevel="1" x14ac:dyDescent="0.2">
      <c r="B335" s="60" t="s">
        <v>3950</v>
      </c>
      <c r="C335" s="506" t="s">
        <v>579</v>
      </c>
      <c r="D335" s="151" t="s">
        <v>260</v>
      </c>
      <c r="E335" s="154"/>
      <c r="F335" s="175"/>
    </row>
    <row r="336" spans="2:6" s="134" customFormat="1" ht="15" customHeight="1" x14ac:dyDescent="0.2">
      <c r="B336" s="60" t="s">
        <v>3951</v>
      </c>
      <c r="C336" s="512" t="s">
        <v>425</v>
      </c>
      <c r="D336" s="164" t="s">
        <v>254</v>
      </c>
      <c r="E336" s="91">
        <f>SUM(E337:E356)</f>
        <v>0</v>
      </c>
      <c r="F336" s="92">
        <f>SUM(F337:F356)</f>
        <v>0</v>
      </c>
    </row>
    <row r="337" spans="2:6" s="167" customFormat="1" ht="15" customHeight="1" outlineLevel="1" x14ac:dyDescent="0.2">
      <c r="B337" s="60" t="s">
        <v>3952</v>
      </c>
      <c r="C337" s="506" t="s">
        <v>580</v>
      </c>
      <c r="D337" s="151" t="s">
        <v>260</v>
      </c>
      <c r="E337" s="154" t="s">
        <v>669</v>
      </c>
      <c r="F337" s="175"/>
    </row>
    <row r="338" spans="2:6" s="167" customFormat="1" ht="15" customHeight="1" outlineLevel="1" x14ac:dyDescent="0.2">
      <c r="B338" s="60" t="s">
        <v>3953</v>
      </c>
      <c r="C338" s="506" t="s">
        <v>581</v>
      </c>
      <c r="D338" s="151" t="s">
        <v>260</v>
      </c>
      <c r="E338" s="154"/>
      <c r="F338" s="175"/>
    </row>
    <row r="339" spans="2:6" s="167" customFormat="1" ht="15" customHeight="1" outlineLevel="1" x14ac:dyDescent="0.2">
      <c r="B339" s="60" t="s">
        <v>3954</v>
      </c>
      <c r="C339" s="506" t="s">
        <v>582</v>
      </c>
      <c r="D339" s="151" t="s">
        <v>260</v>
      </c>
      <c r="E339" s="154"/>
      <c r="F339" s="175"/>
    </row>
    <row r="340" spans="2:6" s="167" customFormat="1" ht="15" customHeight="1" outlineLevel="1" x14ac:dyDescent="0.2">
      <c r="B340" s="60" t="s">
        <v>3955</v>
      </c>
      <c r="C340" s="506" t="s">
        <v>583</v>
      </c>
      <c r="D340" s="151" t="s">
        <v>260</v>
      </c>
      <c r="E340" s="154"/>
      <c r="F340" s="175"/>
    </row>
    <row r="341" spans="2:6" s="167" customFormat="1" ht="15" customHeight="1" outlineLevel="1" x14ac:dyDescent="0.2">
      <c r="B341" s="60" t="s">
        <v>3956</v>
      </c>
      <c r="C341" s="506" t="s">
        <v>584</v>
      </c>
      <c r="D341" s="151" t="s">
        <v>260</v>
      </c>
      <c r="E341" s="154"/>
      <c r="F341" s="175"/>
    </row>
    <row r="342" spans="2:6" s="167" customFormat="1" ht="15" customHeight="1" outlineLevel="1" x14ac:dyDescent="0.2">
      <c r="B342" s="60" t="s">
        <v>3957</v>
      </c>
      <c r="C342" s="506" t="s">
        <v>585</v>
      </c>
      <c r="D342" s="151" t="s">
        <v>260</v>
      </c>
      <c r="E342" s="154"/>
      <c r="F342" s="175"/>
    </row>
    <row r="343" spans="2:6" s="167" customFormat="1" ht="15" customHeight="1" outlineLevel="1" x14ac:dyDescent="0.2">
      <c r="B343" s="60" t="s">
        <v>3958</v>
      </c>
      <c r="C343" s="506" t="s">
        <v>586</v>
      </c>
      <c r="D343" s="151" t="s">
        <v>260</v>
      </c>
      <c r="E343" s="154"/>
      <c r="F343" s="175"/>
    </row>
    <row r="344" spans="2:6" s="167" customFormat="1" ht="15" customHeight="1" outlineLevel="1" x14ac:dyDescent="0.2">
      <c r="B344" s="60" t="s">
        <v>3959</v>
      </c>
      <c r="C344" s="506" t="s">
        <v>587</v>
      </c>
      <c r="D344" s="151" t="s">
        <v>260</v>
      </c>
      <c r="E344" s="154"/>
      <c r="F344" s="175"/>
    </row>
    <row r="345" spans="2:6" s="167" customFormat="1" ht="15" customHeight="1" outlineLevel="1" x14ac:dyDescent="0.2">
      <c r="B345" s="60" t="s">
        <v>3960</v>
      </c>
      <c r="C345" s="506" t="s">
        <v>588</v>
      </c>
      <c r="D345" s="151" t="s">
        <v>260</v>
      </c>
      <c r="E345" s="154"/>
      <c r="F345" s="175"/>
    </row>
    <row r="346" spans="2:6" s="167" customFormat="1" ht="15" customHeight="1" outlineLevel="1" x14ac:dyDescent="0.2">
      <c r="B346" s="60" t="s">
        <v>3961</v>
      </c>
      <c r="C346" s="506" t="s">
        <v>589</v>
      </c>
      <c r="D346" s="151" t="s">
        <v>260</v>
      </c>
      <c r="E346" s="154"/>
      <c r="F346" s="175"/>
    </row>
    <row r="347" spans="2:6" s="167" customFormat="1" ht="15" customHeight="1" outlineLevel="1" x14ac:dyDescent="0.2">
      <c r="B347" s="60" t="s">
        <v>3962</v>
      </c>
      <c r="C347" s="506" t="s">
        <v>590</v>
      </c>
      <c r="D347" s="151" t="s">
        <v>260</v>
      </c>
      <c r="E347" s="154"/>
      <c r="F347" s="175"/>
    </row>
    <row r="348" spans="2:6" s="167" customFormat="1" ht="15" customHeight="1" outlineLevel="1" x14ac:dyDescent="0.2">
      <c r="B348" s="60" t="s">
        <v>3963</v>
      </c>
      <c r="C348" s="506" t="s">
        <v>591</v>
      </c>
      <c r="D348" s="151" t="s">
        <v>260</v>
      </c>
      <c r="E348" s="154"/>
      <c r="F348" s="175"/>
    </row>
    <row r="349" spans="2:6" s="167" customFormat="1" ht="15" customHeight="1" outlineLevel="1" x14ac:dyDescent="0.2">
      <c r="B349" s="60" t="s">
        <v>3964</v>
      </c>
      <c r="C349" s="506" t="s">
        <v>592</v>
      </c>
      <c r="D349" s="151" t="s">
        <v>260</v>
      </c>
      <c r="E349" s="154"/>
      <c r="F349" s="175"/>
    </row>
    <row r="350" spans="2:6" s="167" customFormat="1" ht="15" customHeight="1" outlineLevel="1" x14ac:dyDescent="0.2">
      <c r="B350" s="60" t="s">
        <v>3965</v>
      </c>
      <c r="C350" s="506" t="s">
        <v>593</v>
      </c>
      <c r="D350" s="151" t="s">
        <v>260</v>
      </c>
      <c r="E350" s="154"/>
      <c r="F350" s="175"/>
    </row>
    <row r="351" spans="2:6" s="167" customFormat="1" ht="15" customHeight="1" outlineLevel="1" x14ac:dyDescent="0.2">
      <c r="B351" s="60" t="s">
        <v>3966</v>
      </c>
      <c r="C351" s="506" t="s">
        <v>594</v>
      </c>
      <c r="D351" s="151" t="s">
        <v>260</v>
      </c>
      <c r="E351" s="154"/>
      <c r="F351" s="175"/>
    </row>
    <row r="352" spans="2:6" s="167" customFormat="1" ht="15" customHeight="1" outlineLevel="1" x14ac:dyDescent="0.2">
      <c r="B352" s="60" t="s">
        <v>3967</v>
      </c>
      <c r="C352" s="506" t="s">
        <v>595</v>
      </c>
      <c r="D352" s="151" t="s">
        <v>260</v>
      </c>
      <c r="E352" s="154"/>
      <c r="F352" s="175"/>
    </row>
    <row r="353" spans="2:6" s="167" customFormat="1" ht="15" customHeight="1" outlineLevel="1" x14ac:dyDescent="0.2">
      <c r="B353" s="60" t="s">
        <v>3968</v>
      </c>
      <c r="C353" s="506" t="s">
        <v>596</v>
      </c>
      <c r="D353" s="151" t="s">
        <v>260</v>
      </c>
      <c r="E353" s="154"/>
      <c r="F353" s="175"/>
    </row>
    <row r="354" spans="2:6" s="167" customFormat="1" ht="15" customHeight="1" outlineLevel="1" x14ac:dyDescent="0.2">
      <c r="B354" s="60" t="s">
        <v>3969</v>
      </c>
      <c r="C354" s="506" t="s">
        <v>597</v>
      </c>
      <c r="D354" s="151" t="s">
        <v>260</v>
      </c>
      <c r="E354" s="154"/>
      <c r="F354" s="175"/>
    </row>
    <row r="355" spans="2:6" s="167" customFormat="1" ht="15" customHeight="1" outlineLevel="1" x14ac:dyDescent="0.2">
      <c r="B355" s="60" t="s">
        <v>3970</v>
      </c>
      <c r="C355" s="506" t="s">
        <v>598</v>
      </c>
      <c r="D355" s="151" t="s">
        <v>260</v>
      </c>
      <c r="E355" s="154"/>
      <c r="F355" s="175"/>
    </row>
    <row r="356" spans="2:6" s="167" customFormat="1" ht="15" customHeight="1" outlineLevel="1" x14ac:dyDescent="0.2">
      <c r="B356" s="60" t="s">
        <v>3971</v>
      </c>
      <c r="C356" s="506" t="s">
        <v>599</v>
      </c>
      <c r="D356" s="151" t="s">
        <v>260</v>
      </c>
      <c r="E356" s="154"/>
      <c r="F356" s="175"/>
    </row>
    <row r="357" spans="2:6" s="132" customFormat="1" ht="15" customHeight="1" collapsed="1" x14ac:dyDescent="0.2">
      <c r="B357" s="60" t="s">
        <v>3972</v>
      </c>
      <c r="C357" s="397">
        <v>3</v>
      </c>
      <c r="D357" s="94" t="s">
        <v>261</v>
      </c>
      <c r="E357" s="635">
        <f>E358+E379</f>
        <v>0</v>
      </c>
      <c r="F357" s="638">
        <f>F358+F379</f>
        <v>0</v>
      </c>
    </row>
    <row r="358" spans="2:6" s="134" customFormat="1" ht="15" customHeight="1" x14ac:dyDescent="0.2">
      <c r="B358" s="60" t="s">
        <v>3973</v>
      </c>
      <c r="C358" s="512" t="s">
        <v>409</v>
      </c>
      <c r="D358" s="164" t="s">
        <v>250</v>
      </c>
      <c r="E358" s="91">
        <f>SUM(E359:E378)</f>
        <v>0</v>
      </c>
      <c r="F358" s="92">
        <f>SUM(F359:F378)</f>
        <v>0</v>
      </c>
    </row>
    <row r="359" spans="2:6" s="167" customFormat="1" ht="15" customHeight="1" outlineLevel="1" x14ac:dyDescent="0.2">
      <c r="B359" s="60" t="s">
        <v>3974</v>
      </c>
      <c r="C359" s="506" t="s">
        <v>450</v>
      </c>
      <c r="D359" s="151" t="s">
        <v>260</v>
      </c>
      <c r="E359" s="154"/>
      <c r="F359" s="175"/>
    </row>
    <row r="360" spans="2:6" s="167" customFormat="1" ht="15" customHeight="1" outlineLevel="1" x14ac:dyDescent="0.2">
      <c r="B360" s="60" t="s">
        <v>3975</v>
      </c>
      <c r="C360" s="506" t="s">
        <v>451</v>
      </c>
      <c r="D360" s="151" t="s">
        <v>260</v>
      </c>
      <c r="E360" s="154"/>
      <c r="F360" s="175"/>
    </row>
    <row r="361" spans="2:6" s="167" customFormat="1" ht="15" customHeight="1" outlineLevel="1" x14ac:dyDescent="0.2">
      <c r="B361" s="60" t="s">
        <v>3976</v>
      </c>
      <c r="C361" s="506" t="s">
        <v>458</v>
      </c>
      <c r="D361" s="151" t="s">
        <v>260</v>
      </c>
      <c r="E361" s="154"/>
      <c r="F361" s="175"/>
    </row>
    <row r="362" spans="2:6" s="167" customFormat="1" ht="15" customHeight="1" outlineLevel="1" x14ac:dyDescent="0.2">
      <c r="B362" s="60" t="s">
        <v>3977</v>
      </c>
      <c r="C362" s="506" t="s">
        <v>600</v>
      </c>
      <c r="D362" s="151" t="s">
        <v>260</v>
      </c>
      <c r="E362" s="154"/>
      <c r="F362" s="175"/>
    </row>
    <row r="363" spans="2:6" s="167" customFormat="1" ht="15" customHeight="1" outlineLevel="1" x14ac:dyDescent="0.2">
      <c r="B363" s="60" t="s">
        <v>3978</v>
      </c>
      <c r="C363" s="506" t="s">
        <v>601</v>
      </c>
      <c r="D363" s="151" t="s">
        <v>260</v>
      </c>
      <c r="E363" s="154"/>
      <c r="F363" s="175"/>
    </row>
    <row r="364" spans="2:6" s="167" customFormat="1" ht="15" customHeight="1" outlineLevel="1" x14ac:dyDescent="0.2">
      <c r="B364" s="60" t="s">
        <v>3979</v>
      </c>
      <c r="C364" s="506" t="s">
        <v>602</v>
      </c>
      <c r="D364" s="151" t="s">
        <v>260</v>
      </c>
      <c r="E364" s="154"/>
      <c r="F364" s="175"/>
    </row>
    <row r="365" spans="2:6" s="167" customFormat="1" ht="15" customHeight="1" outlineLevel="1" x14ac:dyDescent="0.2">
      <c r="B365" s="60" t="s">
        <v>3980</v>
      </c>
      <c r="C365" s="506" t="s">
        <v>603</v>
      </c>
      <c r="D365" s="151" t="s">
        <v>260</v>
      </c>
      <c r="E365" s="154"/>
      <c r="F365" s="175"/>
    </row>
    <row r="366" spans="2:6" s="167" customFormat="1" ht="15" customHeight="1" outlineLevel="1" x14ac:dyDescent="0.2">
      <c r="B366" s="60" t="s">
        <v>3981</v>
      </c>
      <c r="C366" s="506" t="s">
        <v>604</v>
      </c>
      <c r="D366" s="151" t="s">
        <v>260</v>
      </c>
      <c r="E366" s="154"/>
      <c r="F366" s="175"/>
    </row>
    <row r="367" spans="2:6" s="167" customFormat="1" ht="15" customHeight="1" outlineLevel="1" x14ac:dyDescent="0.2">
      <c r="B367" s="60" t="s">
        <v>3982</v>
      </c>
      <c r="C367" s="506" t="s">
        <v>605</v>
      </c>
      <c r="D367" s="151" t="s">
        <v>260</v>
      </c>
      <c r="E367" s="154"/>
      <c r="F367" s="175"/>
    </row>
    <row r="368" spans="2:6" s="167" customFormat="1" ht="15" customHeight="1" outlineLevel="1" x14ac:dyDescent="0.2">
      <c r="B368" s="60" t="s">
        <v>3983</v>
      </c>
      <c r="C368" s="506" t="s">
        <v>606</v>
      </c>
      <c r="D368" s="151" t="s">
        <v>260</v>
      </c>
      <c r="E368" s="154"/>
      <c r="F368" s="175"/>
    </row>
    <row r="369" spans="2:6" s="167" customFormat="1" ht="15" customHeight="1" outlineLevel="1" x14ac:dyDescent="0.2">
      <c r="B369" s="60" t="s">
        <v>3984</v>
      </c>
      <c r="C369" s="506" t="s">
        <v>607</v>
      </c>
      <c r="D369" s="151" t="s">
        <v>260</v>
      </c>
      <c r="E369" s="154"/>
      <c r="F369" s="175"/>
    </row>
    <row r="370" spans="2:6" s="167" customFormat="1" ht="15" customHeight="1" outlineLevel="1" x14ac:dyDescent="0.2">
      <c r="B370" s="60" t="s">
        <v>3985</v>
      </c>
      <c r="C370" s="506" t="s">
        <v>608</v>
      </c>
      <c r="D370" s="151" t="s">
        <v>260</v>
      </c>
      <c r="E370" s="154"/>
      <c r="F370" s="175"/>
    </row>
    <row r="371" spans="2:6" s="167" customFormat="1" ht="15" customHeight="1" outlineLevel="1" x14ac:dyDescent="0.2">
      <c r="B371" s="60" t="s">
        <v>3986</v>
      </c>
      <c r="C371" s="506" t="s">
        <v>609</v>
      </c>
      <c r="D371" s="151" t="s">
        <v>260</v>
      </c>
      <c r="E371" s="154"/>
      <c r="F371" s="175"/>
    </row>
    <row r="372" spans="2:6" s="167" customFormat="1" ht="15" customHeight="1" outlineLevel="1" x14ac:dyDescent="0.2">
      <c r="B372" s="60" t="s">
        <v>3987</v>
      </c>
      <c r="C372" s="506" t="s">
        <v>610</v>
      </c>
      <c r="D372" s="151" t="s">
        <v>260</v>
      </c>
      <c r="E372" s="154"/>
      <c r="F372" s="175"/>
    </row>
    <row r="373" spans="2:6" s="167" customFormat="1" ht="15" customHeight="1" outlineLevel="1" x14ac:dyDescent="0.2">
      <c r="B373" s="60" t="s">
        <v>3988</v>
      </c>
      <c r="C373" s="506" t="s">
        <v>611</v>
      </c>
      <c r="D373" s="151" t="s">
        <v>260</v>
      </c>
      <c r="E373" s="154"/>
      <c r="F373" s="175"/>
    </row>
    <row r="374" spans="2:6" s="167" customFormat="1" ht="15" customHeight="1" outlineLevel="1" x14ac:dyDescent="0.2">
      <c r="B374" s="60" t="s">
        <v>3989</v>
      </c>
      <c r="C374" s="506" t="s">
        <v>612</v>
      </c>
      <c r="D374" s="151" t="s">
        <v>260</v>
      </c>
      <c r="E374" s="154"/>
      <c r="F374" s="175"/>
    </row>
    <row r="375" spans="2:6" s="167" customFormat="1" ht="15" customHeight="1" outlineLevel="1" x14ac:dyDescent="0.2">
      <c r="B375" s="60" t="s">
        <v>3990</v>
      </c>
      <c r="C375" s="506" t="s">
        <v>613</v>
      </c>
      <c r="D375" s="151" t="s">
        <v>260</v>
      </c>
      <c r="E375" s="154"/>
      <c r="F375" s="175"/>
    </row>
    <row r="376" spans="2:6" s="167" customFormat="1" ht="15" customHeight="1" outlineLevel="1" x14ac:dyDescent="0.2">
      <c r="B376" s="60" t="s">
        <v>3991</v>
      </c>
      <c r="C376" s="506" t="s">
        <v>614</v>
      </c>
      <c r="D376" s="151" t="s">
        <v>260</v>
      </c>
      <c r="E376" s="154"/>
      <c r="F376" s="175"/>
    </row>
    <row r="377" spans="2:6" s="167" customFormat="1" ht="15" customHeight="1" outlineLevel="1" x14ac:dyDescent="0.2">
      <c r="B377" s="60" t="s">
        <v>3992</v>
      </c>
      <c r="C377" s="506" t="s">
        <v>615</v>
      </c>
      <c r="D377" s="151" t="s">
        <v>260</v>
      </c>
      <c r="E377" s="154"/>
      <c r="F377" s="175"/>
    </row>
    <row r="378" spans="2:6" s="167" customFormat="1" ht="15" customHeight="1" outlineLevel="1" x14ac:dyDescent="0.2">
      <c r="B378" s="60" t="s">
        <v>3993</v>
      </c>
      <c r="C378" s="506" t="s">
        <v>616</v>
      </c>
      <c r="D378" s="151" t="s">
        <v>260</v>
      </c>
      <c r="E378" s="154"/>
      <c r="F378" s="175"/>
    </row>
    <row r="379" spans="2:6" s="134" customFormat="1" ht="15" customHeight="1" x14ac:dyDescent="0.2">
      <c r="B379" s="60" t="s">
        <v>3994</v>
      </c>
      <c r="C379" s="512" t="s">
        <v>410</v>
      </c>
      <c r="D379" s="164" t="s">
        <v>254</v>
      </c>
      <c r="E379" s="91">
        <f>SUM(E380:E399)</f>
        <v>0</v>
      </c>
      <c r="F379" s="92">
        <f>SUM(F380:F399)</f>
        <v>0</v>
      </c>
    </row>
    <row r="380" spans="2:6" s="167" customFormat="1" ht="15" customHeight="1" outlineLevel="1" x14ac:dyDescent="0.2">
      <c r="B380" s="60" t="s">
        <v>3995</v>
      </c>
      <c r="C380" s="506" t="s">
        <v>454</v>
      </c>
      <c r="D380" s="151" t="s">
        <v>260</v>
      </c>
      <c r="E380" s="154"/>
      <c r="F380" s="175"/>
    </row>
    <row r="381" spans="2:6" s="167" customFormat="1" ht="15" customHeight="1" outlineLevel="1" x14ac:dyDescent="0.2">
      <c r="B381" s="60" t="s">
        <v>3996</v>
      </c>
      <c r="C381" s="506" t="s">
        <v>455</v>
      </c>
      <c r="D381" s="151" t="s">
        <v>260</v>
      </c>
      <c r="E381" s="154"/>
      <c r="F381" s="175"/>
    </row>
    <row r="382" spans="2:6" s="167" customFormat="1" ht="15" customHeight="1" outlineLevel="1" x14ac:dyDescent="0.2">
      <c r="B382" s="60" t="s">
        <v>3997</v>
      </c>
      <c r="C382" s="506" t="s">
        <v>459</v>
      </c>
      <c r="D382" s="151" t="s">
        <v>260</v>
      </c>
      <c r="E382" s="154"/>
      <c r="F382" s="175"/>
    </row>
    <row r="383" spans="2:6" s="167" customFormat="1" ht="15" customHeight="1" outlineLevel="1" x14ac:dyDescent="0.2">
      <c r="B383" s="60" t="s">
        <v>3998</v>
      </c>
      <c r="C383" s="506" t="s">
        <v>617</v>
      </c>
      <c r="D383" s="151" t="s">
        <v>260</v>
      </c>
      <c r="E383" s="154"/>
      <c r="F383" s="175"/>
    </row>
    <row r="384" spans="2:6" s="167" customFormat="1" ht="15" customHeight="1" outlineLevel="1" x14ac:dyDescent="0.2">
      <c r="B384" s="60" t="s">
        <v>3999</v>
      </c>
      <c r="C384" s="506" t="s">
        <v>618</v>
      </c>
      <c r="D384" s="151" t="s">
        <v>260</v>
      </c>
      <c r="E384" s="154"/>
      <c r="F384" s="175"/>
    </row>
    <row r="385" spans="2:6" s="167" customFormat="1" ht="15" customHeight="1" outlineLevel="1" x14ac:dyDescent="0.2">
      <c r="B385" s="60" t="s">
        <v>4000</v>
      </c>
      <c r="C385" s="506" t="s">
        <v>619</v>
      </c>
      <c r="D385" s="151" t="s">
        <v>260</v>
      </c>
      <c r="E385" s="154"/>
      <c r="F385" s="175"/>
    </row>
    <row r="386" spans="2:6" s="167" customFormat="1" ht="15" customHeight="1" outlineLevel="1" x14ac:dyDescent="0.2">
      <c r="B386" s="60" t="s">
        <v>4001</v>
      </c>
      <c r="C386" s="506" t="s">
        <v>620</v>
      </c>
      <c r="D386" s="151" t="s">
        <v>260</v>
      </c>
      <c r="E386" s="154"/>
      <c r="F386" s="175"/>
    </row>
    <row r="387" spans="2:6" s="167" customFormat="1" ht="15" customHeight="1" outlineLevel="1" x14ac:dyDescent="0.2">
      <c r="B387" s="60" t="s">
        <v>4002</v>
      </c>
      <c r="C387" s="506" t="s">
        <v>621</v>
      </c>
      <c r="D387" s="151" t="s">
        <v>260</v>
      </c>
      <c r="E387" s="154"/>
      <c r="F387" s="175"/>
    </row>
    <row r="388" spans="2:6" s="167" customFormat="1" ht="15" customHeight="1" outlineLevel="1" x14ac:dyDescent="0.2">
      <c r="B388" s="60" t="s">
        <v>4003</v>
      </c>
      <c r="C388" s="506" t="s">
        <v>622</v>
      </c>
      <c r="D388" s="151" t="s">
        <v>260</v>
      </c>
      <c r="E388" s="154"/>
      <c r="F388" s="175"/>
    </row>
    <row r="389" spans="2:6" s="167" customFormat="1" ht="15" customHeight="1" outlineLevel="1" x14ac:dyDescent="0.2">
      <c r="B389" s="60" t="s">
        <v>4004</v>
      </c>
      <c r="C389" s="506" t="s">
        <v>623</v>
      </c>
      <c r="D389" s="151" t="s">
        <v>260</v>
      </c>
      <c r="E389" s="154"/>
      <c r="F389" s="175"/>
    </row>
    <row r="390" spans="2:6" s="167" customFormat="1" ht="15" customHeight="1" outlineLevel="1" x14ac:dyDescent="0.2">
      <c r="B390" s="60" t="s">
        <v>4005</v>
      </c>
      <c r="C390" s="506" t="s">
        <v>624</v>
      </c>
      <c r="D390" s="151" t="s">
        <v>260</v>
      </c>
      <c r="E390" s="154"/>
      <c r="F390" s="175"/>
    </row>
    <row r="391" spans="2:6" s="167" customFormat="1" ht="15" customHeight="1" outlineLevel="1" x14ac:dyDescent="0.2">
      <c r="B391" s="60" t="s">
        <v>4006</v>
      </c>
      <c r="C391" s="506" t="s">
        <v>625</v>
      </c>
      <c r="D391" s="151" t="s">
        <v>260</v>
      </c>
      <c r="E391" s="154"/>
      <c r="F391" s="175"/>
    </row>
    <row r="392" spans="2:6" s="167" customFormat="1" ht="15" customHeight="1" outlineLevel="1" x14ac:dyDescent="0.2">
      <c r="B392" s="60" t="s">
        <v>4007</v>
      </c>
      <c r="C392" s="506" t="s">
        <v>626</v>
      </c>
      <c r="D392" s="151" t="s">
        <v>260</v>
      </c>
      <c r="E392" s="154"/>
      <c r="F392" s="175"/>
    </row>
    <row r="393" spans="2:6" s="167" customFormat="1" ht="15" customHeight="1" outlineLevel="1" x14ac:dyDescent="0.2">
      <c r="B393" s="60" t="s">
        <v>4008</v>
      </c>
      <c r="C393" s="506" t="s">
        <v>627</v>
      </c>
      <c r="D393" s="151" t="s">
        <v>260</v>
      </c>
      <c r="E393" s="154"/>
      <c r="F393" s="175"/>
    </row>
    <row r="394" spans="2:6" s="167" customFormat="1" ht="15" customHeight="1" outlineLevel="1" x14ac:dyDescent="0.2">
      <c r="B394" s="60" t="s">
        <v>4009</v>
      </c>
      <c r="C394" s="506" t="s">
        <v>628</v>
      </c>
      <c r="D394" s="151" t="s">
        <v>260</v>
      </c>
      <c r="E394" s="154"/>
      <c r="F394" s="175"/>
    </row>
    <row r="395" spans="2:6" s="167" customFormat="1" ht="15" customHeight="1" outlineLevel="1" x14ac:dyDescent="0.2">
      <c r="B395" s="60" t="s">
        <v>4010</v>
      </c>
      <c r="C395" s="506" t="s">
        <v>629</v>
      </c>
      <c r="D395" s="151" t="s">
        <v>260</v>
      </c>
      <c r="E395" s="154"/>
      <c r="F395" s="175"/>
    </row>
    <row r="396" spans="2:6" s="167" customFormat="1" ht="15" customHeight="1" outlineLevel="1" x14ac:dyDescent="0.2">
      <c r="B396" s="60" t="s">
        <v>4011</v>
      </c>
      <c r="C396" s="506" t="s">
        <v>630</v>
      </c>
      <c r="D396" s="151" t="s">
        <v>260</v>
      </c>
      <c r="E396" s="154"/>
      <c r="F396" s="175"/>
    </row>
    <row r="397" spans="2:6" s="167" customFormat="1" ht="15" customHeight="1" outlineLevel="1" x14ac:dyDescent="0.2">
      <c r="B397" s="60" t="s">
        <v>4012</v>
      </c>
      <c r="C397" s="506" t="s">
        <v>631</v>
      </c>
      <c r="D397" s="151" t="s">
        <v>260</v>
      </c>
      <c r="E397" s="154"/>
      <c r="F397" s="175"/>
    </row>
    <row r="398" spans="2:6" s="167" customFormat="1" ht="15" customHeight="1" outlineLevel="1" x14ac:dyDescent="0.2">
      <c r="B398" s="60" t="s">
        <v>4013</v>
      </c>
      <c r="C398" s="506" t="s">
        <v>632</v>
      </c>
      <c r="D398" s="151" t="s">
        <v>260</v>
      </c>
      <c r="E398" s="154"/>
      <c r="F398" s="175"/>
    </row>
    <row r="399" spans="2:6" s="167" customFormat="1" ht="15" customHeight="1" outlineLevel="1" x14ac:dyDescent="0.2">
      <c r="B399" s="60" t="s">
        <v>4014</v>
      </c>
      <c r="C399" s="506" t="s">
        <v>633</v>
      </c>
      <c r="D399" s="151" t="s">
        <v>260</v>
      </c>
      <c r="E399" s="154"/>
      <c r="F399" s="175"/>
    </row>
    <row r="400" spans="2:6" s="132" customFormat="1" ht="15" customHeight="1" collapsed="1" x14ac:dyDescent="0.2">
      <c r="B400" s="60" t="s">
        <v>4015</v>
      </c>
      <c r="C400" s="397">
        <v>4</v>
      </c>
      <c r="D400" s="94" t="s">
        <v>33</v>
      </c>
      <c r="E400" s="635">
        <f>E401+E422</f>
        <v>0</v>
      </c>
      <c r="F400" s="638">
        <f>F401+F422</f>
        <v>0</v>
      </c>
    </row>
    <row r="401" spans="2:6" s="134" customFormat="1" ht="15" customHeight="1" x14ac:dyDescent="0.2">
      <c r="B401" s="60" t="s">
        <v>4016</v>
      </c>
      <c r="C401" s="512" t="s">
        <v>427</v>
      </c>
      <c r="D401" s="164" t="s">
        <v>250</v>
      </c>
      <c r="E401" s="91">
        <f>SUM(E402:E421)</f>
        <v>0</v>
      </c>
      <c r="F401" s="92">
        <f>SUM(F402:F421)</f>
        <v>0</v>
      </c>
    </row>
    <row r="402" spans="2:6" s="167" customFormat="1" ht="15" customHeight="1" outlineLevel="1" x14ac:dyDescent="0.2">
      <c r="B402" s="60" t="s">
        <v>4017</v>
      </c>
      <c r="C402" s="506" t="s">
        <v>443</v>
      </c>
      <c r="D402" s="166" t="s">
        <v>263</v>
      </c>
      <c r="E402" s="154"/>
      <c r="F402" s="175"/>
    </row>
    <row r="403" spans="2:6" s="167" customFormat="1" ht="15" customHeight="1" outlineLevel="1" x14ac:dyDescent="0.2">
      <c r="B403" s="60" t="s">
        <v>4018</v>
      </c>
      <c r="C403" s="506" t="s">
        <v>442</v>
      </c>
      <c r="D403" s="166" t="s">
        <v>263</v>
      </c>
      <c r="E403" s="154"/>
      <c r="F403" s="175"/>
    </row>
    <row r="404" spans="2:6" s="167" customFormat="1" ht="15" customHeight="1" outlineLevel="1" x14ac:dyDescent="0.2">
      <c r="B404" s="60" t="s">
        <v>4019</v>
      </c>
      <c r="C404" s="506" t="s">
        <v>460</v>
      </c>
      <c r="D404" s="166" t="s">
        <v>263</v>
      </c>
      <c r="E404" s="154"/>
      <c r="F404" s="175"/>
    </row>
    <row r="405" spans="2:6" s="167" customFormat="1" ht="15" customHeight="1" outlineLevel="1" x14ac:dyDescent="0.2">
      <c r="B405" s="60" t="s">
        <v>4020</v>
      </c>
      <c r="C405" s="506" t="s">
        <v>634</v>
      </c>
      <c r="D405" s="166" t="s">
        <v>263</v>
      </c>
      <c r="E405" s="154"/>
      <c r="F405" s="175"/>
    </row>
    <row r="406" spans="2:6" s="167" customFormat="1" ht="15" customHeight="1" outlineLevel="1" x14ac:dyDescent="0.2">
      <c r="B406" s="60" t="s">
        <v>4021</v>
      </c>
      <c r="C406" s="506" t="s">
        <v>635</v>
      </c>
      <c r="D406" s="166" t="s">
        <v>263</v>
      </c>
      <c r="E406" s="154"/>
      <c r="F406" s="175"/>
    </row>
    <row r="407" spans="2:6" s="167" customFormat="1" ht="15" customHeight="1" outlineLevel="1" x14ac:dyDescent="0.2">
      <c r="B407" s="60" t="s">
        <v>4022</v>
      </c>
      <c r="C407" s="506" t="s">
        <v>636</v>
      </c>
      <c r="D407" s="166" t="s">
        <v>263</v>
      </c>
      <c r="E407" s="154"/>
      <c r="F407" s="175"/>
    </row>
    <row r="408" spans="2:6" s="167" customFormat="1" ht="15" customHeight="1" outlineLevel="1" x14ac:dyDescent="0.2">
      <c r="B408" s="60" t="s">
        <v>4023</v>
      </c>
      <c r="C408" s="506" t="s">
        <v>637</v>
      </c>
      <c r="D408" s="166" t="s">
        <v>263</v>
      </c>
      <c r="E408" s="154"/>
      <c r="F408" s="175"/>
    </row>
    <row r="409" spans="2:6" s="167" customFormat="1" ht="15" customHeight="1" outlineLevel="1" x14ac:dyDescent="0.2">
      <c r="B409" s="60" t="s">
        <v>4024</v>
      </c>
      <c r="C409" s="506" t="s">
        <v>638</v>
      </c>
      <c r="D409" s="166" t="s">
        <v>263</v>
      </c>
      <c r="E409" s="154"/>
      <c r="F409" s="175"/>
    </row>
    <row r="410" spans="2:6" s="167" customFormat="1" ht="15" customHeight="1" outlineLevel="1" x14ac:dyDescent="0.2">
      <c r="B410" s="60" t="s">
        <v>4025</v>
      </c>
      <c r="C410" s="506" t="s">
        <v>639</v>
      </c>
      <c r="D410" s="166" t="s">
        <v>263</v>
      </c>
      <c r="E410" s="154"/>
      <c r="F410" s="175"/>
    </row>
    <row r="411" spans="2:6" s="167" customFormat="1" ht="15" customHeight="1" outlineLevel="1" x14ac:dyDescent="0.2">
      <c r="B411" s="60" t="s">
        <v>4026</v>
      </c>
      <c r="C411" s="506" t="s">
        <v>640</v>
      </c>
      <c r="D411" s="166" t="s">
        <v>263</v>
      </c>
      <c r="E411" s="154"/>
      <c r="F411" s="175"/>
    </row>
    <row r="412" spans="2:6" s="167" customFormat="1" ht="15" customHeight="1" outlineLevel="1" x14ac:dyDescent="0.2">
      <c r="B412" s="60" t="s">
        <v>4027</v>
      </c>
      <c r="C412" s="506" t="s">
        <v>641</v>
      </c>
      <c r="D412" s="166" t="s">
        <v>263</v>
      </c>
      <c r="E412" s="154"/>
      <c r="F412" s="175"/>
    </row>
    <row r="413" spans="2:6" s="167" customFormat="1" ht="15" customHeight="1" outlineLevel="1" x14ac:dyDescent="0.2">
      <c r="B413" s="60" t="s">
        <v>4028</v>
      </c>
      <c r="C413" s="506" t="s">
        <v>642</v>
      </c>
      <c r="D413" s="166" t="s">
        <v>263</v>
      </c>
      <c r="E413" s="154"/>
      <c r="F413" s="175"/>
    </row>
    <row r="414" spans="2:6" s="167" customFormat="1" ht="15" customHeight="1" outlineLevel="1" x14ac:dyDescent="0.2">
      <c r="B414" s="60" t="s">
        <v>4029</v>
      </c>
      <c r="C414" s="506" t="s">
        <v>643</v>
      </c>
      <c r="D414" s="166" t="s">
        <v>263</v>
      </c>
      <c r="E414" s="154"/>
      <c r="F414" s="175"/>
    </row>
    <row r="415" spans="2:6" s="167" customFormat="1" ht="15" customHeight="1" outlineLevel="1" x14ac:dyDescent="0.2">
      <c r="B415" s="60" t="s">
        <v>4030</v>
      </c>
      <c r="C415" s="506" t="s">
        <v>644</v>
      </c>
      <c r="D415" s="166" t="s">
        <v>263</v>
      </c>
      <c r="E415" s="154"/>
      <c r="F415" s="175"/>
    </row>
    <row r="416" spans="2:6" s="167" customFormat="1" ht="15" customHeight="1" outlineLevel="1" x14ac:dyDescent="0.2">
      <c r="B416" s="60" t="s">
        <v>4031</v>
      </c>
      <c r="C416" s="506" t="s">
        <v>645</v>
      </c>
      <c r="D416" s="166" t="s">
        <v>263</v>
      </c>
      <c r="E416" s="154"/>
      <c r="F416" s="175"/>
    </row>
    <row r="417" spans="2:6" s="167" customFormat="1" ht="15" customHeight="1" outlineLevel="1" x14ac:dyDescent="0.2">
      <c r="B417" s="60" t="s">
        <v>4032</v>
      </c>
      <c r="C417" s="506" t="s">
        <v>646</v>
      </c>
      <c r="D417" s="166" t="s">
        <v>263</v>
      </c>
      <c r="E417" s="154"/>
      <c r="F417" s="175"/>
    </row>
    <row r="418" spans="2:6" s="167" customFormat="1" ht="15" customHeight="1" outlineLevel="1" x14ac:dyDescent="0.2">
      <c r="B418" s="60" t="s">
        <v>4033</v>
      </c>
      <c r="C418" s="506" t="s">
        <v>647</v>
      </c>
      <c r="D418" s="166" t="s">
        <v>263</v>
      </c>
      <c r="E418" s="154"/>
      <c r="F418" s="175"/>
    </row>
    <row r="419" spans="2:6" s="167" customFormat="1" ht="15" customHeight="1" outlineLevel="1" x14ac:dyDescent="0.2">
      <c r="B419" s="60" t="s">
        <v>4034</v>
      </c>
      <c r="C419" s="506" t="s">
        <v>648</v>
      </c>
      <c r="D419" s="166" t="s">
        <v>263</v>
      </c>
      <c r="E419" s="154"/>
      <c r="F419" s="175"/>
    </row>
    <row r="420" spans="2:6" s="167" customFormat="1" ht="15" customHeight="1" outlineLevel="1" x14ac:dyDescent="0.2">
      <c r="B420" s="60" t="s">
        <v>4035</v>
      </c>
      <c r="C420" s="506" t="s">
        <v>649</v>
      </c>
      <c r="D420" s="166" t="s">
        <v>263</v>
      </c>
      <c r="E420" s="154"/>
      <c r="F420" s="175"/>
    </row>
    <row r="421" spans="2:6" s="167" customFormat="1" ht="15" customHeight="1" outlineLevel="1" x14ac:dyDescent="0.2">
      <c r="B421" s="60" t="s">
        <v>4036</v>
      </c>
      <c r="C421" s="506" t="s">
        <v>650</v>
      </c>
      <c r="D421" s="166" t="s">
        <v>263</v>
      </c>
      <c r="E421" s="154"/>
      <c r="F421" s="175"/>
    </row>
    <row r="422" spans="2:6" s="134" customFormat="1" ht="15" customHeight="1" x14ac:dyDescent="0.2">
      <c r="B422" s="60" t="s">
        <v>4037</v>
      </c>
      <c r="C422" s="512" t="s">
        <v>428</v>
      </c>
      <c r="D422" s="164" t="s">
        <v>254</v>
      </c>
      <c r="E422" s="91">
        <f>SUM(E423:E442)</f>
        <v>0</v>
      </c>
      <c r="F422" s="92">
        <f>SUM(F423:F442)</f>
        <v>0</v>
      </c>
    </row>
    <row r="423" spans="2:6" s="167" customFormat="1" ht="15" customHeight="1" outlineLevel="1" x14ac:dyDescent="0.2">
      <c r="B423" s="60" t="s">
        <v>4038</v>
      </c>
      <c r="C423" s="506" t="s">
        <v>444</v>
      </c>
      <c r="D423" s="166" t="s">
        <v>263</v>
      </c>
      <c r="E423" s="154"/>
      <c r="F423" s="175"/>
    </row>
    <row r="424" spans="2:6" s="167" customFormat="1" ht="15" customHeight="1" outlineLevel="1" x14ac:dyDescent="0.2">
      <c r="B424" s="60" t="s">
        <v>4039</v>
      </c>
      <c r="C424" s="506" t="s">
        <v>445</v>
      </c>
      <c r="D424" s="166" t="s">
        <v>263</v>
      </c>
      <c r="E424" s="154"/>
      <c r="F424" s="175"/>
    </row>
    <row r="425" spans="2:6" s="167" customFormat="1" ht="15" customHeight="1" outlineLevel="1" x14ac:dyDescent="0.2">
      <c r="B425" s="60" t="s">
        <v>4040</v>
      </c>
      <c r="C425" s="506" t="s">
        <v>461</v>
      </c>
      <c r="D425" s="166" t="s">
        <v>263</v>
      </c>
      <c r="E425" s="154"/>
      <c r="F425" s="175"/>
    </row>
    <row r="426" spans="2:6" s="167" customFormat="1" ht="15" customHeight="1" outlineLevel="1" x14ac:dyDescent="0.2">
      <c r="B426" s="60" t="s">
        <v>4041</v>
      </c>
      <c r="C426" s="506" t="s">
        <v>651</v>
      </c>
      <c r="D426" s="166" t="s">
        <v>263</v>
      </c>
      <c r="E426" s="154"/>
      <c r="F426" s="175"/>
    </row>
    <row r="427" spans="2:6" s="167" customFormat="1" ht="15" customHeight="1" outlineLevel="1" x14ac:dyDescent="0.2">
      <c r="B427" s="60" t="s">
        <v>4042</v>
      </c>
      <c r="C427" s="506" t="s">
        <v>652</v>
      </c>
      <c r="D427" s="166" t="s">
        <v>263</v>
      </c>
      <c r="E427" s="154"/>
      <c r="F427" s="175"/>
    </row>
    <row r="428" spans="2:6" s="167" customFormat="1" ht="15" customHeight="1" outlineLevel="1" x14ac:dyDescent="0.2">
      <c r="B428" s="60" t="s">
        <v>4043</v>
      </c>
      <c r="C428" s="506" t="s">
        <v>653</v>
      </c>
      <c r="D428" s="166" t="s">
        <v>263</v>
      </c>
      <c r="E428" s="154"/>
      <c r="F428" s="175"/>
    </row>
    <row r="429" spans="2:6" s="167" customFormat="1" ht="15" customHeight="1" outlineLevel="1" x14ac:dyDescent="0.2">
      <c r="B429" s="60" t="s">
        <v>4044</v>
      </c>
      <c r="C429" s="506" t="s">
        <v>654</v>
      </c>
      <c r="D429" s="166" t="s">
        <v>263</v>
      </c>
      <c r="E429" s="154"/>
      <c r="F429" s="175"/>
    </row>
    <row r="430" spans="2:6" s="167" customFormat="1" ht="15" customHeight="1" outlineLevel="1" x14ac:dyDescent="0.2">
      <c r="B430" s="60" t="s">
        <v>4045</v>
      </c>
      <c r="C430" s="506" t="s">
        <v>655</v>
      </c>
      <c r="D430" s="166" t="s">
        <v>263</v>
      </c>
      <c r="E430" s="154"/>
      <c r="F430" s="175"/>
    </row>
    <row r="431" spans="2:6" s="167" customFormat="1" ht="15" customHeight="1" outlineLevel="1" x14ac:dyDescent="0.2">
      <c r="B431" s="60" t="s">
        <v>4046</v>
      </c>
      <c r="C431" s="506" t="s">
        <v>656</v>
      </c>
      <c r="D431" s="166" t="s">
        <v>263</v>
      </c>
      <c r="E431" s="154"/>
      <c r="F431" s="175"/>
    </row>
    <row r="432" spans="2:6" s="167" customFormat="1" ht="15" customHeight="1" outlineLevel="1" x14ac:dyDescent="0.2">
      <c r="B432" s="60" t="s">
        <v>4047</v>
      </c>
      <c r="C432" s="506" t="s">
        <v>657</v>
      </c>
      <c r="D432" s="166" t="s">
        <v>263</v>
      </c>
      <c r="E432" s="154"/>
      <c r="F432" s="175"/>
    </row>
    <row r="433" spans="2:6" s="167" customFormat="1" ht="15" customHeight="1" outlineLevel="1" x14ac:dyDescent="0.2">
      <c r="B433" s="60" t="s">
        <v>4048</v>
      </c>
      <c r="C433" s="506" t="s">
        <v>658</v>
      </c>
      <c r="D433" s="166" t="s">
        <v>263</v>
      </c>
      <c r="E433" s="154"/>
      <c r="F433" s="175"/>
    </row>
    <row r="434" spans="2:6" s="167" customFormat="1" ht="15" customHeight="1" outlineLevel="1" x14ac:dyDescent="0.2">
      <c r="B434" s="60" t="s">
        <v>4049</v>
      </c>
      <c r="C434" s="506" t="s">
        <v>659</v>
      </c>
      <c r="D434" s="166" t="s">
        <v>263</v>
      </c>
      <c r="E434" s="154"/>
      <c r="F434" s="175"/>
    </row>
    <row r="435" spans="2:6" s="167" customFormat="1" ht="15" customHeight="1" outlineLevel="1" x14ac:dyDescent="0.2">
      <c r="B435" s="60" t="s">
        <v>4050</v>
      </c>
      <c r="C435" s="506" t="s">
        <v>660</v>
      </c>
      <c r="D435" s="166" t="s">
        <v>263</v>
      </c>
      <c r="E435" s="154"/>
      <c r="F435" s="175"/>
    </row>
    <row r="436" spans="2:6" s="167" customFormat="1" ht="15" customHeight="1" outlineLevel="1" x14ac:dyDescent="0.2">
      <c r="B436" s="60" t="s">
        <v>4051</v>
      </c>
      <c r="C436" s="506" t="s">
        <v>661</v>
      </c>
      <c r="D436" s="166" t="s">
        <v>263</v>
      </c>
      <c r="E436" s="154"/>
      <c r="F436" s="175"/>
    </row>
    <row r="437" spans="2:6" s="167" customFormat="1" ht="15" customHeight="1" outlineLevel="1" x14ac:dyDescent="0.2">
      <c r="B437" s="60" t="s">
        <v>4052</v>
      </c>
      <c r="C437" s="506" t="s">
        <v>662</v>
      </c>
      <c r="D437" s="166" t="s">
        <v>263</v>
      </c>
      <c r="E437" s="154"/>
      <c r="F437" s="175"/>
    </row>
    <row r="438" spans="2:6" s="167" customFormat="1" ht="15" customHeight="1" outlineLevel="1" x14ac:dyDescent="0.2">
      <c r="B438" s="60" t="s">
        <v>4053</v>
      </c>
      <c r="C438" s="506" t="s">
        <v>663</v>
      </c>
      <c r="D438" s="166" t="s">
        <v>263</v>
      </c>
      <c r="E438" s="154"/>
      <c r="F438" s="175"/>
    </row>
    <row r="439" spans="2:6" s="167" customFormat="1" ht="15" customHeight="1" outlineLevel="1" x14ac:dyDescent="0.2">
      <c r="B439" s="60" t="s">
        <v>4054</v>
      </c>
      <c r="C439" s="506" t="s">
        <v>664</v>
      </c>
      <c r="D439" s="166" t="s">
        <v>263</v>
      </c>
      <c r="E439" s="154"/>
      <c r="F439" s="175"/>
    </row>
    <row r="440" spans="2:6" s="167" customFormat="1" ht="15" customHeight="1" outlineLevel="1" x14ac:dyDescent="0.2">
      <c r="B440" s="60" t="s">
        <v>4055</v>
      </c>
      <c r="C440" s="506" t="s">
        <v>665</v>
      </c>
      <c r="D440" s="166" t="s">
        <v>263</v>
      </c>
      <c r="E440" s="154"/>
      <c r="F440" s="175"/>
    </row>
    <row r="441" spans="2:6" s="167" customFormat="1" ht="15" customHeight="1" outlineLevel="1" x14ac:dyDescent="0.2">
      <c r="B441" s="60" t="s">
        <v>4056</v>
      </c>
      <c r="C441" s="506" t="s">
        <v>666</v>
      </c>
      <c r="D441" s="166" t="s">
        <v>263</v>
      </c>
      <c r="E441" s="154"/>
      <c r="F441" s="175"/>
    </row>
    <row r="442" spans="2:6" s="167" customFormat="1" ht="15" customHeight="1" outlineLevel="1" x14ac:dyDescent="0.2">
      <c r="B442" s="60" t="s">
        <v>4057</v>
      </c>
      <c r="C442" s="506" t="s">
        <v>667</v>
      </c>
      <c r="D442" s="166" t="s">
        <v>263</v>
      </c>
      <c r="E442" s="154"/>
      <c r="F442" s="175"/>
    </row>
    <row r="443" spans="2:6" s="142" customFormat="1" ht="30" customHeight="1" collapsed="1" thickBot="1" x14ac:dyDescent="0.25">
      <c r="B443" s="491" t="s">
        <v>4058</v>
      </c>
      <c r="C443" s="793" t="s">
        <v>34</v>
      </c>
      <c r="D443" s="794"/>
      <c r="E443" s="241">
        <f>E271+E314+E357+E400</f>
        <v>0</v>
      </c>
      <c r="F443" s="242">
        <f>F271+F314+F357+F400</f>
        <v>0</v>
      </c>
    </row>
    <row r="446" spans="2:6" x14ac:dyDescent="0.3">
      <c r="C446" s="782"/>
      <c r="D446" s="782"/>
      <c r="E446" s="782"/>
      <c r="F446" s="782"/>
    </row>
    <row r="447" spans="2:6" x14ac:dyDescent="0.3">
      <c r="C447" s="785"/>
      <c r="D447" s="785"/>
      <c r="E447" s="785"/>
      <c r="F447" s="785"/>
    </row>
    <row r="448" spans="2:6" x14ac:dyDescent="0.3">
      <c r="C448" s="782"/>
      <c r="D448" s="782"/>
      <c r="E448" s="782"/>
      <c r="F448" s="782"/>
    </row>
    <row r="449" spans="3:6" x14ac:dyDescent="0.3">
      <c r="C449" s="785"/>
      <c r="D449" s="785"/>
      <c r="E449" s="785"/>
      <c r="F449" s="785"/>
    </row>
    <row r="450" spans="3:6" x14ac:dyDescent="0.3">
      <c r="C450" s="782"/>
      <c r="D450" s="782"/>
      <c r="E450" s="782"/>
      <c r="F450" s="782"/>
    </row>
    <row r="451" spans="3:6" x14ac:dyDescent="0.3">
      <c r="C451" s="785"/>
      <c r="D451" s="785"/>
      <c r="E451" s="785"/>
      <c r="F451" s="785"/>
    </row>
  </sheetData>
  <mergeCells count="17">
    <mergeCell ref="C447:F447"/>
    <mergeCell ref="C448:F448"/>
    <mergeCell ref="C449:F449"/>
    <mergeCell ref="C450:F450"/>
    <mergeCell ref="C451:F451"/>
    <mergeCell ref="B1:C1"/>
    <mergeCell ref="E1:F1"/>
    <mergeCell ref="E5:F5"/>
    <mergeCell ref="B2:F2"/>
    <mergeCell ref="D4:F4"/>
    <mergeCell ref="C443:D443"/>
    <mergeCell ref="C446:F446"/>
    <mergeCell ref="C8:F8"/>
    <mergeCell ref="C95:F95"/>
    <mergeCell ref="C270:F270"/>
    <mergeCell ref="C93:D93"/>
    <mergeCell ref="C268:D268"/>
  </mergeCells>
  <phoneticPr fontId="14" type="noConversion"/>
  <printOptions horizontalCentered="1"/>
  <pageMargins left="0.17" right="0.17" top="0.26" bottom="0.2" header="0.17" footer="0.17"/>
  <pageSetup scale="85" orientation="portrait" r:id="rId1"/>
  <ignoredErrors>
    <ignoredError sqref="C270:D401 C10:D72 C93:D93 C73:C92 C95:D268 C422:D442 C402:C421 B9:B443"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ummaryRight="0"/>
  </sheetPr>
  <dimension ref="B1:J408"/>
  <sheetViews>
    <sheetView showGridLines="0" zoomScale="90" zoomScaleNormal="90" workbookViewId="0">
      <pane ySplit="6" topLeftCell="A139" activePane="bottomLeft" state="frozen"/>
      <selection activeCell="C120" sqref="C120"/>
      <selection pane="bottomLeft" activeCell="K151" sqref="K151"/>
    </sheetView>
  </sheetViews>
  <sheetFormatPr defaultColWidth="9.140625" defaultRowHeight="15" outlineLevelRow="1" x14ac:dyDescent="0.3"/>
  <cols>
    <col min="1" max="1" width="2" style="5" customWidth="1"/>
    <col min="2" max="2" width="9" style="5" customWidth="1"/>
    <col min="3" max="3" width="5.85546875" style="5" customWidth="1"/>
    <col min="4" max="4" width="78.140625" style="5" customWidth="1"/>
    <col min="5" max="6" width="16.140625" style="5" customWidth="1"/>
    <col min="7" max="16384" width="9.140625" style="5"/>
  </cols>
  <sheetData>
    <row r="1" spans="2:10" s="4" customFormat="1" ht="15" customHeight="1" x14ac:dyDescent="0.3">
      <c r="B1" s="799" t="s">
        <v>315</v>
      </c>
      <c r="C1" s="799"/>
      <c r="D1" s="52"/>
      <c r="E1" s="791" t="s">
        <v>1239</v>
      </c>
      <c r="F1" s="791"/>
    </row>
    <row r="2" spans="2:10" ht="15" customHeight="1" x14ac:dyDescent="0.3">
      <c r="B2" s="874" t="s">
        <v>4688</v>
      </c>
      <c r="C2" s="874"/>
      <c r="D2" s="874"/>
      <c r="E2" s="874"/>
      <c r="F2" s="874"/>
    </row>
    <row r="3" spans="2:10" ht="15" customHeight="1" x14ac:dyDescent="0.3">
      <c r="E3" s="10"/>
    </row>
    <row r="4" spans="2:10" s="187" customFormat="1" ht="15" customHeight="1" x14ac:dyDescent="0.35">
      <c r="B4" s="180"/>
      <c r="D4" s="815" t="s">
        <v>3340</v>
      </c>
      <c r="E4" s="815"/>
      <c r="F4" s="815"/>
      <c r="G4" s="193"/>
      <c r="H4" s="277"/>
      <c r="I4" s="277"/>
      <c r="J4" s="277"/>
    </row>
    <row r="5" spans="2:10" ht="15" customHeight="1" thickBot="1" x14ac:dyDescent="0.35">
      <c r="D5" s="14"/>
      <c r="E5" s="802" t="s">
        <v>323</v>
      </c>
      <c r="F5" s="802"/>
    </row>
    <row r="6" spans="2:10" s="80" customFormat="1" ht="45.75" thickBot="1" x14ac:dyDescent="0.25">
      <c r="B6" s="481" t="s">
        <v>4627</v>
      </c>
      <c r="C6" s="492" t="s">
        <v>1211</v>
      </c>
      <c r="D6" s="492"/>
      <c r="E6" s="416" t="s">
        <v>322</v>
      </c>
      <c r="F6" s="417" t="s">
        <v>333</v>
      </c>
    </row>
    <row r="7" spans="2:10" s="4" customFormat="1" ht="9" customHeight="1" x14ac:dyDescent="0.3">
      <c r="C7" s="12"/>
      <c r="D7" s="79"/>
      <c r="E7" s="53"/>
      <c r="F7" s="53"/>
    </row>
    <row r="8" spans="2:10" s="4" customFormat="1" ht="15" customHeight="1" x14ac:dyDescent="0.3">
      <c r="C8" s="834" t="s">
        <v>3333</v>
      </c>
      <c r="D8" s="834"/>
      <c r="E8" s="834"/>
      <c r="F8" s="834"/>
    </row>
    <row r="9" spans="2:10" s="4" customFormat="1" ht="14.25" customHeight="1" thickBot="1" x14ac:dyDescent="0.35">
      <c r="C9" s="12"/>
      <c r="D9" s="79"/>
      <c r="E9" s="53"/>
      <c r="F9" s="53"/>
    </row>
    <row r="10" spans="2:10" s="48" customFormat="1" ht="15" customHeight="1" x14ac:dyDescent="0.3">
      <c r="B10" s="418" t="s">
        <v>3628</v>
      </c>
      <c r="C10" s="406">
        <v>1</v>
      </c>
      <c r="D10" s="568" t="s">
        <v>205</v>
      </c>
      <c r="E10" s="569">
        <f>SUM(E11:E30)</f>
        <v>0</v>
      </c>
      <c r="F10" s="570">
        <f>SUM(F11:F30)</f>
        <v>0</v>
      </c>
    </row>
    <row r="11" spans="2:10" s="177" customFormat="1" ht="15" customHeight="1" outlineLevel="1" x14ac:dyDescent="0.3">
      <c r="B11" s="60" t="s">
        <v>3629</v>
      </c>
      <c r="C11" s="579">
        <v>1.1000000000000001</v>
      </c>
      <c r="D11" s="84" t="s">
        <v>258</v>
      </c>
      <c r="E11" s="85"/>
      <c r="F11" s="86"/>
      <c r="G11" s="188"/>
    </row>
    <row r="12" spans="2:10" s="177" customFormat="1" ht="15" customHeight="1" outlineLevel="1" x14ac:dyDescent="0.3">
      <c r="B12" s="60" t="s">
        <v>3630</v>
      </c>
      <c r="C12" s="579">
        <v>1.2</v>
      </c>
      <c r="D12" s="84" t="s">
        <v>258</v>
      </c>
      <c r="E12" s="85"/>
      <c r="F12" s="86"/>
      <c r="G12" s="188"/>
    </row>
    <row r="13" spans="2:10" s="177" customFormat="1" ht="15" customHeight="1" outlineLevel="1" x14ac:dyDescent="0.3">
      <c r="B13" s="60" t="s">
        <v>3631</v>
      </c>
      <c r="C13" s="579">
        <v>1.3</v>
      </c>
      <c r="D13" s="84" t="s">
        <v>258</v>
      </c>
      <c r="E13" s="85"/>
      <c r="F13" s="86"/>
      <c r="G13" s="188"/>
    </row>
    <row r="14" spans="2:10" s="177" customFormat="1" ht="15" customHeight="1" outlineLevel="1" x14ac:dyDescent="0.3">
      <c r="B14" s="60" t="s">
        <v>3632</v>
      </c>
      <c r="C14" s="579">
        <v>1.4</v>
      </c>
      <c r="D14" s="84" t="s">
        <v>258</v>
      </c>
      <c r="E14" s="85"/>
      <c r="F14" s="86"/>
      <c r="G14" s="188"/>
    </row>
    <row r="15" spans="2:10" s="177" customFormat="1" ht="15" customHeight="1" outlineLevel="1" x14ac:dyDescent="0.3">
      <c r="B15" s="60" t="s">
        <v>3633</v>
      </c>
      <c r="C15" s="579">
        <v>1.5</v>
      </c>
      <c r="D15" s="84" t="s">
        <v>258</v>
      </c>
      <c r="E15" s="85"/>
      <c r="F15" s="86"/>
      <c r="G15" s="188"/>
    </row>
    <row r="16" spans="2:10" s="177" customFormat="1" ht="15" customHeight="1" outlineLevel="1" x14ac:dyDescent="0.3">
      <c r="B16" s="60" t="s">
        <v>3634</v>
      </c>
      <c r="C16" s="579">
        <v>1.6</v>
      </c>
      <c r="D16" s="84" t="s">
        <v>258</v>
      </c>
      <c r="E16" s="85"/>
      <c r="F16" s="86"/>
      <c r="G16" s="188"/>
    </row>
    <row r="17" spans="2:8" s="177" customFormat="1" ht="15" customHeight="1" outlineLevel="1" x14ac:dyDescent="0.3">
      <c r="B17" s="60" t="s">
        <v>3635</v>
      </c>
      <c r="C17" s="579">
        <v>1.7</v>
      </c>
      <c r="D17" s="84" t="s">
        <v>258</v>
      </c>
      <c r="E17" s="85"/>
      <c r="F17" s="86"/>
      <c r="G17" s="188"/>
    </row>
    <row r="18" spans="2:8" s="177" customFormat="1" ht="15" customHeight="1" outlineLevel="1" x14ac:dyDescent="0.3">
      <c r="B18" s="60" t="s">
        <v>3636</v>
      </c>
      <c r="C18" s="579">
        <v>1.8</v>
      </c>
      <c r="D18" s="84" t="s">
        <v>258</v>
      </c>
      <c r="E18" s="85"/>
      <c r="F18" s="86"/>
      <c r="G18" s="188"/>
    </row>
    <row r="19" spans="2:8" s="177" customFormat="1" ht="15" customHeight="1" outlineLevel="1" x14ac:dyDescent="0.3">
      <c r="B19" s="60" t="s">
        <v>3637</v>
      </c>
      <c r="C19" s="579">
        <v>1.9</v>
      </c>
      <c r="D19" s="84" t="s">
        <v>258</v>
      </c>
      <c r="E19" s="85"/>
      <c r="F19" s="86"/>
      <c r="G19" s="188"/>
    </row>
    <row r="20" spans="2:8" s="177" customFormat="1" ht="15" customHeight="1" outlineLevel="1" x14ac:dyDescent="0.3">
      <c r="B20" s="60" t="s">
        <v>3638</v>
      </c>
      <c r="C20" s="580">
        <v>1.1000000000000001</v>
      </c>
      <c r="D20" s="84" t="s">
        <v>258</v>
      </c>
      <c r="E20" s="85"/>
      <c r="F20" s="86"/>
      <c r="G20" s="188"/>
    </row>
    <row r="21" spans="2:8" s="177" customFormat="1" ht="15" customHeight="1" outlineLevel="1" x14ac:dyDescent="0.3">
      <c r="B21" s="60" t="s">
        <v>3639</v>
      </c>
      <c r="C21" s="579">
        <v>1.1100000000000001</v>
      </c>
      <c r="D21" s="84" t="s">
        <v>258</v>
      </c>
      <c r="E21" s="85"/>
      <c r="F21" s="86"/>
      <c r="G21" s="188"/>
    </row>
    <row r="22" spans="2:8" s="177" customFormat="1" ht="15" customHeight="1" outlineLevel="1" x14ac:dyDescent="0.3">
      <c r="B22" s="60" t="s">
        <v>3640</v>
      </c>
      <c r="C22" s="580">
        <v>1.1200000000000001</v>
      </c>
      <c r="D22" s="84" t="s">
        <v>258</v>
      </c>
      <c r="E22" s="85"/>
      <c r="F22" s="86"/>
      <c r="G22" s="188"/>
    </row>
    <row r="23" spans="2:8" s="177" customFormat="1" ht="15" customHeight="1" outlineLevel="1" x14ac:dyDescent="0.3">
      <c r="B23" s="60" t="s">
        <v>3641</v>
      </c>
      <c r="C23" s="579">
        <v>1.1299999999999999</v>
      </c>
      <c r="D23" s="84" t="s">
        <v>258</v>
      </c>
      <c r="E23" s="85"/>
      <c r="F23" s="86"/>
      <c r="G23" s="188"/>
    </row>
    <row r="24" spans="2:8" s="177" customFormat="1" ht="15" customHeight="1" outlineLevel="1" x14ac:dyDescent="0.3">
      <c r="B24" s="60" t="s">
        <v>3642</v>
      </c>
      <c r="C24" s="580">
        <v>1.1399999999999999</v>
      </c>
      <c r="D24" s="84" t="s">
        <v>258</v>
      </c>
      <c r="E24" s="85"/>
      <c r="F24" s="86"/>
      <c r="G24" s="188"/>
    </row>
    <row r="25" spans="2:8" s="177" customFormat="1" ht="15" customHeight="1" outlineLevel="1" x14ac:dyDescent="0.3">
      <c r="B25" s="60" t="s">
        <v>3643</v>
      </c>
      <c r="C25" s="579">
        <v>1.1499999999999999</v>
      </c>
      <c r="D25" s="84" t="s">
        <v>258</v>
      </c>
      <c r="E25" s="85"/>
      <c r="F25" s="86"/>
      <c r="G25" s="188"/>
    </row>
    <row r="26" spans="2:8" s="177" customFormat="1" ht="15" customHeight="1" outlineLevel="1" x14ac:dyDescent="0.3">
      <c r="B26" s="60" t="s">
        <v>3644</v>
      </c>
      <c r="C26" s="580">
        <v>1.1599999999999999</v>
      </c>
      <c r="D26" s="84" t="s">
        <v>258</v>
      </c>
      <c r="E26" s="85"/>
      <c r="F26" s="86"/>
      <c r="G26" s="188"/>
    </row>
    <row r="27" spans="2:8" s="177" customFormat="1" ht="15" customHeight="1" outlineLevel="1" x14ac:dyDescent="0.3">
      <c r="B27" s="60" t="s">
        <v>3645</v>
      </c>
      <c r="C27" s="579">
        <v>1.17</v>
      </c>
      <c r="D27" s="84" t="s">
        <v>258</v>
      </c>
      <c r="E27" s="85"/>
      <c r="F27" s="86"/>
      <c r="G27" s="188"/>
    </row>
    <row r="28" spans="2:8" s="177" customFormat="1" ht="15" customHeight="1" outlineLevel="1" x14ac:dyDescent="0.3">
      <c r="B28" s="60" t="s">
        <v>3646</v>
      </c>
      <c r="C28" s="580">
        <v>1.18</v>
      </c>
      <c r="D28" s="84" t="s">
        <v>258</v>
      </c>
      <c r="E28" s="85"/>
      <c r="F28" s="86"/>
      <c r="G28" s="188"/>
    </row>
    <row r="29" spans="2:8" s="177" customFormat="1" ht="15" customHeight="1" outlineLevel="1" x14ac:dyDescent="0.3">
      <c r="B29" s="60" t="s">
        <v>3647</v>
      </c>
      <c r="C29" s="579">
        <v>1.19</v>
      </c>
      <c r="D29" s="84" t="s">
        <v>258</v>
      </c>
      <c r="E29" s="85"/>
      <c r="F29" s="86"/>
      <c r="G29" s="188"/>
    </row>
    <row r="30" spans="2:8" s="177" customFormat="1" ht="15" customHeight="1" outlineLevel="1" x14ac:dyDescent="0.3">
      <c r="B30" s="60" t="s">
        <v>3648</v>
      </c>
      <c r="C30" s="580">
        <v>1.2</v>
      </c>
      <c r="D30" s="84" t="s">
        <v>258</v>
      </c>
      <c r="E30" s="85"/>
      <c r="F30" s="86"/>
      <c r="G30" s="188"/>
    </row>
    <row r="31" spans="2:8" s="48" customFormat="1" ht="15" customHeight="1" x14ac:dyDescent="0.3">
      <c r="B31" s="60" t="s">
        <v>3649</v>
      </c>
      <c r="C31" s="397">
        <v>2</v>
      </c>
      <c r="D31" s="94" t="s">
        <v>1218</v>
      </c>
      <c r="E31" s="185">
        <f>E32+E53</f>
        <v>0</v>
      </c>
      <c r="F31" s="186">
        <f>F32+F53</f>
        <v>0</v>
      </c>
    </row>
    <row r="32" spans="2:8" ht="15" customHeight="1" x14ac:dyDescent="0.3">
      <c r="B32" s="60" t="s">
        <v>3650</v>
      </c>
      <c r="C32" s="514" t="s">
        <v>424</v>
      </c>
      <c r="D32" s="195" t="s">
        <v>206</v>
      </c>
      <c r="E32" s="191">
        <f>SUM(E33:E52)</f>
        <v>0</v>
      </c>
      <c r="F32" s="192">
        <f>SUM(F33:F52)</f>
        <v>0</v>
      </c>
      <c r="G32" s="11"/>
      <c r="H32" s="11"/>
    </row>
    <row r="33" spans="2:7" s="177" customFormat="1" ht="15" customHeight="1" outlineLevel="1" x14ac:dyDescent="0.3">
      <c r="B33" s="60" t="s">
        <v>3651</v>
      </c>
      <c r="C33" s="506" t="s">
        <v>448</v>
      </c>
      <c r="D33" s="84" t="s">
        <v>260</v>
      </c>
      <c r="E33" s="85"/>
      <c r="F33" s="86"/>
      <c r="G33" s="188"/>
    </row>
    <row r="34" spans="2:7" s="177" customFormat="1" ht="15" customHeight="1" outlineLevel="1" x14ac:dyDescent="0.3">
      <c r="B34" s="60" t="s">
        <v>3652</v>
      </c>
      <c r="C34" s="506" t="s">
        <v>449</v>
      </c>
      <c r="D34" s="84" t="s">
        <v>260</v>
      </c>
      <c r="E34" s="85"/>
      <c r="F34" s="86"/>
      <c r="G34" s="188"/>
    </row>
    <row r="35" spans="2:7" s="177" customFormat="1" ht="15" customHeight="1" outlineLevel="1" x14ac:dyDescent="0.3">
      <c r="B35" s="60" t="s">
        <v>3653</v>
      </c>
      <c r="C35" s="506" t="s">
        <v>562</v>
      </c>
      <c r="D35" s="84" t="s">
        <v>260</v>
      </c>
      <c r="E35" s="85"/>
      <c r="F35" s="86"/>
      <c r="G35" s="188"/>
    </row>
    <row r="36" spans="2:7" s="177" customFormat="1" ht="15" customHeight="1" outlineLevel="1" x14ac:dyDescent="0.3">
      <c r="B36" s="60" t="s">
        <v>3654</v>
      </c>
      <c r="C36" s="506" t="s">
        <v>563</v>
      </c>
      <c r="D36" s="84" t="s">
        <v>260</v>
      </c>
      <c r="E36" s="85"/>
      <c r="F36" s="86"/>
      <c r="G36" s="188"/>
    </row>
    <row r="37" spans="2:7" s="177" customFormat="1" ht="15" customHeight="1" outlineLevel="1" x14ac:dyDescent="0.3">
      <c r="B37" s="60" t="s">
        <v>3655</v>
      </c>
      <c r="C37" s="506" t="s">
        <v>564</v>
      </c>
      <c r="D37" s="84" t="s">
        <v>260</v>
      </c>
      <c r="E37" s="85"/>
      <c r="F37" s="86"/>
      <c r="G37" s="188"/>
    </row>
    <row r="38" spans="2:7" s="177" customFormat="1" ht="15" customHeight="1" outlineLevel="1" x14ac:dyDescent="0.3">
      <c r="B38" s="60" t="s">
        <v>3656</v>
      </c>
      <c r="C38" s="506" t="s">
        <v>565</v>
      </c>
      <c r="D38" s="84" t="s">
        <v>260</v>
      </c>
      <c r="E38" s="85"/>
      <c r="F38" s="86"/>
      <c r="G38" s="188"/>
    </row>
    <row r="39" spans="2:7" s="177" customFormat="1" ht="15" customHeight="1" outlineLevel="1" x14ac:dyDescent="0.3">
      <c r="B39" s="60" t="s">
        <v>3657</v>
      </c>
      <c r="C39" s="506" t="s">
        <v>566</v>
      </c>
      <c r="D39" s="84" t="s">
        <v>260</v>
      </c>
      <c r="E39" s="85"/>
      <c r="F39" s="86"/>
      <c r="G39" s="188"/>
    </row>
    <row r="40" spans="2:7" s="177" customFormat="1" ht="15" customHeight="1" outlineLevel="1" x14ac:dyDescent="0.3">
      <c r="B40" s="60" t="s">
        <v>3658</v>
      </c>
      <c r="C40" s="506" t="s">
        <v>567</v>
      </c>
      <c r="D40" s="84" t="s">
        <v>260</v>
      </c>
      <c r="E40" s="85"/>
      <c r="F40" s="86"/>
      <c r="G40" s="188"/>
    </row>
    <row r="41" spans="2:7" s="177" customFormat="1" ht="15" customHeight="1" outlineLevel="1" x14ac:dyDescent="0.3">
      <c r="B41" s="60" t="s">
        <v>3659</v>
      </c>
      <c r="C41" s="506" t="s">
        <v>568</v>
      </c>
      <c r="D41" s="84" t="s">
        <v>260</v>
      </c>
      <c r="E41" s="85"/>
      <c r="F41" s="86"/>
      <c r="G41" s="188"/>
    </row>
    <row r="42" spans="2:7" s="177" customFormat="1" ht="15" customHeight="1" outlineLevel="1" x14ac:dyDescent="0.3">
      <c r="B42" s="60" t="s">
        <v>3660</v>
      </c>
      <c r="C42" s="506" t="s">
        <v>569</v>
      </c>
      <c r="D42" s="84" t="s">
        <v>260</v>
      </c>
      <c r="E42" s="85"/>
      <c r="F42" s="86"/>
      <c r="G42" s="188"/>
    </row>
    <row r="43" spans="2:7" s="177" customFormat="1" ht="15" customHeight="1" outlineLevel="1" x14ac:dyDescent="0.3">
      <c r="B43" s="60" t="s">
        <v>3661</v>
      </c>
      <c r="C43" s="506" t="s">
        <v>570</v>
      </c>
      <c r="D43" s="84" t="s">
        <v>260</v>
      </c>
      <c r="E43" s="85"/>
      <c r="F43" s="86"/>
      <c r="G43" s="188"/>
    </row>
    <row r="44" spans="2:7" s="177" customFormat="1" ht="15" customHeight="1" outlineLevel="1" x14ac:dyDescent="0.3">
      <c r="B44" s="60" t="s">
        <v>3662</v>
      </c>
      <c r="C44" s="506" t="s">
        <v>571</v>
      </c>
      <c r="D44" s="84" t="s">
        <v>260</v>
      </c>
      <c r="E44" s="85"/>
      <c r="F44" s="86"/>
      <c r="G44" s="188"/>
    </row>
    <row r="45" spans="2:7" s="177" customFormat="1" ht="15" customHeight="1" outlineLevel="1" x14ac:dyDescent="0.3">
      <c r="B45" s="60" t="s">
        <v>3663</v>
      </c>
      <c r="C45" s="506" t="s">
        <v>572</v>
      </c>
      <c r="D45" s="84" t="s">
        <v>260</v>
      </c>
      <c r="E45" s="85"/>
      <c r="F45" s="86"/>
      <c r="G45" s="188"/>
    </row>
    <row r="46" spans="2:7" s="177" customFormat="1" ht="15" customHeight="1" outlineLevel="1" x14ac:dyDescent="0.3">
      <c r="B46" s="60" t="s">
        <v>3664</v>
      </c>
      <c r="C46" s="506" t="s">
        <v>573</v>
      </c>
      <c r="D46" s="84" t="s">
        <v>260</v>
      </c>
      <c r="E46" s="85"/>
      <c r="F46" s="86"/>
      <c r="G46" s="188"/>
    </row>
    <row r="47" spans="2:7" s="177" customFormat="1" ht="15" customHeight="1" outlineLevel="1" x14ac:dyDescent="0.3">
      <c r="B47" s="60" t="s">
        <v>3665</v>
      </c>
      <c r="C47" s="506" t="s">
        <v>574</v>
      </c>
      <c r="D47" s="84" t="s">
        <v>260</v>
      </c>
      <c r="E47" s="85"/>
      <c r="F47" s="86"/>
      <c r="G47" s="188"/>
    </row>
    <row r="48" spans="2:7" s="177" customFormat="1" ht="15" customHeight="1" outlineLevel="1" x14ac:dyDescent="0.3">
      <c r="B48" s="60" t="s">
        <v>3666</v>
      </c>
      <c r="C48" s="506" t="s">
        <v>575</v>
      </c>
      <c r="D48" s="84" t="s">
        <v>260</v>
      </c>
      <c r="E48" s="85"/>
      <c r="F48" s="86"/>
      <c r="G48" s="188"/>
    </row>
    <row r="49" spans="2:7" s="177" customFormat="1" ht="15" customHeight="1" outlineLevel="1" x14ac:dyDescent="0.3">
      <c r="B49" s="60" t="s">
        <v>3667</v>
      </c>
      <c r="C49" s="506" t="s">
        <v>576</v>
      </c>
      <c r="D49" s="84" t="s">
        <v>260</v>
      </c>
      <c r="E49" s="85"/>
      <c r="F49" s="86"/>
      <c r="G49" s="188"/>
    </row>
    <row r="50" spans="2:7" s="177" customFormat="1" ht="15" customHeight="1" outlineLevel="1" x14ac:dyDescent="0.3">
      <c r="B50" s="60" t="s">
        <v>3668</v>
      </c>
      <c r="C50" s="506" t="s">
        <v>577</v>
      </c>
      <c r="D50" s="84" t="s">
        <v>260</v>
      </c>
      <c r="E50" s="85"/>
      <c r="F50" s="86"/>
      <c r="G50" s="188"/>
    </row>
    <row r="51" spans="2:7" s="177" customFormat="1" ht="15" customHeight="1" outlineLevel="1" x14ac:dyDescent="0.3">
      <c r="B51" s="60" t="s">
        <v>3669</v>
      </c>
      <c r="C51" s="506" t="s">
        <v>578</v>
      </c>
      <c r="D51" s="84" t="s">
        <v>260</v>
      </c>
      <c r="E51" s="85"/>
      <c r="F51" s="86"/>
      <c r="G51" s="188"/>
    </row>
    <row r="52" spans="2:7" s="177" customFormat="1" ht="15" customHeight="1" outlineLevel="1" x14ac:dyDescent="0.3">
      <c r="B52" s="60" t="s">
        <v>3670</v>
      </c>
      <c r="C52" s="506" t="s">
        <v>579</v>
      </c>
      <c r="D52" s="84" t="s">
        <v>260</v>
      </c>
      <c r="E52" s="85"/>
      <c r="F52" s="86"/>
      <c r="G52" s="188"/>
    </row>
    <row r="53" spans="2:7" ht="15" customHeight="1" x14ac:dyDescent="0.3">
      <c r="B53" s="60" t="s">
        <v>3671</v>
      </c>
      <c r="C53" s="514" t="s">
        <v>425</v>
      </c>
      <c r="D53" s="195" t="s">
        <v>209</v>
      </c>
      <c r="E53" s="191">
        <f>SUM(E54:E73)</f>
        <v>0</v>
      </c>
      <c r="F53" s="192">
        <f>SUM(F54:F73)</f>
        <v>0</v>
      </c>
      <c r="G53" s="11"/>
    </row>
    <row r="54" spans="2:7" s="177" customFormat="1" ht="15" customHeight="1" outlineLevel="1" x14ac:dyDescent="0.3">
      <c r="B54" s="60" t="s">
        <v>3672</v>
      </c>
      <c r="C54" s="506" t="s">
        <v>580</v>
      </c>
      <c r="D54" s="84" t="s">
        <v>260</v>
      </c>
      <c r="E54" s="85"/>
      <c r="F54" s="86"/>
      <c r="G54" s="188"/>
    </row>
    <row r="55" spans="2:7" s="177" customFormat="1" ht="15" customHeight="1" outlineLevel="1" x14ac:dyDescent="0.3">
      <c r="B55" s="60" t="s">
        <v>3673</v>
      </c>
      <c r="C55" s="506" t="s">
        <v>581</v>
      </c>
      <c r="D55" s="84" t="s">
        <v>260</v>
      </c>
      <c r="E55" s="85"/>
      <c r="F55" s="86"/>
      <c r="G55" s="188"/>
    </row>
    <row r="56" spans="2:7" s="177" customFormat="1" ht="15" customHeight="1" outlineLevel="1" x14ac:dyDescent="0.3">
      <c r="B56" s="60" t="s">
        <v>3674</v>
      </c>
      <c r="C56" s="506" t="s">
        <v>582</v>
      </c>
      <c r="D56" s="84" t="s">
        <v>260</v>
      </c>
      <c r="E56" s="85"/>
      <c r="F56" s="86"/>
      <c r="G56" s="188"/>
    </row>
    <row r="57" spans="2:7" s="177" customFormat="1" ht="15" customHeight="1" outlineLevel="1" x14ac:dyDescent="0.3">
      <c r="B57" s="60" t="s">
        <v>3675</v>
      </c>
      <c r="C57" s="506" t="s">
        <v>583</v>
      </c>
      <c r="D57" s="84" t="s">
        <v>260</v>
      </c>
      <c r="E57" s="85"/>
      <c r="F57" s="86"/>
      <c r="G57" s="188"/>
    </row>
    <row r="58" spans="2:7" s="177" customFormat="1" ht="15" customHeight="1" outlineLevel="1" x14ac:dyDescent="0.3">
      <c r="B58" s="60" t="s">
        <v>3676</v>
      </c>
      <c r="C58" s="506" t="s">
        <v>584</v>
      </c>
      <c r="D58" s="84" t="s">
        <v>260</v>
      </c>
      <c r="E58" s="85"/>
      <c r="F58" s="86"/>
      <c r="G58" s="188"/>
    </row>
    <row r="59" spans="2:7" s="177" customFormat="1" ht="15" customHeight="1" outlineLevel="1" x14ac:dyDescent="0.3">
      <c r="B59" s="60" t="s">
        <v>3677</v>
      </c>
      <c r="C59" s="506" t="s">
        <v>585</v>
      </c>
      <c r="D59" s="84" t="s">
        <v>260</v>
      </c>
      <c r="E59" s="85"/>
      <c r="F59" s="86"/>
      <c r="G59" s="188"/>
    </row>
    <row r="60" spans="2:7" s="177" customFormat="1" ht="15" customHeight="1" outlineLevel="1" x14ac:dyDescent="0.3">
      <c r="B60" s="60" t="s">
        <v>3678</v>
      </c>
      <c r="C60" s="506" t="s">
        <v>586</v>
      </c>
      <c r="D60" s="84" t="s">
        <v>260</v>
      </c>
      <c r="E60" s="85"/>
      <c r="F60" s="86"/>
      <c r="G60" s="188"/>
    </row>
    <row r="61" spans="2:7" s="177" customFormat="1" ht="15" customHeight="1" outlineLevel="1" x14ac:dyDescent="0.3">
      <c r="B61" s="60" t="s">
        <v>3679</v>
      </c>
      <c r="C61" s="506" t="s">
        <v>587</v>
      </c>
      <c r="D61" s="84" t="s">
        <v>260</v>
      </c>
      <c r="E61" s="85"/>
      <c r="F61" s="86"/>
      <c r="G61" s="188"/>
    </row>
    <row r="62" spans="2:7" s="177" customFormat="1" ht="15" customHeight="1" outlineLevel="1" x14ac:dyDescent="0.3">
      <c r="B62" s="60" t="s">
        <v>3680</v>
      </c>
      <c r="C62" s="506" t="s">
        <v>588</v>
      </c>
      <c r="D62" s="84" t="s">
        <v>260</v>
      </c>
      <c r="E62" s="85"/>
      <c r="F62" s="86"/>
      <c r="G62" s="188"/>
    </row>
    <row r="63" spans="2:7" s="177" customFormat="1" ht="15" customHeight="1" outlineLevel="1" x14ac:dyDescent="0.3">
      <c r="B63" s="60" t="s">
        <v>3681</v>
      </c>
      <c r="C63" s="506" t="s">
        <v>589</v>
      </c>
      <c r="D63" s="84" t="s">
        <v>260</v>
      </c>
      <c r="E63" s="85"/>
      <c r="F63" s="86"/>
      <c r="G63" s="188"/>
    </row>
    <row r="64" spans="2:7" s="177" customFormat="1" ht="15" customHeight="1" outlineLevel="1" x14ac:dyDescent="0.3">
      <c r="B64" s="60" t="s">
        <v>3682</v>
      </c>
      <c r="C64" s="506" t="s">
        <v>590</v>
      </c>
      <c r="D64" s="84" t="s">
        <v>260</v>
      </c>
      <c r="E64" s="85"/>
      <c r="F64" s="86"/>
      <c r="G64" s="188"/>
    </row>
    <row r="65" spans="2:7" s="177" customFormat="1" ht="15" customHeight="1" outlineLevel="1" x14ac:dyDescent="0.3">
      <c r="B65" s="60" t="s">
        <v>3683</v>
      </c>
      <c r="C65" s="506" t="s">
        <v>591</v>
      </c>
      <c r="D65" s="84" t="s">
        <v>260</v>
      </c>
      <c r="E65" s="85"/>
      <c r="F65" s="86"/>
      <c r="G65" s="188"/>
    </row>
    <row r="66" spans="2:7" s="177" customFormat="1" ht="15" customHeight="1" outlineLevel="1" x14ac:dyDescent="0.3">
      <c r="B66" s="60" t="s">
        <v>3684</v>
      </c>
      <c r="C66" s="506" t="s">
        <v>592</v>
      </c>
      <c r="D66" s="84" t="s">
        <v>260</v>
      </c>
      <c r="E66" s="85"/>
      <c r="F66" s="86"/>
      <c r="G66" s="188"/>
    </row>
    <row r="67" spans="2:7" s="177" customFormat="1" ht="15" customHeight="1" outlineLevel="1" x14ac:dyDescent="0.3">
      <c r="B67" s="60" t="s">
        <v>3685</v>
      </c>
      <c r="C67" s="506" t="s">
        <v>593</v>
      </c>
      <c r="D67" s="84" t="s">
        <v>260</v>
      </c>
      <c r="E67" s="85"/>
      <c r="F67" s="86"/>
      <c r="G67" s="188"/>
    </row>
    <row r="68" spans="2:7" s="177" customFormat="1" ht="15" customHeight="1" outlineLevel="1" x14ac:dyDescent="0.3">
      <c r="B68" s="60" t="s">
        <v>3686</v>
      </c>
      <c r="C68" s="506" t="s">
        <v>594</v>
      </c>
      <c r="D68" s="84" t="s">
        <v>260</v>
      </c>
      <c r="E68" s="85"/>
      <c r="F68" s="86"/>
      <c r="G68" s="188"/>
    </row>
    <row r="69" spans="2:7" s="177" customFormat="1" ht="15" customHeight="1" outlineLevel="1" x14ac:dyDescent="0.3">
      <c r="B69" s="60" t="s">
        <v>3687</v>
      </c>
      <c r="C69" s="506" t="s">
        <v>595</v>
      </c>
      <c r="D69" s="84" t="s">
        <v>260</v>
      </c>
      <c r="E69" s="85"/>
      <c r="F69" s="86"/>
      <c r="G69" s="188"/>
    </row>
    <row r="70" spans="2:7" s="177" customFormat="1" ht="15" customHeight="1" outlineLevel="1" x14ac:dyDescent="0.3">
      <c r="B70" s="60" t="s">
        <v>3688</v>
      </c>
      <c r="C70" s="506" t="s">
        <v>596</v>
      </c>
      <c r="D70" s="84" t="s">
        <v>260</v>
      </c>
      <c r="E70" s="85"/>
      <c r="F70" s="86"/>
      <c r="G70" s="188"/>
    </row>
    <row r="71" spans="2:7" s="177" customFormat="1" ht="15" customHeight="1" outlineLevel="1" x14ac:dyDescent="0.3">
      <c r="B71" s="60" t="s">
        <v>3689</v>
      </c>
      <c r="C71" s="506" t="s">
        <v>597</v>
      </c>
      <c r="D71" s="84" t="s">
        <v>260</v>
      </c>
      <c r="E71" s="85"/>
      <c r="F71" s="86"/>
      <c r="G71" s="188"/>
    </row>
    <row r="72" spans="2:7" s="177" customFormat="1" ht="15" customHeight="1" outlineLevel="1" x14ac:dyDescent="0.3">
      <c r="B72" s="60" t="s">
        <v>3690</v>
      </c>
      <c r="C72" s="506" t="s">
        <v>598</v>
      </c>
      <c r="D72" s="84" t="s">
        <v>260</v>
      </c>
      <c r="E72" s="85"/>
      <c r="F72" s="86"/>
      <c r="G72" s="188"/>
    </row>
    <row r="73" spans="2:7" s="177" customFormat="1" ht="15" customHeight="1" outlineLevel="1" x14ac:dyDescent="0.3">
      <c r="B73" s="60" t="s">
        <v>3691</v>
      </c>
      <c r="C73" s="506" t="s">
        <v>599</v>
      </c>
      <c r="D73" s="84" t="s">
        <v>260</v>
      </c>
      <c r="E73" s="85"/>
      <c r="F73" s="86"/>
      <c r="G73" s="188"/>
    </row>
    <row r="74" spans="2:7" s="48" customFormat="1" ht="15" customHeight="1" collapsed="1" x14ac:dyDescent="0.3">
      <c r="B74" s="60" t="s">
        <v>3692</v>
      </c>
      <c r="C74" s="397">
        <v>3</v>
      </c>
      <c r="D74" s="189" t="s">
        <v>210</v>
      </c>
      <c r="E74" s="185">
        <f>E75+E96</f>
        <v>0</v>
      </c>
      <c r="F74" s="186">
        <f>F75+F96</f>
        <v>0</v>
      </c>
    </row>
    <row r="75" spans="2:7" ht="15" customHeight="1" x14ac:dyDescent="0.3">
      <c r="B75" s="60" t="s">
        <v>3693</v>
      </c>
      <c r="C75" s="514" t="s">
        <v>409</v>
      </c>
      <c r="D75" s="195" t="s">
        <v>238</v>
      </c>
      <c r="E75" s="191">
        <f>SUM(E76:E95)</f>
        <v>0</v>
      </c>
      <c r="F75" s="192">
        <f>SUM(F76:F95)</f>
        <v>0</v>
      </c>
      <c r="G75" s="11"/>
    </row>
    <row r="76" spans="2:7" s="177" customFormat="1" ht="15" customHeight="1" outlineLevel="1" x14ac:dyDescent="0.3">
      <c r="B76" s="60" t="s">
        <v>3694</v>
      </c>
      <c r="C76" s="513" t="s">
        <v>450</v>
      </c>
      <c r="D76" s="84" t="s">
        <v>211</v>
      </c>
      <c r="E76" s="85"/>
      <c r="F76" s="86"/>
      <c r="G76" s="188"/>
    </row>
    <row r="77" spans="2:7" s="177" customFormat="1" ht="15" customHeight="1" outlineLevel="1" x14ac:dyDescent="0.3">
      <c r="B77" s="60" t="s">
        <v>3695</v>
      </c>
      <c r="C77" s="513" t="s">
        <v>451</v>
      </c>
      <c r="D77" s="84" t="s">
        <v>211</v>
      </c>
      <c r="E77" s="85"/>
      <c r="F77" s="86"/>
      <c r="G77" s="188"/>
    </row>
    <row r="78" spans="2:7" s="177" customFormat="1" ht="15" customHeight="1" outlineLevel="1" x14ac:dyDescent="0.3">
      <c r="B78" s="60" t="s">
        <v>3696</v>
      </c>
      <c r="C78" s="513" t="s">
        <v>458</v>
      </c>
      <c r="D78" s="84" t="s">
        <v>211</v>
      </c>
      <c r="E78" s="85"/>
      <c r="F78" s="86"/>
      <c r="G78" s="188"/>
    </row>
    <row r="79" spans="2:7" s="177" customFormat="1" ht="15" customHeight="1" outlineLevel="1" x14ac:dyDescent="0.3">
      <c r="B79" s="60" t="s">
        <v>3697</v>
      </c>
      <c r="C79" s="513" t="s">
        <v>600</v>
      </c>
      <c r="D79" s="84" t="s">
        <v>211</v>
      </c>
      <c r="E79" s="85"/>
      <c r="F79" s="86"/>
      <c r="G79" s="188"/>
    </row>
    <row r="80" spans="2:7" s="177" customFormat="1" ht="15" customHeight="1" outlineLevel="1" x14ac:dyDescent="0.3">
      <c r="B80" s="60" t="s">
        <v>3698</v>
      </c>
      <c r="C80" s="513" t="s">
        <v>601</v>
      </c>
      <c r="D80" s="84" t="s">
        <v>211</v>
      </c>
      <c r="E80" s="85"/>
      <c r="F80" s="86"/>
      <c r="G80" s="188"/>
    </row>
    <row r="81" spans="2:7" s="177" customFormat="1" ht="15" customHeight="1" outlineLevel="1" x14ac:dyDescent="0.3">
      <c r="B81" s="60" t="s">
        <v>3699</v>
      </c>
      <c r="C81" s="513" t="s">
        <v>602</v>
      </c>
      <c r="D81" s="84" t="s">
        <v>211</v>
      </c>
      <c r="E81" s="85"/>
      <c r="F81" s="86"/>
      <c r="G81" s="188"/>
    </row>
    <row r="82" spans="2:7" s="177" customFormat="1" ht="15" customHeight="1" outlineLevel="1" x14ac:dyDescent="0.3">
      <c r="B82" s="60" t="s">
        <v>3700</v>
      </c>
      <c r="C82" s="513" t="s">
        <v>603</v>
      </c>
      <c r="D82" s="84" t="s">
        <v>211</v>
      </c>
      <c r="E82" s="85"/>
      <c r="F82" s="86"/>
      <c r="G82" s="188"/>
    </row>
    <row r="83" spans="2:7" s="177" customFormat="1" ht="15" customHeight="1" outlineLevel="1" x14ac:dyDescent="0.3">
      <c r="B83" s="60" t="s">
        <v>3701</v>
      </c>
      <c r="C83" s="513" t="s">
        <v>604</v>
      </c>
      <c r="D83" s="84" t="s">
        <v>211</v>
      </c>
      <c r="E83" s="85"/>
      <c r="F83" s="86"/>
      <c r="G83" s="188"/>
    </row>
    <row r="84" spans="2:7" s="177" customFormat="1" ht="15" customHeight="1" outlineLevel="1" x14ac:dyDescent="0.3">
      <c r="B84" s="60" t="s">
        <v>3702</v>
      </c>
      <c r="C84" s="513" t="s">
        <v>605</v>
      </c>
      <c r="D84" s="84" t="s">
        <v>211</v>
      </c>
      <c r="E84" s="85"/>
      <c r="F84" s="86"/>
      <c r="G84" s="188"/>
    </row>
    <row r="85" spans="2:7" s="177" customFormat="1" ht="15" customHeight="1" outlineLevel="1" x14ac:dyDescent="0.3">
      <c r="B85" s="60" t="s">
        <v>3703</v>
      </c>
      <c r="C85" s="513" t="s">
        <v>606</v>
      </c>
      <c r="D85" s="84" t="s">
        <v>211</v>
      </c>
      <c r="E85" s="85"/>
      <c r="F85" s="86"/>
      <c r="G85" s="188"/>
    </row>
    <row r="86" spans="2:7" s="177" customFormat="1" ht="15" customHeight="1" outlineLevel="1" x14ac:dyDescent="0.3">
      <c r="B86" s="60" t="s">
        <v>3704</v>
      </c>
      <c r="C86" s="513" t="s">
        <v>607</v>
      </c>
      <c r="D86" s="84" t="s">
        <v>211</v>
      </c>
      <c r="E86" s="85"/>
      <c r="F86" s="86"/>
      <c r="G86" s="188"/>
    </row>
    <row r="87" spans="2:7" s="177" customFormat="1" ht="15" customHeight="1" outlineLevel="1" x14ac:dyDescent="0.3">
      <c r="B87" s="60" t="s">
        <v>3705</v>
      </c>
      <c r="C87" s="513" t="s">
        <v>608</v>
      </c>
      <c r="D87" s="84" t="s">
        <v>211</v>
      </c>
      <c r="E87" s="85"/>
      <c r="F87" s="86"/>
      <c r="G87" s="188"/>
    </row>
    <row r="88" spans="2:7" s="177" customFormat="1" ht="15" customHeight="1" outlineLevel="1" x14ac:dyDescent="0.3">
      <c r="B88" s="60" t="s">
        <v>3706</v>
      </c>
      <c r="C88" s="513" t="s">
        <v>609</v>
      </c>
      <c r="D88" s="84" t="s">
        <v>211</v>
      </c>
      <c r="E88" s="85"/>
      <c r="F88" s="86"/>
      <c r="G88" s="188"/>
    </row>
    <row r="89" spans="2:7" s="177" customFormat="1" ht="15" customHeight="1" outlineLevel="1" x14ac:dyDescent="0.3">
      <c r="B89" s="60" t="s">
        <v>3707</v>
      </c>
      <c r="C89" s="513" t="s">
        <v>610</v>
      </c>
      <c r="D89" s="84" t="s">
        <v>211</v>
      </c>
      <c r="E89" s="85"/>
      <c r="F89" s="86"/>
      <c r="G89" s="188"/>
    </row>
    <row r="90" spans="2:7" s="177" customFormat="1" ht="15" customHeight="1" outlineLevel="1" x14ac:dyDescent="0.3">
      <c r="B90" s="60" t="s">
        <v>3708</v>
      </c>
      <c r="C90" s="513" t="s">
        <v>611</v>
      </c>
      <c r="D90" s="84" t="s">
        <v>211</v>
      </c>
      <c r="E90" s="85"/>
      <c r="F90" s="86"/>
      <c r="G90" s="188"/>
    </row>
    <row r="91" spans="2:7" s="177" customFormat="1" ht="15" customHeight="1" outlineLevel="1" x14ac:dyDescent="0.3">
      <c r="B91" s="60" t="s">
        <v>3709</v>
      </c>
      <c r="C91" s="513" t="s">
        <v>612</v>
      </c>
      <c r="D91" s="84" t="s">
        <v>211</v>
      </c>
      <c r="E91" s="85"/>
      <c r="F91" s="86"/>
      <c r="G91" s="188"/>
    </row>
    <row r="92" spans="2:7" s="177" customFormat="1" ht="15" customHeight="1" outlineLevel="1" x14ac:dyDescent="0.3">
      <c r="B92" s="60" t="s">
        <v>3710</v>
      </c>
      <c r="C92" s="513" t="s">
        <v>613</v>
      </c>
      <c r="D92" s="84" t="s">
        <v>211</v>
      </c>
      <c r="E92" s="85"/>
      <c r="F92" s="86"/>
      <c r="G92" s="188"/>
    </row>
    <row r="93" spans="2:7" s="177" customFormat="1" ht="15" customHeight="1" outlineLevel="1" x14ac:dyDescent="0.3">
      <c r="B93" s="60" t="s">
        <v>3711</v>
      </c>
      <c r="C93" s="513" t="s">
        <v>614</v>
      </c>
      <c r="D93" s="84" t="s">
        <v>211</v>
      </c>
      <c r="E93" s="85"/>
      <c r="F93" s="86"/>
      <c r="G93" s="188"/>
    </row>
    <row r="94" spans="2:7" s="177" customFormat="1" ht="15" customHeight="1" outlineLevel="1" x14ac:dyDescent="0.3">
      <c r="B94" s="60" t="s">
        <v>3712</v>
      </c>
      <c r="C94" s="513" t="s">
        <v>615</v>
      </c>
      <c r="D94" s="84" t="s">
        <v>211</v>
      </c>
      <c r="E94" s="85"/>
      <c r="F94" s="86"/>
      <c r="G94" s="188"/>
    </row>
    <row r="95" spans="2:7" s="177" customFormat="1" ht="15" customHeight="1" outlineLevel="1" x14ac:dyDescent="0.3">
      <c r="B95" s="60" t="s">
        <v>3713</v>
      </c>
      <c r="C95" s="513" t="s">
        <v>616</v>
      </c>
      <c r="D95" s="84" t="s">
        <v>211</v>
      </c>
      <c r="E95" s="85"/>
      <c r="F95" s="86"/>
      <c r="G95" s="188"/>
    </row>
    <row r="96" spans="2:7" ht="15" customHeight="1" x14ac:dyDescent="0.3">
      <c r="B96" s="60" t="s">
        <v>3714</v>
      </c>
      <c r="C96" s="514" t="s">
        <v>410</v>
      </c>
      <c r="D96" s="195" t="s">
        <v>243</v>
      </c>
      <c r="E96" s="191">
        <f>SUM(E97:E116)</f>
        <v>0</v>
      </c>
      <c r="F96" s="192">
        <f>SUM(F97:F116)</f>
        <v>0</v>
      </c>
      <c r="G96" s="11"/>
    </row>
    <row r="97" spans="2:7" s="177" customFormat="1" ht="15" customHeight="1" outlineLevel="1" x14ac:dyDescent="0.3">
      <c r="B97" s="60" t="s">
        <v>3715</v>
      </c>
      <c r="C97" s="513" t="s">
        <v>454</v>
      </c>
      <c r="D97" s="84" t="s">
        <v>211</v>
      </c>
      <c r="E97" s="85"/>
      <c r="F97" s="86"/>
      <c r="G97" s="188"/>
    </row>
    <row r="98" spans="2:7" s="177" customFormat="1" ht="15" customHeight="1" outlineLevel="1" x14ac:dyDescent="0.3">
      <c r="B98" s="60" t="s">
        <v>3716</v>
      </c>
      <c r="C98" s="513" t="s">
        <v>455</v>
      </c>
      <c r="D98" s="84" t="s">
        <v>211</v>
      </c>
      <c r="E98" s="85"/>
      <c r="F98" s="86"/>
      <c r="G98" s="188"/>
    </row>
    <row r="99" spans="2:7" s="177" customFormat="1" ht="15" customHeight="1" outlineLevel="1" x14ac:dyDescent="0.3">
      <c r="B99" s="60" t="s">
        <v>3717</v>
      </c>
      <c r="C99" s="513" t="s">
        <v>459</v>
      </c>
      <c r="D99" s="84" t="s">
        <v>211</v>
      </c>
      <c r="E99" s="85"/>
      <c r="F99" s="86"/>
      <c r="G99" s="188"/>
    </row>
    <row r="100" spans="2:7" s="177" customFormat="1" ht="15" customHeight="1" outlineLevel="1" x14ac:dyDescent="0.3">
      <c r="B100" s="60" t="s">
        <v>3718</v>
      </c>
      <c r="C100" s="513" t="s">
        <v>617</v>
      </c>
      <c r="D100" s="84" t="s">
        <v>211</v>
      </c>
      <c r="E100" s="85"/>
      <c r="F100" s="86"/>
      <c r="G100" s="188"/>
    </row>
    <row r="101" spans="2:7" s="177" customFormat="1" ht="15" customHeight="1" outlineLevel="1" x14ac:dyDescent="0.3">
      <c r="B101" s="60" t="s">
        <v>3719</v>
      </c>
      <c r="C101" s="513" t="s">
        <v>618</v>
      </c>
      <c r="D101" s="84" t="s">
        <v>211</v>
      </c>
      <c r="E101" s="85"/>
      <c r="F101" s="86"/>
      <c r="G101" s="188"/>
    </row>
    <row r="102" spans="2:7" s="177" customFormat="1" ht="15" customHeight="1" outlineLevel="1" x14ac:dyDescent="0.3">
      <c r="B102" s="60" t="s">
        <v>3720</v>
      </c>
      <c r="C102" s="513" t="s">
        <v>619</v>
      </c>
      <c r="D102" s="84" t="s">
        <v>211</v>
      </c>
      <c r="E102" s="85"/>
      <c r="F102" s="86"/>
      <c r="G102" s="188"/>
    </row>
    <row r="103" spans="2:7" s="177" customFormat="1" ht="15" customHeight="1" outlineLevel="1" x14ac:dyDescent="0.3">
      <c r="B103" s="60" t="s">
        <v>3721</v>
      </c>
      <c r="C103" s="513" t="s">
        <v>620</v>
      </c>
      <c r="D103" s="84" t="s">
        <v>211</v>
      </c>
      <c r="E103" s="85"/>
      <c r="F103" s="86"/>
      <c r="G103" s="188"/>
    </row>
    <row r="104" spans="2:7" s="177" customFormat="1" ht="15" customHeight="1" outlineLevel="1" x14ac:dyDescent="0.3">
      <c r="B104" s="60" t="s">
        <v>3722</v>
      </c>
      <c r="C104" s="513" t="s">
        <v>621</v>
      </c>
      <c r="D104" s="84" t="s">
        <v>211</v>
      </c>
      <c r="E104" s="85"/>
      <c r="F104" s="86"/>
      <c r="G104" s="188"/>
    </row>
    <row r="105" spans="2:7" s="177" customFormat="1" ht="15" customHeight="1" outlineLevel="1" x14ac:dyDescent="0.3">
      <c r="B105" s="60" t="s">
        <v>3723</v>
      </c>
      <c r="C105" s="513" t="s">
        <v>622</v>
      </c>
      <c r="D105" s="84" t="s">
        <v>211</v>
      </c>
      <c r="E105" s="85"/>
      <c r="F105" s="86"/>
      <c r="G105" s="188"/>
    </row>
    <row r="106" spans="2:7" s="177" customFormat="1" ht="15" customHeight="1" outlineLevel="1" x14ac:dyDescent="0.3">
      <c r="B106" s="60" t="s">
        <v>3724</v>
      </c>
      <c r="C106" s="513" t="s">
        <v>623</v>
      </c>
      <c r="D106" s="84" t="s">
        <v>211</v>
      </c>
      <c r="E106" s="85"/>
      <c r="F106" s="86"/>
      <c r="G106" s="188"/>
    </row>
    <row r="107" spans="2:7" s="177" customFormat="1" ht="15" customHeight="1" outlineLevel="1" x14ac:dyDescent="0.3">
      <c r="B107" s="60" t="s">
        <v>3725</v>
      </c>
      <c r="C107" s="513" t="s">
        <v>624</v>
      </c>
      <c r="D107" s="84" t="s">
        <v>211</v>
      </c>
      <c r="E107" s="85"/>
      <c r="F107" s="86"/>
      <c r="G107" s="188"/>
    </row>
    <row r="108" spans="2:7" s="177" customFormat="1" ht="15" customHeight="1" outlineLevel="1" x14ac:dyDescent="0.3">
      <c r="B108" s="60" t="s">
        <v>3726</v>
      </c>
      <c r="C108" s="513" t="s">
        <v>625</v>
      </c>
      <c r="D108" s="84" t="s">
        <v>211</v>
      </c>
      <c r="E108" s="85"/>
      <c r="F108" s="86"/>
      <c r="G108" s="188"/>
    </row>
    <row r="109" spans="2:7" s="177" customFormat="1" ht="15" customHeight="1" outlineLevel="1" x14ac:dyDescent="0.3">
      <c r="B109" s="60" t="s">
        <v>3727</v>
      </c>
      <c r="C109" s="513" t="s">
        <v>626</v>
      </c>
      <c r="D109" s="84" t="s">
        <v>211</v>
      </c>
      <c r="E109" s="85"/>
      <c r="F109" s="86"/>
      <c r="G109" s="188"/>
    </row>
    <row r="110" spans="2:7" s="177" customFormat="1" ht="15" customHeight="1" outlineLevel="1" x14ac:dyDescent="0.3">
      <c r="B110" s="60" t="s">
        <v>3728</v>
      </c>
      <c r="C110" s="513" t="s">
        <v>627</v>
      </c>
      <c r="D110" s="84" t="s">
        <v>211</v>
      </c>
      <c r="E110" s="85"/>
      <c r="F110" s="86"/>
      <c r="G110" s="188"/>
    </row>
    <row r="111" spans="2:7" s="177" customFormat="1" ht="15" customHeight="1" outlineLevel="1" x14ac:dyDescent="0.3">
      <c r="B111" s="60" t="s">
        <v>3729</v>
      </c>
      <c r="C111" s="513" t="s">
        <v>628</v>
      </c>
      <c r="D111" s="84" t="s">
        <v>211</v>
      </c>
      <c r="E111" s="85"/>
      <c r="F111" s="86"/>
      <c r="G111" s="188"/>
    </row>
    <row r="112" spans="2:7" s="177" customFormat="1" ht="15" customHeight="1" outlineLevel="1" x14ac:dyDescent="0.3">
      <c r="B112" s="60" t="s">
        <v>3730</v>
      </c>
      <c r="C112" s="513" t="s">
        <v>629</v>
      </c>
      <c r="D112" s="84" t="s">
        <v>211</v>
      </c>
      <c r="E112" s="85"/>
      <c r="F112" s="86"/>
      <c r="G112" s="188"/>
    </row>
    <row r="113" spans="2:7" s="177" customFormat="1" ht="15" customHeight="1" outlineLevel="1" x14ac:dyDescent="0.3">
      <c r="B113" s="60" t="s">
        <v>3731</v>
      </c>
      <c r="C113" s="513" t="s">
        <v>630</v>
      </c>
      <c r="D113" s="84" t="s">
        <v>211</v>
      </c>
      <c r="E113" s="85"/>
      <c r="F113" s="86"/>
      <c r="G113" s="188"/>
    </row>
    <row r="114" spans="2:7" s="177" customFormat="1" ht="15" customHeight="1" outlineLevel="1" x14ac:dyDescent="0.3">
      <c r="B114" s="60" t="s">
        <v>3732</v>
      </c>
      <c r="C114" s="513" t="s">
        <v>631</v>
      </c>
      <c r="D114" s="84" t="s">
        <v>211</v>
      </c>
      <c r="E114" s="85"/>
      <c r="F114" s="86"/>
      <c r="G114" s="188"/>
    </row>
    <row r="115" spans="2:7" s="177" customFormat="1" ht="15" customHeight="1" outlineLevel="1" x14ac:dyDescent="0.3">
      <c r="B115" s="60" t="s">
        <v>3733</v>
      </c>
      <c r="C115" s="513" t="s">
        <v>632</v>
      </c>
      <c r="D115" s="84" t="s">
        <v>211</v>
      </c>
      <c r="E115" s="85"/>
      <c r="F115" s="86"/>
      <c r="G115" s="188"/>
    </row>
    <row r="116" spans="2:7" s="177" customFormat="1" ht="15" customHeight="1" outlineLevel="1" x14ac:dyDescent="0.3">
      <c r="B116" s="60" t="s">
        <v>3734</v>
      </c>
      <c r="C116" s="513" t="s">
        <v>633</v>
      </c>
      <c r="D116" s="84" t="s">
        <v>211</v>
      </c>
      <c r="E116" s="85"/>
      <c r="F116" s="86"/>
      <c r="G116" s="188"/>
    </row>
    <row r="117" spans="2:7" s="48" customFormat="1" ht="15" customHeight="1" x14ac:dyDescent="0.3">
      <c r="B117" s="60" t="s">
        <v>3735</v>
      </c>
      <c r="C117" s="397">
        <v>4</v>
      </c>
      <c r="D117" s="189" t="s">
        <v>213</v>
      </c>
      <c r="E117" s="185">
        <f>E118+E139</f>
        <v>0</v>
      </c>
      <c r="F117" s="186">
        <f>F118+F139</f>
        <v>0</v>
      </c>
    </row>
    <row r="118" spans="2:7" ht="15" customHeight="1" x14ac:dyDescent="0.3">
      <c r="B118" s="60" t="s">
        <v>3736</v>
      </c>
      <c r="C118" s="514" t="s">
        <v>427</v>
      </c>
      <c r="D118" s="195" t="s">
        <v>245</v>
      </c>
      <c r="E118" s="191">
        <f>SUM(E119:E138)</f>
        <v>0</v>
      </c>
      <c r="F118" s="192">
        <f>SUM(F119:F138)</f>
        <v>0</v>
      </c>
      <c r="G118" s="11"/>
    </row>
    <row r="119" spans="2:7" s="177" customFormat="1" ht="15" customHeight="1" outlineLevel="1" x14ac:dyDescent="0.3">
      <c r="B119" s="60" t="s">
        <v>3737</v>
      </c>
      <c r="C119" s="513" t="s">
        <v>443</v>
      </c>
      <c r="D119" s="84" t="s">
        <v>246</v>
      </c>
      <c r="E119" s="85"/>
      <c r="F119" s="86"/>
      <c r="G119" s="188"/>
    </row>
    <row r="120" spans="2:7" s="177" customFormat="1" ht="15" customHeight="1" outlineLevel="1" x14ac:dyDescent="0.3">
      <c r="B120" s="60" t="s">
        <v>3738</v>
      </c>
      <c r="C120" s="513" t="s">
        <v>442</v>
      </c>
      <c r="D120" s="84" t="s">
        <v>246</v>
      </c>
      <c r="E120" s="85"/>
      <c r="F120" s="86"/>
      <c r="G120" s="188"/>
    </row>
    <row r="121" spans="2:7" s="177" customFormat="1" ht="15" customHeight="1" outlineLevel="1" x14ac:dyDescent="0.3">
      <c r="B121" s="60" t="s">
        <v>3739</v>
      </c>
      <c r="C121" s="513" t="s">
        <v>460</v>
      </c>
      <c r="D121" s="84" t="s">
        <v>246</v>
      </c>
      <c r="E121" s="85"/>
      <c r="F121" s="86"/>
      <c r="G121" s="188"/>
    </row>
    <row r="122" spans="2:7" s="177" customFormat="1" ht="15" customHeight="1" outlineLevel="1" x14ac:dyDescent="0.3">
      <c r="B122" s="60" t="s">
        <v>3740</v>
      </c>
      <c r="C122" s="513" t="s">
        <v>634</v>
      </c>
      <c r="D122" s="84" t="s">
        <v>246</v>
      </c>
      <c r="E122" s="85"/>
      <c r="F122" s="86"/>
      <c r="G122" s="188"/>
    </row>
    <row r="123" spans="2:7" s="177" customFormat="1" ht="15" customHeight="1" outlineLevel="1" x14ac:dyDescent="0.3">
      <c r="B123" s="60" t="s">
        <v>3741</v>
      </c>
      <c r="C123" s="513" t="s">
        <v>635</v>
      </c>
      <c r="D123" s="84" t="s">
        <v>246</v>
      </c>
      <c r="E123" s="85"/>
      <c r="F123" s="86"/>
      <c r="G123" s="188"/>
    </row>
    <row r="124" spans="2:7" s="177" customFormat="1" ht="15" customHeight="1" outlineLevel="1" x14ac:dyDescent="0.3">
      <c r="B124" s="60" t="s">
        <v>3742</v>
      </c>
      <c r="C124" s="513" t="s">
        <v>636</v>
      </c>
      <c r="D124" s="84" t="s">
        <v>246</v>
      </c>
      <c r="E124" s="85"/>
      <c r="F124" s="86"/>
      <c r="G124" s="188"/>
    </row>
    <row r="125" spans="2:7" s="177" customFormat="1" ht="15" customHeight="1" outlineLevel="1" x14ac:dyDescent="0.3">
      <c r="B125" s="60" t="s">
        <v>3743</v>
      </c>
      <c r="C125" s="513" t="s">
        <v>637</v>
      </c>
      <c r="D125" s="84" t="s">
        <v>246</v>
      </c>
      <c r="E125" s="85"/>
      <c r="F125" s="86"/>
      <c r="G125" s="188"/>
    </row>
    <row r="126" spans="2:7" s="177" customFormat="1" ht="15" customHeight="1" outlineLevel="1" x14ac:dyDescent="0.3">
      <c r="B126" s="60" t="s">
        <v>3744</v>
      </c>
      <c r="C126" s="513" t="s">
        <v>638</v>
      </c>
      <c r="D126" s="84" t="s">
        <v>246</v>
      </c>
      <c r="E126" s="85"/>
      <c r="F126" s="86"/>
      <c r="G126" s="188"/>
    </row>
    <row r="127" spans="2:7" s="177" customFormat="1" ht="15" customHeight="1" outlineLevel="1" x14ac:dyDescent="0.3">
      <c r="B127" s="60" t="s">
        <v>3745</v>
      </c>
      <c r="C127" s="513" t="s">
        <v>639</v>
      </c>
      <c r="D127" s="84" t="s">
        <v>246</v>
      </c>
      <c r="E127" s="85"/>
      <c r="F127" s="86"/>
      <c r="G127" s="188"/>
    </row>
    <row r="128" spans="2:7" s="177" customFormat="1" ht="15" customHeight="1" outlineLevel="1" x14ac:dyDescent="0.3">
      <c r="B128" s="60" t="s">
        <v>3746</v>
      </c>
      <c r="C128" s="513" t="s">
        <v>640</v>
      </c>
      <c r="D128" s="84" t="s">
        <v>246</v>
      </c>
      <c r="E128" s="85"/>
      <c r="F128" s="86"/>
      <c r="G128" s="188"/>
    </row>
    <row r="129" spans="2:7" s="177" customFormat="1" ht="15" customHeight="1" outlineLevel="1" x14ac:dyDescent="0.3">
      <c r="B129" s="60" t="s">
        <v>3747</v>
      </c>
      <c r="C129" s="513" t="s">
        <v>641</v>
      </c>
      <c r="D129" s="84" t="s">
        <v>246</v>
      </c>
      <c r="E129" s="85"/>
      <c r="F129" s="86"/>
      <c r="G129" s="188"/>
    </row>
    <row r="130" spans="2:7" s="177" customFormat="1" ht="15" customHeight="1" outlineLevel="1" x14ac:dyDescent="0.3">
      <c r="B130" s="60" t="s">
        <v>3748</v>
      </c>
      <c r="C130" s="513" t="s">
        <v>642</v>
      </c>
      <c r="D130" s="84" t="s">
        <v>246</v>
      </c>
      <c r="E130" s="85"/>
      <c r="F130" s="86"/>
      <c r="G130" s="188"/>
    </row>
    <row r="131" spans="2:7" s="177" customFormat="1" ht="15" customHeight="1" outlineLevel="1" x14ac:dyDescent="0.3">
      <c r="B131" s="60" t="s">
        <v>3749</v>
      </c>
      <c r="C131" s="513" t="s">
        <v>643</v>
      </c>
      <c r="D131" s="84" t="s">
        <v>246</v>
      </c>
      <c r="E131" s="85"/>
      <c r="F131" s="86"/>
      <c r="G131" s="188"/>
    </row>
    <row r="132" spans="2:7" s="177" customFormat="1" ht="15" customHeight="1" outlineLevel="1" x14ac:dyDescent="0.3">
      <c r="B132" s="60" t="s">
        <v>3750</v>
      </c>
      <c r="C132" s="513" t="s">
        <v>644</v>
      </c>
      <c r="D132" s="84" t="s">
        <v>246</v>
      </c>
      <c r="E132" s="85"/>
      <c r="F132" s="86"/>
      <c r="G132" s="188"/>
    </row>
    <row r="133" spans="2:7" s="177" customFormat="1" ht="15" customHeight="1" outlineLevel="1" x14ac:dyDescent="0.3">
      <c r="B133" s="60" t="s">
        <v>3751</v>
      </c>
      <c r="C133" s="513" t="s">
        <v>645</v>
      </c>
      <c r="D133" s="84" t="s">
        <v>246</v>
      </c>
      <c r="E133" s="85"/>
      <c r="F133" s="86"/>
      <c r="G133" s="188"/>
    </row>
    <row r="134" spans="2:7" s="177" customFormat="1" ht="15" customHeight="1" outlineLevel="1" x14ac:dyDescent="0.3">
      <c r="B134" s="60" t="s">
        <v>3752</v>
      </c>
      <c r="C134" s="513" t="s">
        <v>646</v>
      </c>
      <c r="D134" s="84" t="s">
        <v>246</v>
      </c>
      <c r="E134" s="85"/>
      <c r="F134" s="86"/>
      <c r="G134" s="188"/>
    </row>
    <row r="135" spans="2:7" s="177" customFormat="1" ht="15" customHeight="1" outlineLevel="1" x14ac:dyDescent="0.3">
      <c r="B135" s="60" t="s">
        <v>3753</v>
      </c>
      <c r="C135" s="513" t="s">
        <v>647</v>
      </c>
      <c r="D135" s="84" t="s">
        <v>246</v>
      </c>
      <c r="E135" s="85"/>
      <c r="F135" s="86"/>
      <c r="G135" s="188"/>
    </row>
    <row r="136" spans="2:7" s="177" customFormat="1" ht="15" customHeight="1" outlineLevel="1" x14ac:dyDescent="0.3">
      <c r="B136" s="60" t="s">
        <v>3754</v>
      </c>
      <c r="C136" s="513" t="s">
        <v>648</v>
      </c>
      <c r="D136" s="84" t="s">
        <v>246</v>
      </c>
      <c r="E136" s="85"/>
      <c r="F136" s="86"/>
      <c r="G136" s="188"/>
    </row>
    <row r="137" spans="2:7" s="177" customFormat="1" ht="15" customHeight="1" outlineLevel="1" x14ac:dyDescent="0.3">
      <c r="B137" s="60" t="s">
        <v>3755</v>
      </c>
      <c r="C137" s="513" t="s">
        <v>649</v>
      </c>
      <c r="D137" s="84" t="s">
        <v>246</v>
      </c>
      <c r="E137" s="85"/>
      <c r="F137" s="86"/>
      <c r="G137" s="188"/>
    </row>
    <row r="138" spans="2:7" s="177" customFormat="1" ht="15" customHeight="1" outlineLevel="1" x14ac:dyDescent="0.3">
      <c r="B138" s="60" t="s">
        <v>3756</v>
      </c>
      <c r="C138" s="513" t="s">
        <v>650</v>
      </c>
      <c r="D138" s="84" t="s">
        <v>246</v>
      </c>
      <c r="E138" s="85"/>
      <c r="F138" s="86"/>
      <c r="G138" s="188"/>
    </row>
    <row r="139" spans="2:7" ht="15" customHeight="1" x14ac:dyDescent="0.3">
      <c r="B139" s="60" t="s">
        <v>3757</v>
      </c>
      <c r="C139" s="514" t="s">
        <v>428</v>
      </c>
      <c r="D139" s="195" t="s">
        <v>25</v>
      </c>
      <c r="E139" s="191">
        <f>SUM(E140:E159)</f>
        <v>0</v>
      </c>
      <c r="F139" s="192">
        <f>SUM(F140:F159)</f>
        <v>0</v>
      </c>
      <c r="G139" s="11"/>
    </row>
    <row r="140" spans="2:7" s="177" customFormat="1" ht="15" customHeight="1" outlineLevel="1" x14ac:dyDescent="0.3">
      <c r="B140" s="60" t="s">
        <v>3758</v>
      </c>
      <c r="C140" s="513" t="s">
        <v>444</v>
      </c>
      <c r="D140" s="84" t="s">
        <v>246</v>
      </c>
      <c r="E140" s="85"/>
      <c r="F140" s="86"/>
      <c r="G140" s="188"/>
    </row>
    <row r="141" spans="2:7" s="177" customFormat="1" ht="15" customHeight="1" outlineLevel="1" x14ac:dyDescent="0.3">
      <c r="B141" s="60" t="s">
        <v>3759</v>
      </c>
      <c r="C141" s="513" t="s">
        <v>445</v>
      </c>
      <c r="D141" s="84" t="s">
        <v>246</v>
      </c>
      <c r="E141" s="85"/>
      <c r="F141" s="86"/>
      <c r="G141" s="188"/>
    </row>
    <row r="142" spans="2:7" s="177" customFormat="1" ht="15" customHeight="1" outlineLevel="1" x14ac:dyDescent="0.3">
      <c r="B142" s="60" t="s">
        <v>3760</v>
      </c>
      <c r="C142" s="513" t="s">
        <v>461</v>
      </c>
      <c r="D142" s="84" t="s">
        <v>246</v>
      </c>
      <c r="E142" s="85"/>
      <c r="F142" s="86"/>
      <c r="G142" s="188"/>
    </row>
    <row r="143" spans="2:7" s="177" customFormat="1" ht="15" customHeight="1" outlineLevel="1" x14ac:dyDescent="0.3">
      <c r="B143" s="60" t="s">
        <v>3761</v>
      </c>
      <c r="C143" s="513" t="s">
        <v>651</v>
      </c>
      <c r="D143" s="84" t="s">
        <v>246</v>
      </c>
      <c r="E143" s="85"/>
      <c r="F143" s="86"/>
      <c r="G143" s="188"/>
    </row>
    <row r="144" spans="2:7" s="177" customFormat="1" ht="15" customHeight="1" outlineLevel="1" x14ac:dyDescent="0.3">
      <c r="B144" s="60" t="s">
        <v>3762</v>
      </c>
      <c r="C144" s="513" t="s">
        <v>652</v>
      </c>
      <c r="D144" s="84" t="s">
        <v>246</v>
      </c>
      <c r="E144" s="85"/>
      <c r="F144" s="86"/>
      <c r="G144" s="188"/>
    </row>
    <row r="145" spans="2:7" s="177" customFormat="1" ht="15" customHeight="1" outlineLevel="1" x14ac:dyDescent="0.3">
      <c r="B145" s="60" t="s">
        <v>3763</v>
      </c>
      <c r="C145" s="513" t="s">
        <v>653</v>
      </c>
      <c r="D145" s="84" t="s">
        <v>246</v>
      </c>
      <c r="E145" s="85"/>
      <c r="F145" s="86"/>
      <c r="G145" s="188"/>
    </row>
    <row r="146" spans="2:7" s="177" customFormat="1" ht="15" customHeight="1" outlineLevel="1" x14ac:dyDescent="0.3">
      <c r="B146" s="60" t="s">
        <v>3764</v>
      </c>
      <c r="C146" s="513" t="s">
        <v>654</v>
      </c>
      <c r="D146" s="84" t="s">
        <v>246</v>
      </c>
      <c r="E146" s="85"/>
      <c r="F146" s="86"/>
      <c r="G146" s="188"/>
    </row>
    <row r="147" spans="2:7" s="177" customFormat="1" ht="15" customHeight="1" outlineLevel="1" x14ac:dyDescent="0.3">
      <c r="B147" s="60" t="s">
        <v>3765</v>
      </c>
      <c r="C147" s="513" t="s">
        <v>655</v>
      </c>
      <c r="D147" s="84" t="s">
        <v>246</v>
      </c>
      <c r="E147" s="85"/>
      <c r="F147" s="86"/>
      <c r="G147" s="188"/>
    </row>
    <row r="148" spans="2:7" s="177" customFormat="1" ht="15" customHeight="1" outlineLevel="1" x14ac:dyDescent="0.3">
      <c r="B148" s="60" t="s">
        <v>3766</v>
      </c>
      <c r="C148" s="513" t="s">
        <v>656</v>
      </c>
      <c r="D148" s="84" t="s">
        <v>246</v>
      </c>
      <c r="E148" s="85"/>
      <c r="F148" s="86"/>
      <c r="G148" s="188"/>
    </row>
    <row r="149" spans="2:7" s="177" customFormat="1" ht="15" customHeight="1" outlineLevel="1" x14ac:dyDescent="0.3">
      <c r="B149" s="60" t="s">
        <v>3767</v>
      </c>
      <c r="C149" s="513" t="s">
        <v>657</v>
      </c>
      <c r="D149" s="84" t="s">
        <v>246</v>
      </c>
      <c r="E149" s="85"/>
      <c r="F149" s="86"/>
      <c r="G149" s="188"/>
    </row>
    <row r="150" spans="2:7" s="177" customFormat="1" ht="15" customHeight="1" outlineLevel="1" x14ac:dyDescent="0.3">
      <c r="B150" s="60" t="s">
        <v>3768</v>
      </c>
      <c r="C150" s="513" t="s">
        <v>658</v>
      </c>
      <c r="D150" s="84" t="s">
        <v>246</v>
      </c>
      <c r="E150" s="85"/>
      <c r="F150" s="86"/>
      <c r="G150" s="188"/>
    </row>
    <row r="151" spans="2:7" s="177" customFormat="1" ht="15" customHeight="1" outlineLevel="1" x14ac:dyDescent="0.3">
      <c r="B151" s="60" t="s">
        <v>3769</v>
      </c>
      <c r="C151" s="513" t="s">
        <v>659</v>
      </c>
      <c r="D151" s="84" t="s">
        <v>246</v>
      </c>
      <c r="E151" s="85"/>
      <c r="F151" s="86"/>
      <c r="G151" s="188"/>
    </row>
    <row r="152" spans="2:7" s="177" customFormat="1" ht="15" customHeight="1" outlineLevel="1" x14ac:dyDescent="0.3">
      <c r="B152" s="60" t="s">
        <v>3770</v>
      </c>
      <c r="C152" s="513" t="s">
        <v>660</v>
      </c>
      <c r="D152" s="84" t="s">
        <v>246</v>
      </c>
      <c r="E152" s="85"/>
      <c r="F152" s="86"/>
      <c r="G152" s="188"/>
    </row>
    <row r="153" spans="2:7" s="177" customFormat="1" ht="15" customHeight="1" outlineLevel="1" x14ac:dyDescent="0.3">
      <c r="B153" s="60" t="s">
        <v>3771</v>
      </c>
      <c r="C153" s="513" t="s">
        <v>661</v>
      </c>
      <c r="D153" s="84" t="s">
        <v>246</v>
      </c>
      <c r="E153" s="85"/>
      <c r="F153" s="86"/>
      <c r="G153" s="188"/>
    </row>
    <row r="154" spans="2:7" s="177" customFormat="1" ht="15" customHeight="1" outlineLevel="1" x14ac:dyDescent="0.3">
      <c r="B154" s="60" t="s">
        <v>3772</v>
      </c>
      <c r="C154" s="513" t="s">
        <v>662</v>
      </c>
      <c r="D154" s="84" t="s">
        <v>246</v>
      </c>
      <c r="E154" s="85"/>
      <c r="F154" s="86"/>
      <c r="G154" s="188"/>
    </row>
    <row r="155" spans="2:7" s="177" customFormat="1" ht="15" customHeight="1" outlineLevel="1" x14ac:dyDescent="0.3">
      <c r="B155" s="60" t="s">
        <v>3773</v>
      </c>
      <c r="C155" s="513" t="s">
        <v>663</v>
      </c>
      <c r="D155" s="84" t="s">
        <v>246</v>
      </c>
      <c r="E155" s="85"/>
      <c r="F155" s="86"/>
      <c r="G155" s="188"/>
    </row>
    <row r="156" spans="2:7" s="177" customFormat="1" ht="15" customHeight="1" outlineLevel="1" x14ac:dyDescent="0.3">
      <c r="B156" s="60" t="s">
        <v>3774</v>
      </c>
      <c r="C156" s="513" t="s">
        <v>664</v>
      </c>
      <c r="D156" s="84" t="s">
        <v>246</v>
      </c>
      <c r="E156" s="85"/>
      <c r="F156" s="86"/>
      <c r="G156" s="188"/>
    </row>
    <row r="157" spans="2:7" s="177" customFormat="1" ht="15" customHeight="1" outlineLevel="1" x14ac:dyDescent="0.3">
      <c r="B157" s="60" t="s">
        <v>3775</v>
      </c>
      <c r="C157" s="513" t="s">
        <v>665</v>
      </c>
      <c r="D157" s="84" t="s">
        <v>246</v>
      </c>
      <c r="E157" s="85"/>
      <c r="F157" s="86"/>
      <c r="G157" s="188"/>
    </row>
    <row r="158" spans="2:7" s="177" customFormat="1" ht="15" customHeight="1" outlineLevel="1" x14ac:dyDescent="0.3">
      <c r="B158" s="60" t="s">
        <v>3776</v>
      </c>
      <c r="C158" s="513" t="s">
        <v>666</v>
      </c>
      <c r="D158" s="84" t="s">
        <v>246</v>
      </c>
      <c r="E158" s="85"/>
      <c r="F158" s="86"/>
      <c r="G158" s="188"/>
    </row>
    <row r="159" spans="2:7" s="177" customFormat="1" ht="15" customHeight="1" outlineLevel="1" x14ac:dyDescent="0.3">
      <c r="B159" s="60" t="s">
        <v>3777</v>
      </c>
      <c r="C159" s="513" t="s">
        <v>667</v>
      </c>
      <c r="D159" s="84" t="s">
        <v>246</v>
      </c>
      <c r="E159" s="85"/>
      <c r="F159" s="86"/>
      <c r="G159" s="188"/>
    </row>
    <row r="160" spans="2:7" s="48" customFormat="1" ht="15" customHeight="1" collapsed="1" x14ac:dyDescent="0.3">
      <c r="B160" s="60" t="s">
        <v>3778</v>
      </c>
      <c r="C160" s="397">
        <v>5</v>
      </c>
      <c r="D160" s="189" t="s">
        <v>216</v>
      </c>
      <c r="E160" s="185">
        <f>E161+E182</f>
        <v>0</v>
      </c>
      <c r="F160" s="186">
        <f>F161+F182</f>
        <v>0</v>
      </c>
    </row>
    <row r="161" spans="2:7" ht="15" customHeight="1" x14ac:dyDescent="0.3">
      <c r="B161" s="60" t="s">
        <v>3779</v>
      </c>
      <c r="C161" s="514" t="s">
        <v>412</v>
      </c>
      <c r="D161" s="195" t="s">
        <v>217</v>
      </c>
      <c r="E161" s="191">
        <f>SUM(E162:E181)</f>
        <v>0</v>
      </c>
      <c r="F161" s="192">
        <f>SUM(F162:F181)</f>
        <v>0</v>
      </c>
      <c r="G161" s="11"/>
    </row>
    <row r="162" spans="2:7" s="177" customFormat="1" ht="15" customHeight="1" outlineLevel="1" x14ac:dyDescent="0.3">
      <c r="B162" s="60" t="s">
        <v>3780</v>
      </c>
      <c r="C162" s="506" t="s">
        <v>1724</v>
      </c>
      <c r="D162" s="84" t="s">
        <v>26</v>
      </c>
      <c r="E162" s="85"/>
      <c r="F162" s="86"/>
      <c r="G162" s="188"/>
    </row>
    <row r="163" spans="2:7" s="177" customFormat="1" ht="15" customHeight="1" outlineLevel="1" x14ac:dyDescent="0.3">
      <c r="B163" s="60" t="s">
        <v>3781</v>
      </c>
      <c r="C163" s="506" t="s">
        <v>1725</v>
      </c>
      <c r="D163" s="84" t="s">
        <v>26</v>
      </c>
      <c r="E163" s="85"/>
      <c r="F163" s="86"/>
      <c r="G163" s="188"/>
    </row>
    <row r="164" spans="2:7" s="177" customFormat="1" ht="15" customHeight="1" outlineLevel="1" x14ac:dyDescent="0.3">
      <c r="B164" s="60" t="s">
        <v>3782</v>
      </c>
      <c r="C164" s="506" t="s">
        <v>1726</v>
      </c>
      <c r="D164" s="84" t="s">
        <v>26</v>
      </c>
      <c r="E164" s="85"/>
      <c r="F164" s="86"/>
      <c r="G164" s="188"/>
    </row>
    <row r="165" spans="2:7" s="177" customFormat="1" ht="15" customHeight="1" outlineLevel="1" x14ac:dyDescent="0.3">
      <c r="B165" s="60" t="s">
        <v>3783</v>
      </c>
      <c r="C165" s="506" t="s">
        <v>1727</v>
      </c>
      <c r="D165" s="84" t="s">
        <v>26</v>
      </c>
      <c r="E165" s="85"/>
      <c r="F165" s="86"/>
      <c r="G165" s="188"/>
    </row>
    <row r="166" spans="2:7" s="177" customFormat="1" ht="15" customHeight="1" outlineLevel="1" x14ac:dyDescent="0.3">
      <c r="B166" s="60" t="s">
        <v>3784</v>
      </c>
      <c r="C166" s="506" t="s">
        <v>1728</v>
      </c>
      <c r="D166" s="84" t="s">
        <v>26</v>
      </c>
      <c r="E166" s="85"/>
      <c r="F166" s="86"/>
      <c r="G166" s="188"/>
    </row>
    <row r="167" spans="2:7" s="177" customFormat="1" ht="15" customHeight="1" outlineLevel="1" x14ac:dyDescent="0.3">
      <c r="B167" s="60" t="s">
        <v>3785</v>
      </c>
      <c r="C167" s="506" t="s">
        <v>1729</v>
      </c>
      <c r="D167" s="84" t="s">
        <v>26</v>
      </c>
      <c r="E167" s="85"/>
      <c r="F167" s="86"/>
      <c r="G167" s="188"/>
    </row>
    <row r="168" spans="2:7" s="177" customFormat="1" ht="15" customHeight="1" outlineLevel="1" x14ac:dyDescent="0.3">
      <c r="B168" s="60" t="s">
        <v>3786</v>
      </c>
      <c r="C168" s="506" t="s">
        <v>1730</v>
      </c>
      <c r="D168" s="84" t="s">
        <v>26</v>
      </c>
      <c r="E168" s="85"/>
      <c r="F168" s="86"/>
      <c r="G168" s="188"/>
    </row>
    <row r="169" spans="2:7" s="177" customFormat="1" ht="15" customHeight="1" outlineLevel="1" x14ac:dyDescent="0.3">
      <c r="B169" s="60" t="s">
        <v>3787</v>
      </c>
      <c r="C169" s="506" t="s">
        <v>1731</v>
      </c>
      <c r="D169" s="84" t="s">
        <v>26</v>
      </c>
      <c r="E169" s="85"/>
      <c r="F169" s="86"/>
      <c r="G169" s="188"/>
    </row>
    <row r="170" spans="2:7" s="177" customFormat="1" ht="15" customHeight="1" outlineLevel="1" x14ac:dyDescent="0.3">
      <c r="B170" s="60" t="s">
        <v>3788</v>
      </c>
      <c r="C170" s="506" t="s">
        <v>1732</v>
      </c>
      <c r="D170" s="84" t="s">
        <v>26</v>
      </c>
      <c r="E170" s="85"/>
      <c r="F170" s="86"/>
      <c r="G170" s="188"/>
    </row>
    <row r="171" spans="2:7" s="177" customFormat="1" ht="15" customHeight="1" outlineLevel="1" x14ac:dyDescent="0.3">
      <c r="B171" s="60" t="s">
        <v>3789</v>
      </c>
      <c r="C171" s="506" t="s">
        <v>1733</v>
      </c>
      <c r="D171" s="84" t="s">
        <v>26</v>
      </c>
      <c r="E171" s="85"/>
      <c r="F171" s="86"/>
      <c r="G171" s="188"/>
    </row>
    <row r="172" spans="2:7" s="177" customFormat="1" ht="15" customHeight="1" outlineLevel="1" x14ac:dyDescent="0.3">
      <c r="B172" s="60" t="s">
        <v>3790</v>
      </c>
      <c r="C172" s="506" t="s">
        <v>1734</v>
      </c>
      <c r="D172" s="84" t="s">
        <v>26</v>
      </c>
      <c r="E172" s="85"/>
      <c r="F172" s="86"/>
      <c r="G172" s="188"/>
    </row>
    <row r="173" spans="2:7" s="177" customFormat="1" ht="15" customHeight="1" outlineLevel="1" x14ac:dyDescent="0.3">
      <c r="B173" s="60" t="s">
        <v>3791</v>
      </c>
      <c r="C173" s="506" t="s">
        <v>1735</v>
      </c>
      <c r="D173" s="84" t="s">
        <v>26</v>
      </c>
      <c r="E173" s="85"/>
      <c r="F173" s="86"/>
      <c r="G173" s="188"/>
    </row>
    <row r="174" spans="2:7" s="177" customFormat="1" ht="15" customHeight="1" outlineLevel="1" x14ac:dyDescent="0.3">
      <c r="B174" s="60" t="s">
        <v>3792</v>
      </c>
      <c r="C174" s="506" t="s">
        <v>1736</v>
      </c>
      <c r="D174" s="84" t="s">
        <v>26</v>
      </c>
      <c r="E174" s="85"/>
      <c r="F174" s="86"/>
      <c r="G174" s="188"/>
    </row>
    <row r="175" spans="2:7" s="177" customFormat="1" ht="15" customHeight="1" outlineLevel="1" x14ac:dyDescent="0.3">
      <c r="B175" s="60" t="s">
        <v>3793</v>
      </c>
      <c r="C175" s="506" t="s">
        <v>1737</v>
      </c>
      <c r="D175" s="84" t="s">
        <v>26</v>
      </c>
      <c r="E175" s="85"/>
      <c r="F175" s="86"/>
      <c r="G175" s="188"/>
    </row>
    <row r="176" spans="2:7" s="177" customFormat="1" ht="15" customHeight="1" outlineLevel="1" x14ac:dyDescent="0.3">
      <c r="B176" s="60" t="s">
        <v>3794</v>
      </c>
      <c r="C176" s="506" t="s">
        <v>1738</v>
      </c>
      <c r="D176" s="84" t="s">
        <v>26</v>
      </c>
      <c r="E176" s="85"/>
      <c r="F176" s="86"/>
      <c r="G176" s="188"/>
    </row>
    <row r="177" spans="2:7" s="177" customFormat="1" ht="15" customHeight="1" outlineLevel="1" x14ac:dyDescent="0.3">
      <c r="B177" s="60" t="s">
        <v>3795</v>
      </c>
      <c r="C177" s="506" t="s">
        <v>1739</v>
      </c>
      <c r="D177" s="84" t="s">
        <v>26</v>
      </c>
      <c r="E177" s="85"/>
      <c r="F177" s="86"/>
      <c r="G177" s="188"/>
    </row>
    <row r="178" spans="2:7" s="177" customFormat="1" ht="15" customHeight="1" outlineLevel="1" x14ac:dyDescent="0.3">
      <c r="B178" s="60" t="s">
        <v>3796</v>
      </c>
      <c r="C178" s="506" t="s">
        <v>1740</v>
      </c>
      <c r="D178" s="84" t="s">
        <v>26</v>
      </c>
      <c r="E178" s="85"/>
      <c r="F178" s="86"/>
      <c r="G178" s="188"/>
    </row>
    <row r="179" spans="2:7" s="177" customFormat="1" ht="15" customHeight="1" outlineLevel="1" x14ac:dyDescent="0.3">
      <c r="B179" s="60" t="s">
        <v>3797</v>
      </c>
      <c r="C179" s="506" t="s">
        <v>1741</v>
      </c>
      <c r="D179" s="84" t="s">
        <v>26</v>
      </c>
      <c r="E179" s="85"/>
      <c r="F179" s="86"/>
      <c r="G179" s="188"/>
    </row>
    <row r="180" spans="2:7" s="177" customFormat="1" ht="15" customHeight="1" outlineLevel="1" x14ac:dyDescent="0.3">
      <c r="B180" s="60" t="s">
        <v>3798</v>
      </c>
      <c r="C180" s="506" t="s">
        <v>1742</v>
      </c>
      <c r="D180" s="84" t="s">
        <v>26</v>
      </c>
      <c r="E180" s="85"/>
      <c r="F180" s="86"/>
      <c r="G180" s="188"/>
    </row>
    <row r="181" spans="2:7" s="177" customFormat="1" ht="15" customHeight="1" outlineLevel="1" x14ac:dyDescent="0.3">
      <c r="B181" s="60" t="s">
        <v>3799</v>
      </c>
      <c r="C181" s="506" t="s">
        <v>1743</v>
      </c>
      <c r="D181" s="84" t="s">
        <v>26</v>
      </c>
      <c r="E181" s="85"/>
      <c r="F181" s="86"/>
      <c r="G181" s="188"/>
    </row>
    <row r="182" spans="2:7" ht="15" customHeight="1" x14ac:dyDescent="0.3">
      <c r="B182" s="60" t="s">
        <v>3800</v>
      </c>
      <c r="C182" s="514" t="s">
        <v>413</v>
      </c>
      <c r="D182" s="195" t="s">
        <v>220</v>
      </c>
      <c r="E182" s="191">
        <f>SUM(E183:E202)</f>
        <v>0</v>
      </c>
      <c r="F182" s="192">
        <f>SUM(F183:F202)</f>
        <v>0</v>
      </c>
      <c r="G182" s="11"/>
    </row>
    <row r="183" spans="2:7" s="177" customFormat="1" ht="15" customHeight="1" outlineLevel="1" x14ac:dyDescent="0.3">
      <c r="B183" s="60" t="s">
        <v>3801</v>
      </c>
      <c r="C183" s="506" t="s">
        <v>1744</v>
      </c>
      <c r="D183" s="63" t="s">
        <v>26</v>
      </c>
      <c r="E183" s="72"/>
      <c r="F183" s="75"/>
      <c r="G183" s="188"/>
    </row>
    <row r="184" spans="2:7" s="177" customFormat="1" ht="15" customHeight="1" outlineLevel="1" x14ac:dyDescent="0.3">
      <c r="B184" s="60" t="s">
        <v>3802</v>
      </c>
      <c r="C184" s="506" t="s">
        <v>1745</v>
      </c>
      <c r="D184" s="63" t="s">
        <v>26</v>
      </c>
      <c r="E184" s="72"/>
      <c r="F184" s="75"/>
      <c r="G184" s="188"/>
    </row>
    <row r="185" spans="2:7" s="177" customFormat="1" ht="15" customHeight="1" outlineLevel="1" x14ac:dyDescent="0.3">
      <c r="B185" s="60" t="s">
        <v>3803</v>
      </c>
      <c r="C185" s="506" t="s">
        <v>1746</v>
      </c>
      <c r="D185" s="63" t="s">
        <v>26</v>
      </c>
      <c r="E185" s="72"/>
      <c r="F185" s="75"/>
      <c r="G185" s="188"/>
    </row>
    <row r="186" spans="2:7" s="177" customFormat="1" ht="15" customHeight="1" outlineLevel="1" x14ac:dyDescent="0.3">
      <c r="B186" s="60" t="s">
        <v>3804</v>
      </c>
      <c r="C186" s="506" t="s">
        <v>1747</v>
      </c>
      <c r="D186" s="63" t="s">
        <v>26</v>
      </c>
      <c r="E186" s="72"/>
      <c r="F186" s="75"/>
      <c r="G186" s="188"/>
    </row>
    <row r="187" spans="2:7" s="177" customFormat="1" ht="15" customHeight="1" outlineLevel="1" x14ac:dyDescent="0.3">
      <c r="B187" s="60" t="s">
        <v>3805</v>
      </c>
      <c r="C187" s="506" t="s">
        <v>1748</v>
      </c>
      <c r="D187" s="63" t="s">
        <v>26</v>
      </c>
      <c r="E187" s="72"/>
      <c r="F187" s="75"/>
      <c r="G187" s="188"/>
    </row>
    <row r="188" spans="2:7" s="177" customFormat="1" ht="15" customHeight="1" outlineLevel="1" x14ac:dyDescent="0.3">
      <c r="B188" s="60" t="s">
        <v>3806</v>
      </c>
      <c r="C188" s="506" t="s">
        <v>1749</v>
      </c>
      <c r="D188" s="63" t="s">
        <v>26</v>
      </c>
      <c r="E188" s="72"/>
      <c r="F188" s="75"/>
      <c r="G188" s="188"/>
    </row>
    <row r="189" spans="2:7" s="177" customFormat="1" ht="15" customHeight="1" outlineLevel="1" x14ac:dyDescent="0.3">
      <c r="B189" s="60" t="s">
        <v>3807</v>
      </c>
      <c r="C189" s="506" t="s">
        <v>1750</v>
      </c>
      <c r="D189" s="63" t="s">
        <v>26</v>
      </c>
      <c r="E189" s="72"/>
      <c r="F189" s="75"/>
      <c r="G189" s="188"/>
    </row>
    <row r="190" spans="2:7" s="177" customFormat="1" ht="15" customHeight="1" outlineLevel="1" x14ac:dyDescent="0.3">
      <c r="B190" s="60" t="s">
        <v>3808</v>
      </c>
      <c r="C190" s="506" t="s">
        <v>1751</v>
      </c>
      <c r="D190" s="63" t="s">
        <v>26</v>
      </c>
      <c r="E190" s="72"/>
      <c r="F190" s="75"/>
      <c r="G190" s="188"/>
    </row>
    <row r="191" spans="2:7" s="177" customFormat="1" ht="15" customHeight="1" outlineLevel="1" x14ac:dyDescent="0.3">
      <c r="B191" s="60" t="s">
        <v>3809</v>
      </c>
      <c r="C191" s="506" t="s">
        <v>1752</v>
      </c>
      <c r="D191" s="63" t="s">
        <v>26</v>
      </c>
      <c r="E191" s="72"/>
      <c r="F191" s="75"/>
      <c r="G191" s="188"/>
    </row>
    <row r="192" spans="2:7" s="177" customFormat="1" ht="15" customHeight="1" outlineLevel="1" x14ac:dyDescent="0.3">
      <c r="B192" s="60" t="s">
        <v>3810</v>
      </c>
      <c r="C192" s="506" t="s">
        <v>1753</v>
      </c>
      <c r="D192" s="63" t="s">
        <v>26</v>
      </c>
      <c r="E192" s="72"/>
      <c r="F192" s="75"/>
      <c r="G192" s="188"/>
    </row>
    <row r="193" spans="2:8" s="177" customFormat="1" ht="15" customHeight="1" outlineLevel="1" x14ac:dyDescent="0.3">
      <c r="B193" s="60" t="s">
        <v>3811</v>
      </c>
      <c r="C193" s="506" t="s">
        <v>1754</v>
      </c>
      <c r="D193" s="63" t="s">
        <v>26</v>
      </c>
      <c r="E193" s="72"/>
      <c r="F193" s="75"/>
      <c r="G193" s="188"/>
    </row>
    <row r="194" spans="2:8" s="177" customFormat="1" ht="15" customHeight="1" outlineLevel="1" x14ac:dyDescent="0.3">
      <c r="B194" s="60" t="s">
        <v>3812</v>
      </c>
      <c r="C194" s="506" t="s">
        <v>1755</v>
      </c>
      <c r="D194" s="63" t="s">
        <v>26</v>
      </c>
      <c r="E194" s="72"/>
      <c r="F194" s="75"/>
      <c r="G194" s="188"/>
    </row>
    <row r="195" spans="2:8" s="177" customFormat="1" ht="15" customHeight="1" outlineLevel="1" x14ac:dyDescent="0.3">
      <c r="B195" s="60" t="s">
        <v>3813</v>
      </c>
      <c r="C195" s="506" t="s">
        <v>1756</v>
      </c>
      <c r="D195" s="63" t="s">
        <v>26</v>
      </c>
      <c r="E195" s="72"/>
      <c r="F195" s="75"/>
      <c r="G195" s="188"/>
    </row>
    <row r="196" spans="2:8" s="177" customFormat="1" ht="15" customHeight="1" outlineLevel="1" x14ac:dyDescent="0.3">
      <c r="B196" s="60" t="s">
        <v>3814</v>
      </c>
      <c r="C196" s="506" t="s">
        <v>1757</v>
      </c>
      <c r="D196" s="63" t="s">
        <v>26</v>
      </c>
      <c r="E196" s="72"/>
      <c r="F196" s="75"/>
      <c r="G196" s="188"/>
    </row>
    <row r="197" spans="2:8" s="177" customFormat="1" ht="15" customHeight="1" outlineLevel="1" x14ac:dyDescent="0.3">
      <c r="B197" s="60" t="s">
        <v>3815</v>
      </c>
      <c r="C197" s="506" t="s">
        <v>1758</v>
      </c>
      <c r="D197" s="63" t="s">
        <v>26</v>
      </c>
      <c r="E197" s="72"/>
      <c r="F197" s="75"/>
      <c r="G197" s="188"/>
    </row>
    <row r="198" spans="2:8" s="177" customFormat="1" ht="15" customHeight="1" outlineLevel="1" x14ac:dyDescent="0.3">
      <c r="B198" s="60" t="s">
        <v>3816</v>
      </c>
      <c r="C198" s="506" t="s">
        <v>1759</v>
      </c>
      <c r="D198" s="63" t="s">
        <v>26</v>
      </c>
      <c r="E198" s="72"/>
      <c r="F198" s="75"/>
      <c r="G198" s="188"/>
    </row>
    <row r="199" spans="2:8" s="177" customFormat="1" ht="15" customHeight="1" outlineLevel="1" x14ac:dyDescent="0.3">
      <c r="B199" s="60" t="s">
        <v>3817</v>
      </c>
      <c r="C199" s="506" t="s">
        <v>1760</v>
      </c>
      <c r="D199" s="63" t="s">
        <v>26</v>
      </c>
      <c r="E199" s="72"/>
      <c r="F199" s="75"/>
      <c r="G199" s="188"/>
    </row>
    <row r="200" spans="2:8" s="177" customFormat="1" ht="15" customHeight="1" outlineLevel="1" x14ac:dyDescent="0.3">
      <c r="B200" s="60" t="s">
        <v>3818</v>
      </c>
      <c r="C200" s="506" t="s">
        <v>1761</v>
      </c>
      <c r="D200" s="63" t="s">
        <v>26</v>
      </c>
      <c r="E200" s="72"/>
      <c r="F200" s="75"/>
      <c r="G200" s="188"/>
    </row>
    <row r="201" spans="2:8" s="177" customFormat="1" ht="15" customHeight="1" outlineLevel="1" x14ac:dyDescent="0.3">
      <c r="B201" s="60" t="s">
        <v>3819</v>
      </c>
      <c r="C201" s="506" t="s">
        <v>1762</v>
      </c>
      <c r="D201" s="63" t="s">
        <v>26</v>
      </c>
      <c r="E201" s="72"/>
      <c r="F201" s="75"/>
      <c r="G201" s="188"/>
    </row>
    <row r="202" spans="2:8" s="177" customFormat="1" ht="15" customHeight="1" outlineLevel="1" x14ac:dyDescent="0.3">
      <c r="B202" s="60" t="s">
        <v>3820</v>
      </c>
      <c r="C202" s="506" t="s">
        <v>1763</v>
      </c>
      <c r="D202" s="63" t="s">
        <v>26</v>
      </c>
      <c r="E202" s="72"/>
      <c r="F202" s="75"/>
      <c r="G202" s="188"/>
    </row>
    <row r="203" spans="2:8" s="6" customFormat="1" ht="15.75" collapsed="1" thickBot="1" x14ac:dyDescent="0.35">
      <c r="B203" s="491" t="s">
        <v>3821</v>
      </c>
      <c r="C203" s="812" t="s">
        <v>1193</v>
      </c>
      <c r="D203" s="813"/>
      <c r="E203" s="243">
        <f>E10+E31+E74+E117+E160</f>
        <v>0</v>
      </c>
      <c r="F203" s="244">
        <f>F10+F31+F74+F117+F160</f>
        <v>0</v>
      </c>
      <c r="G203" s="22"/>
    </row>
    <row r="204" spans="2:8" ht="9" customHeight="1" x14ac:dyDescent="0.3">
      <c r="C204" s="10"/>
      <c r="D204" s="10"/>
      <c r="E204" s="10"/>
      <c r="F204" s="10"/>
      <c r="G204" s="11"/>
    </row>
    <row r="205" spans="2:8" s="76" customFormat="1" ht="15" customHeight="1" x14ac:dyDescent="0.35">
      <c r="C205" s="834" t="s">
        <v>3334</v>
      </c>
      <c r="D205" s="834"/>
      <c r="E205" s="834"/>
      <c r="F205" s="834"/>
      <c r="G205" s="278"/>
    </row>
    <row r="206" spans="2:8" ht="9" customHeight="1" thickBot="1" x14ac:dyDescent="0.35">
      <c r="C206" s="12"/>
      <c r="D206" s="139"/>
      <c r="E206" s="139"/>
      <c r="F206" s="139"/>
      <c r="G206" s="11"/>
    </row>
    <row r="207" spans="2:8" s="132" customFormat="1" ht="15" customHeight="1" x14ac:dyDescent="0.2">
      <c r="B207" s="418" t="s">
        <v>3822</v>
      </c>
      <c r="C207" s="406">
        <v>1</v>
      </c>
      <c r="D207" s="412" t="s">
        <v>205</v>
      </c>
      <c r="E207" s="577">
        <f>SUM(E208:E227)</f>
        <v>0</v>
      </c>
      <c r="F207" s="578">
        <f>SUM(F208:F227)</f>
        <v>0</v>
      </c>
    </row>
    <row r="208" spans="2:8" s="167" customFormat="1" outlineLevel="1" x14ac:dyDescent="0.2">
      <c r="B208" s="60" t="s">
        <v>3823</v>
      </c>
      <c r="C208" s="579">
        <v>1.1000000000000001</v>
      </c>
      <c r="D208" s="166" t="s">
        <v>258</v>
      </c>
      <c r="E208" s="153"/>
      <c r="F208" s="172"/>
      <c r="G208" s="165"/>
      <c r="H208" s="165"/>
    </row>
    <row r="209" spans="2:8" s="167" customFormat="1" outlineLevel="1" x14ac:dyDescent="0.2">
      <c r="B209" s="60" t="s">
        <v>3824</v>
      </c>
      <c r="C209" s="579">
        <v>1.2</v>
      </c>
      <c r="D209" s="166" t="s">
        <v>258</v>
      </c>
      <c r="E209" s="153"/>
      <c r="F209" s="172"/>
      <c r="G209" s="165"/>
      <c r="H209" s="165"/>
    </row>
    <row r="210" spans="2:8" s="167" customFormat="1" outlineLevel="1" x14ac:dyDescent="0.2">
      <c r="B210" s="60" t="s">
        <v>3825</v>
      </c>
      <c r="C210" s="579">
        <v>1.3</v>
      </c>
      <c r="D210" s="166" t="s">
        <v>258</v>
      </c>
      <c r="E210" s="153"/>
      <c r="F210" s="172"/>
      <c r="G210" s="165"/>
      <c r="H210" s="165"/>
    </row>
    <row r="211" spans="2:8" s="167" customFormat="1" outlineLevel="1" x14ac:dyDescent="0.2">
      <c r="B211" s="60" t="s">
        <v>3826</v>
      </c>
      <c r="C211" s="579">
        <v>1.4</v>
      </c>
      <c r="D211" s="166" t="s">
        <v>258</v>
      </c>
      <c r="E211" s="153"/>
      <c r="F211" s="172"/>
      <c r="G211" s="165"/>
      <c r="H211" s="165"/>
    </row>
    <row r="212" spans="2:8" s="167" customFormat="1" outlineLevel="1" x14ac:dyDescent="0.2">
      <c r="B212" s="60" t="s">
        <v>3827</v>
      </c>
      <c r="C212" s="579">
        <v>1.5</v>
      </c>
      <c r="D212" s="166" t="s">
        <v>258</v>
      </c>
      <c r="E212" s="153"/>
      <c r="F212" s="172"/>
      <c r="G212" s="165"/>
      <c r="H212" s="165"/>
    </row>
    <row r="213" spans="2:8" s="167" customFormat="1" outlineLevel="1" x14ac:dyDescent="0.2">
      <c r="B213" s="60" t="s">
        <v>3828</v>
      </c>
      <c r="C213" s="579">
        <v>1.6</v>
      </c>
      <c r="D213" s="166" t="s">
        <v>258</v>
      </c>
      <c r="E213" s="153"/>
      <c r="F213" s="172"/>
      <c r="G213" s="165"/>
      <c r="H213" s="165"/>
    </row>
    <row r="214" spans="2:8" s="167" customFormat="1" outlineLevel="1" x14ac:dyDescent="0.2">
      <c r="B214" s="60" t="s">
        <v>3829</v>
      </c>
      <c r="C214" s="579">
        <v>1.7</v>
      </c>
      <c r="D214" s="166" t="s">
        <v>258</v>
      </c>
      <c r="E214" s="153"/>
      <c r="F214" s="172"/>
      <c r="G214" s="165"/>
      <c r="H214" s="165"/>
    </row>
    <row r="215" spans="2:8" s="167" customFormat="1" outlineLevel="1" x14ac:dyDescent="0.2">
      <c r="B215" s="60" t="s">
        <v>3830</v>
      </c>
      <c r="C215" s="579">
        <v>1.8</v>
      </c>
      <c r="D215" s="166" t="s">
        <v>258</v>
      </c>
      <c r="E215" s="153"/>
      <c r="F215" s="172"/>
      <c r="G215" s="165"/>
      <c r="H215" s="165"/>
    </row>
    <row r="216" spans="2:8" s="167" customFormat="1" outlineLevel="1" x14ac:dyDescent="0.2">
      <c r="B216" s="60" t="s">
        <v>3831</v>
      </c>
      <c r="C216" s="579">
        <v>1.9</v>
      </c>
      <c r="D216" s="166" t="s">
        <v>258</v>
      </c>
      <c r="E216" s="153"/>
      <c r="F216" s="172"/>
      <c r="G216" s="165"/>
      <c r="H216" s="165"/>
    </row>
    <row r="217" spans="2:8" s="167" customFormat="1" outlineLevel="1" x14ac:dyDescent="0.2">
      <c r="B217" s="60" t="s">
        <v>3832</v>
      </c>
      <c r="C217" s="580">
        <v>1.1000000000000001</v>
      </c>
      <c r="D217" s="166" t="s">
        <v>258</v>
      </c>
      <c r="E217" s="153"/>
      <c r="F217" s="172"/>
      <c r="G217" s="165"/>
      <c r="H217" s="165"/>
    </row>
    <row r="218" spans="2:8" s="167" customFormat="1" outlineLevel="1" x14ac:dyDescent="0.2">
      <c r="B218" s="60" t="s">
        <v>3833</v>
      </c>
      <c r="C218" s="579">
        <v>2.11</v>
      </c>
      <c r="D218" s="166" t="s">
        <v>258</v>
      </c>
      <c r="E218" s="153"/>
      <c r="F218" s="172"/>
      <c r="G218" s="165"/>
      <c r="H218" s="165"/>
    </row>
    <row r="219" spans="2:8" s="167" customFormat="1" outlineLevel="1" x14ac:dyDescent="0.2">
      <c r="B219" s="60" t="s">
        <v>3834</v>
      </c>
      <c r="C219" s="579">
        <v>2.12</v>
      </c>
      <c r="D219" s="166" t="s">
        <v>258</v>
      </c>
      <c r="E219" s="153"/>
      <c r="F219" s="172"/>
      <c r="G219" s="165"/>
      <c r="H219" s="165"/>
    </row>
    <row r="220" spans="2:8" s="167" customFormat="1" outlineLevel="1" x14ac:dyDescent="0.2">
      <c r="B220" s="60" t="s">
        <v>3835</v>
      </c>
      <c r="C220" s="579">
        <v>2.13</v>
      </c>
      <c r="D220" s="166" t="s">
        <v>258</v>
      </c>
      <c r="E220" s="153"/>
      <c r="F220" s="172"/>
      <c r="G220" s="165"/>
      <c r="H220" s="165"/>
    </row>
    <row r="221" spans="2:8" s="167" customFormat="1" outlineLevel="1" x14ac:dyDescent="0.2">
      <c r="B221" s="60" t="s">
        <v>3836</v>
      </c>
      <c r="C221" s="579">
        <v>2.14</v>
      </c>
      <c r="D221" s="166" t="s">
        <v>258</v>
      </c>
      <c r="E221" s="153"/>
      <c r="F221" s="172"/>
      <c r="G221" s="165"/>
      <c r="H221" s="165"/>
    </row>
    <row r="222" spans="2:8" s="167" customFormat="1" outlineLevel="1" x14ac:dyDescent="0.2">
      <c r="B222" s="60" t="s">
        <v>3837</v>
      </c>
      <c r="C222" s="579">
        <v>2.15</v>
      </c>
      <c r="D222" s="166" t="s">
        <v>258</v>
      </c>
      <c r="E222" s="153"/>
      <c r="F222" s="172"/>
      <c r="G222" s="165"/>
      <c r="H222" s="165"/>
    </row>
    <row r="223" spans="2:8" s="167" customFormat="1" outlineLevel="1" x14ac:dyDescent="0.2">
      <c r="B223" s="60" t="s">
        <v>3838</v>
      </c>
      <c r="C223" s="579">
        <v>2.16</v>
      </c>
      <c r="D223" s="166" t="s">
        <v>258</v>
      </c>
      <c r="E223" s="153"/>
      <c r="F223" s="172"/>
      <c r="G223" s="165"/>
      <c r="H223" s="165"/>
    </row>
    <row r="224" spans="2:8" s="167" customFormat="1" outlineLevel="1" x14ac:dyDescent="0.2">
      <c r="B224" s="60" t="s">
        <v>3839</v>
      </c>
      <c r="C224" s="579">
        <v>2.17</v>
      </c>
      <c r="D224" s="166" t="s">
        <v>258</v>
      </c>
      <c r="E224" s="153"/>
      <c r="F224" s="172"/>
      <c r="G224" s="165"/>
      <c r="H224" s="165"/>
    </row>
    <row r="225" spans="2:8" s="167" customFormat="1" outlineLevel="1" x14ac:dyDescent="0.2">
      <c r="B225" s="60" t="s">
        <v>3840</v>
      </c>
      <c r="C225" s="579">
        <v>2.1800000000000002</v>
      </c>
      <c r="D225" s="166" t="s">
        <v>258</v>
      </c>
      <c r="E225" s="153"/>
      <c r="F225" s="172"/>
      <c r="G225" s="165"/>
      <c r="H225" s="165"/>
    </row>
    <row r="226" spans="2:8" s="167" customFormat="1" outlineLevel="1" x14ac:dyDescent="0.2">
      <c r="B226" s="60" t="s">
        <v>3841</v>
      </c>
      <c r="C226" s="579">
        <v>2.19</v>
      </c>
      <c r="D226" s="166" t="s">
        <v>258</v>
      </c>
      <c r="E226" s="153"/>
      <c r="F226" s="172"/>
      <c r="G226" s="165"/>
      <c r="H226" s="165"/>
    </row>
    <row r="227" spans="2:8" s="167" customFormat="1" outlineLevel="1" x14ac:dyDescent="0.2">
      <c r="B227" s="60" t="s">
        <v>3842</v>
      </c>
      <c r="C227" s="580">
        <v>2.2000000000000002</v>
      </c>
      <c r="D227" s="166" t="s">
        <v>258</v>
      </c>
      <c r="E227" s="153"/>
      <c r="F227" s="172"/>
      <c r="G227" s="165"/>
      <c r="H227" s="165"/>
    </row>
    <row r="228" spans="2:8" s="132" customFormat="1" ht="15" customHeight="1" x14ac:dyDescent="0.2">
      <c r="B228" s="60" t="s">
        <v>3843</v>
      </c>
      <c r="C228" s="397">
        <v>2</v>
      </c>
      <c r="D228" s="94" t="s">
        <v>1218</v>
      </c>
      <c r="E228" s="152">
        <f>E229+E250</f>
        <v>0</v>
      </c>
      <c r="F228" s="169">
        <f>F229+F250</f>
        <v>0</v>
      </c>
    </row>
    <row r="229" spans="2:8" s="134" customFormat="1" x14ac:dyDescent="0.2">
      <c r="B229" s="60" t="s">
        <v>3844</v>
      </c>
      <c r="C229" s="512" t="s">
        <v>424</v>
      </c>
      <c r="D229" s="164" t="s">
        <v>206</v>
      </c>
      <c r="E229" s="170">
        <f>SUM(E230:E249)</f>
        <v>0</v>
      </c>
      <c r="F229" s="171">
        <f>SUM(F230:F249)</f>
        <v>0</v>
      </c>
      <c r="G229" s="138"/>
      <c r="H229" s="138"/>
    </row>
    <row r="230" spans="2:8" s="167" customFormat="1" outlineLevel="1" x14ac:dyDescent="0.2">
      <c r="B230" s="60" t="s">
        <v>3845</v>
      </c>
      <c r="C230" s="506" t="s">
        <v>448</v>
      </c>
      <c r="D230" s="151" t="s">
        <v>260</v>
      </c>
      <c r="E230" s="153"/>
      <c r="F230" s="172"/>
      <c r="G230" s="165"/>
      <c r="H230" s="165"/>
    </row>
    <row r="231" spans="2:8" s="167" customFormat="1" outlineLevel="1" x14ac:dyDescent="0.2">
      <c r="B231" s="60" t="s">
        <v>3846</v>
      </c>
      <c r="C231" s="506" t="s">
        <v>449</v>
      </c>
      <c r="D231" s="151" t="s">
        <v>260</v>
      </c>
      <c r="E231" s="153"/>
      <c r="F231" s="172"/>
      <c r="G231" s="165"/>
      <c r="H231" s="165"/>
    </row>
    <row r="232" spans="2:8" s="167" customFormat="1" outlineLevel="1" x14ac:dyDescent="0.2">
      <c r="B232" s="60" t="s">
        <v>3847</v>
      </c>
      <c r="C232" s="506" t="s">
        <v>562</v>
      </c>
      <c r="D232" s="151" t="s">
        <v>260</v>
      </c>
      <c r="E232" s="153"/>
      <c r="F232" s="172"/>
      <c r="G232" s="165"/>
      <c r="H232" s="165"/>
    </row>
    <row r="233" spans="2:8" s="167" customFormat="1" outlineLevel="1" x14ac:dyDescent="0.2">
      <c r="B233" s="60" t="s">
        <v>3848</v>
      </c>
      <c r="C233" s="506" t="s">
        <v>563</v>
      </c>
      <c r="D233" s="151" t="s">
        <v>260</v>
      </c>
      <c r="E233" s="153"/>
      <c r="F233" s="172"/>
      <c r="G233" s="165"/>
      <c r="H233" s="165"/>
    </row>
    <row r="234" spans="2:8" s="167" customFormat="1" outlineLevel="1" x14ac:dyDescent="0.2">
      <c r="B234" s="60" t="s">
        <v>3849</v>
      </c>
      <c r="C234" s="506" t="s">
        <v>564</v>
      </c>
      <c r="D234" s="151" t="s">
        <v>260</v>
      </c>
      <c r="E234" s="153"/>
      <c r="F234" s="172"/>
      <c r="G234" s="165"/>
      <c r="H234" s="165"/>
    </row>
    <row r="235" spans="2:8" s="167" customFormat="1" outlineLevel="1" x14ac:dyDescent="0.2">
      <c r="B235" s="60" t="s">
        <v>3850</v>
      </c>
      <c r="C235" s="506" t="s">
        <v>565</v>
      </c>
      <c r="D235" s="151" t="s">
        <v>260</v>
      </c>
      <c r="E235" s="153"/>
      <c r="F235" s="172"/>
      <c r="G235" s="165"/>
      <c r="H235" s="165"/>
    </row>
    <row r="236" spans="2:8" s="167" customFormat="1" outlineLevel="1" x14ac:dyDescent="0.2">
      <c r="B236" s="60" t="s">
        <v>3851</v>
      </c>
      <c r="C236" s="506" t="s">
        <v>566</v>
      </c>
      <c r="D236" s="151" t="s">
        <v>260</v>
      </c>
      <c r="E236" s="153"/>
      <c r="F236" s="172"/>
      <c r="G236" s="165"/>
      <c r="H236" s="165"/>
    </row>
    <row r="237" spans="2:8" s="167" customFormat="1" outlineLevel="1" x14ac:dyDescent="0.2">
      <c r="B237" s="60" t="s">
        <v>3852</v>
      </c>
      <c r="C237" s="506" t="s">
        <v>567</v>
      </c>
      <c r="D237" s="151" t="s">
        <v>260</v>
      </c>
      <c r="E237" s="153"/>
      <c r="F237" s="172"/>
      <c r="G237" s="165"/>
      <c r="H237" s="165"/>
    </row>
    <row r="238" spans="2:8" s="167" customFormat="1" outlineLevel="1" x14ac:dyDescent="0.2">
      <c r="B238" s="60" t="s">
        <v>3853</v>
      </c>
      <c r="C238" s="506" t="s">
        <v>568</v>
      </c>
      <c r="D238" s="151" t="s">
        <v>260</v>
      </c>
      <c r="E238" s="153"/>
      <c r="F238" s="172"/>
      <c r="G238" s="165"/>
      <c r="H238" s="165"/>
    </row>
    <row r="239" spans="2:8" s="167" customFormat="1" outlineLevel="1" x14ac:dyDescent="0.2">
      <c r="B239" s="60" t="s">
        <v>3854</v>
      </c>
      <c r="C239" s="506" t="s">
        <v>569</v>
      </c>
      <c r="D239" s="151" t="s">
        <v>260</v>
      </c>
      <c r="E239" s="153"/>
      <c r="F239" s="172"/>
      <c r="G239" s="165"/>
      <c r="H239" s="165"/>
    </row>
    <row r="240" spans="2:8" s="167" customFormat="1" outlineLevel="1" x14ac:dyDescent="0.2">
      <c r="B240" s="60" t="s">
        <v>3855</v>
      </c>
      <c r="C240" s="506" t="s">
        <v>570</v>
      </c>
      <c r="D240" s="151" t="s">
        <v>260</v>
      </c>
      <c r="E240" s="153"/>
      <c r="F240" s="172"/>
      <c r="G240" s="165"/>
      <c r="H240" s="165"/>
    </row>
    <row r="241" spans="2:8" s="167" customFormat="1" outlineLevel="1" x14ac:dyDescent="0.2">
      <c r="B241" s="60" t="s">
        <v>3856</v>
      </c>
      <c r="C241" s="506" t="s">
        <v>571</v>
      </c>
      <c r="D241" s="151" t="s">
        <v>260</v>
      </c>
      <c r="E241" s="153"/>
      <c r="F241" s="172"/>
      <c r="G241" s="165"/>
      <c r="H241" s="165"/>
    </row>
    <row r="242" spans="2:8" s="167" customFormat="1" outlineLevel="1" x14ac:dyDescent="0.2">
      <c r="B242" s="60" t="s">
        <v>3857</v>
      </c>
      <c r="C242" s="506" t="s">
        <v>572</v>
      </c>
      <c r="D242" s="151" t="s">
        <v>260</v>
      </c>
      <c r="E242" s="153"/>
      <c r="F242" s="172"/>
      <c r="G242" s="165"/>
      <c r="H242" s="165"/>
    </row>
    <row r="243" spans="2:8" s="167" customFormat="1" outlineLevel="1" x14ac:dyDescent="0.2">
      <c r="B243" s="60" t="s">
        <v>3858</v>
      </c>
      <c r="C243" s="506" t="s">
        <v>573</v>
      </c>
      <c r="D243" s="151" t="s">
        <v>260</v>
      </c>
      <c r="E243" s="153"/>
      <c r="F243" s="172"/>
      <c r="G243" s="165"/>
      <c r="H243" s="165"/>
    </row>
    <row r="244" spans="2:8" s="167" customFormat="1" outlineLevel="1" x14ac:dyDescent="0.2">
      <c r="B244" s="60" t="s">
        <v>3859</v>
      </c>
      <c r="C244" s="506" t="s">
        <v>574</v>
      </c>
      <c r="D244" s="151" t="s">
        <v>260</v>
      </c>
      <c r="E244" s="153"/>
      <c r="F244" s="172"/>
      <c r="G244" s="165"/>
      <c r="H244" s="165"/>
    </row>
    <row r="245" spans="2:8" s="167" customFormat="1" outlineLevel="1" x14ac:dyDescent="0.2">
      <c r="B245" s="60" t="s">
        <v>3860</v>
      </c>
      <c r="C245" s="506" t="s">
        <v>575</v>
      </c>
      <c r="D245" s="151" t="s">
        <v>260</v>
      </c>
      <c r="E245" s="153"/>
      <c r="F245" s="172"/>
      <c r="G245" s="165"/>
      <c r="H245" s="165"/>
    </row>
    <row r="246" spans="2:8" s="167" customFormat="1" outlineLevel="1" x14ac:dyDescent="0.2">
      <c r="B246" s="60" t="s">
        <v>3861</v>
      </c>
      <c r="C246" s="506" t="s">
        <v>576</v>
      </c>
      <c r="D246" s="151" t="s">
        <v>260</v>
      </c>
      <c r="E246" s="153"/>
      <c r="F246" s="172"/>
      <c r="G246" s="165"/>
      <c r="H246" s="165"/>
    </row>
    <row r="247" spans="2:8" s="167" customFormat="1" outlineLevel="1" x14ac:dyDescent="0.2">
      <c r="B247" s="60" t="s">
        <v>3862</v>
      </c>
      <c r="C247" s="506" t="s">
        <v>577</v>
      </c>
      <c r="D247" s="151" t="s">
        <v>260</v>
      </c>
      <c r="E247" s="153"/>
      <c r="F247" s="172"/>
      <c r="G247" s="165"/>
      <c r="H247" s="165"/>
    </row>
    <row r="248" spans="2:8" s="167" customFormat="1" outlineLevel="1" x14ac:dyDescent="0.2">
      <c r="B248" s="60" t="s">
        <v>3863</v>
      </c>
      <c r="C248" s="506" t="s">
        <v>578</v>
      </c>
      <c r="D248" s="151" t="s">
        <v>260</v>
      </c>
      <c r="E248" s="153"/>
      <c r="F248" s="172"/>
      <c r="G248" s="165"/>
      <c r="H248" s="165"/>
    </row>
    <row r="249" spans="2:8" s="167" customFormat="1" outlineLevel="1" x14ac:dyDescent="0.2">
      <c r="B249" s="60" t="s">
        <v>3864</v>
      </c>
      <c r="C249" s="506" t="s">
        <v>579</v>
      </c>
      <c r="D249" s="151" t="s">
        <v>260</v>
      </c>
      <c r="E249" s="153"/>
      <c r="F249" s="172"/>
      <c r="G249" s="165"/>
      <c r="H249" s="165"/>
    </row>
    <row r="250" spans="2:8" s="134" customFormat="1" x14ac:dyDescent="0.2">
      <c r="B250" s="60" t="s">
        <v>3865</v>
      </c>
      <c r="C250" s="512" t="s">
        <v>425</v>
      </c>
      <c r="D250" s="164" t="s">
        <v>209</v>
      </c>
      <c r="E250" s="170">
        <f>SUM(E251:E270)</f>
        <v>0</v>
      </c>
      <c r="F250" s="171">
        <f>SUM(F251:F270)</f>
        <v>0</v>
      </c>
      <c r="G250" s="138"/>
      <c r="H250" s="138"/>
    </row>
    <row r="251" spans="2:8" s="167" customFormat="1" outlineLevel="1" x14ac:dyDescent="0.2">
      <c r="B251" s="60" t="s">
        <v>3866</v>
      </c>
      <c r="C251" s="506" t="s">
        <v>580</v>
      </c>
      <c r="D251" s="151" t="s">
        <v>260</v>
      </c>
      <c r="E251" s="153"/>
      <c r="F251" s="172"/>
      <c r="G251" s="165"/>
    </row>
    <row r="252" spans="2:8" s="167" customFormat="1" outlineLevel="1" x14ac:dyDescent="0.2">
      <c r="B252" s="60" t="s">
        <v>3867</v>
      </c>
      <c r="C252" s="506" t="s">
        <v>581</v>
      </c>
      <c r="D252" s="151" t="s">
        <v>260</v>
      </c>
      <c r="E252" s="153"/>
      <c r="F252" s="172"/>
      <c r="G252" s="165"/>
    </row>
    <row r="253" spans="2:8" s="167" customFormat="1" outlineLevel="1" x14ac:dyDescent="0.2">
      <c r="B253" s="60" t="s">
        <v>3868</v>
      </c>
      <c r="C253" s="506" t="s">
        <v>582</v>
      </c>
      <c r="D253" s="151" t="s">
        <v>260</v>
      </c>
      <c r="E253" s="153"/>
      <c r="F253" s="172"/>
      <c r="G253" s="165"/>
    </row>
    <row r="254" spans="2:8" s="167" customFormat="1" outlineLevel="1" x14ac:dyDescent="0.2">
      <c r="B254" s="60" t="s">
        <v>3869</v>
      </c>
      <c r="C254" s="506" t="s">
        <v>583</v>
      </c>
      <c r="D254" s="151" t="s">
        <v>260</v>
      </c>
      <c r="E254" s="153"/>
      <c r="F254" s="172"/>
      <c r="G254" s="165"/>
    </row>
    <row r="255" spans="2:8" s="167" customFormat="1" outlineLevel="1" x14ac:dyDescent="0.2">
      <c r="B255" s="60" t="s">
        <v>3870</v>
      </c>
      <c r="C255" s="506" t="s">
        <v>584</v>
      </c>
      <c r="D255" s="151" t="s">
        <v>260</v>
      </c>
      <c r="E255" s="153"/>
      <c r="F255" s="172"/>
      <c r="G255" s="165"/>
    </row>
    <row r="256" spans="2:8" s="167" customFormat="1" outlineLevel="1" x14ac:dyDescent="0.2">
      <c r="B256" s="60" t="s">
        <v>3871</v>
      </c>
      <c r="C256" s="506" t="s">
        <v>585</v>
      </c>
      <c r="D256" s="151" t="s">
        <v>260</v>
      </c>
      <c r="E256" s="153"/>
      <c r="F256" s="172"/>
      <c r="G256" s="165"/>
    </row>
    <row r="257" spans="2:7" s="167" customFormat="1" outlineLevel="1" x14ac:dyDescent="0.2">
      <c r="B257" s="60" t="s">
        <v>3872</v>
      </c>
      <c r="C257" s="506" t="s">
        <v>586</v>
      </c>
      <c r="D257" s="151" t="s">
        <v>260</v>
      </c>
      <c r="E257" s="153"/>
      <c r="F257" s="172"/>
      <c r="G257" s="165"/>
    </row>
    <row r="258" spans="2:7" s="167" customFormat="1" outlineLevel="1" x14ac:dyDescent="0.2">
      <c r="B258" s="60" t="s">
        <v>3873</v>
      </c>
      <c r="C258" s="506" t="s">
        <v>587</v>
      </c>
      <c r="D258" s="151" t="s">
        <v>260</v>
      </c>
      <c r="E258" s="153"/>
      <c r="F258" s="172"/>
      <c r="G258" s="165"/>
    </row>
    <row r="259" spans="2:7" s="167" customFormat="1" outlineLevel="1" x14ac:dyDescent="0.2">
      <c r="B259" s="60" t="s">
        <v>3874</v>
      </c>
      <c r="C259" s="506" t="s">
        <v>588</v>
      </c>
      <c r="D259" s="151" t="s">
        <v>260</v>
      </c>
      <c r="E259" s="153"/>
      <c r="F259" s="172"/>
      <c r="G259" s="165"/>
    </row>
    <row r="260" spans="2:7" s="167" customFormat="1" outlineLevel="1" x14ac:dyDescent="0.2">
      <c r="B260" s="60" t="s">
        <v>3875</v>
      </c>
      <c r="C260" s="506" t="s">
        <v>589</v>
      </c>
      <c r="D260" s="151" t="s">
        <v>260</v>
      </c>
      <c r="E260" s="153"/>
      <c r="F260" s="172"/>
      <c r="G260" s="165"/>
    </row>
    <row r="261" spans="2:7" s="167" customFormat="1" outlineLevel="1" x14ac:dyDescent="0.2">
      <c r="B261" s="60" t="s">
        <v>3876</v>
      </c>
      <c r="C261" s="506" t="s">
        <v>590</v>
      </c>
      <c r="D261" s="151" t="s">
        <v>260</v>
      </c>
      <c r="E261" s="153"/>
      <c r="F261" s="172"/>
      <c r="G261" s="165"/>
    </row>
    <row r="262" spans="2:7" s="167" customFormat="1" outlineLevel="1" x14ac:dyDescent="0.2">
      <c r="B262" s="60" t="s">
        <v>3877</v>
      </c>
      <c r="C262" s="506" t="s">
        <v>591</v>
      </c>
      <c r="D262" s="151" t="s">
        <v>260</v>
      </c>
      <c r="E262" s="153"/>
      <c r="F262" s="172"/>
      <c r="G262" s="165"/>
    </row>
    <row r="263" spans="2:7" s="167" customFormat="1" outlineLevel="1" x14ac:dyDescent="0.2">
      <c r="B263" s="60" t="s">
        <v>3878</v>
      </c>
      <c r="C263" s="506" t="s">
        <v>592</v>
      </c>
      <c r="D263" s="151" t="s">
        <v>260</v>
      </c>
      <c r="E263" s="153"/>
      <c r="F263" s="172"/>
      <c r="G263" s="165"/>
    </row>
    <row r="264" spans="2:7" s="167" customFormat="1" outlineLevel="1" x14ac:dyDescent="0.2">
      <c r="B264" s="60" t="s">
        <v>3879</v>
      </c>
      <c r="C264" s="506" t="s">
        <v>593</v>
      </c>
      <c r="D264" s="151" t="s">
        <v>260</v>
      </c>
      <c r="E264" s="153"/>
      <c r="F264" s="172"/>
      <c r="G264" s="165"/>
    </row>
    <row r="265" spans="2:7" s="167" customFormat="1" outlineLevel="1" x14ac:dyDescent="0.2">
      <c r="B265" s="60" t="s">
        <v>3880</v>
      </c>
      <c r="C265" s="506" t="s">
        <v>594</v>
      </c>
      <c r="D265" s="151" t="s">
        <v>260</v>
      </c>
      <c r="E265" s="153"/>
      <c r="F265" s="172"/>
      <c r="G265" s="165"/>
    </row>
    <row r="266" spans="2:7" s="167" customFormat="1" outlineLevel="1" x14ac:dyDescent="0.2">
      <c r="B266" s="60" t="s">
        <v>3881</v>
      </c>
      <c r="C266" s="506" t="s">
        <v>595</v>
      </c>
      <c r="D266" s="151" t="s">
        <v>260</v>
      </c>
      <c r="E266" s="153"/>
      <c r="F266" s="172"/>
      <c r="G266" s="165"/>
    </row>
    <row r="267" spans="2:7" s="167" customFormat="1" outlineLevel="1" x14ac:dyDescent="0.2">
      <c r="B267" s="60" t="s">
        <v>3882</v>
      </c>
      <c r="C267" s="506" t="s">
        <v>596</v>
      </c>
      <c r="D267" s="151" t="s">
        <v>260</v>
      </c>
      <c r="E267" s="153"/>
      <c r="F267" s="172"/>
      <c r="G267" s="165"/>
    </row>
    <row r="268" spans="2:7" s="167" customFormat="1" outlineLevel="1" x14ac:dyDescent="0.2">
      <c r="B268" s="60" t="s">
        <v>3883</v>
      </c>
      <c r="C268" s="506" t="s">
        <v>597</v>
      </c>
      <c r="D268" s="151" t="s">
        <v>260</v>
      </c>
      <c r="E268" s="153"/>
      <c r="F268" s="172"/>
      <c r="G268" s="165"/>
    </row>
    <row r="269" spans="2:7" s="167" customFormat="1" outlineLevel="1" x14ac:dyDescent="0.2">
      <c r="B269" s="60" t="s">
        <v>3884</v>
      </c>
      <c r="C269" s="506" t="s">
        <v>598</v>
      </c>
      <c r="D269" s="151" t="s">
        <v>260</v>
      </c>
      <c r="E269" s="153"/>
      <c r="F269" s="172"/>
      <c r="G269" s="165"/>
    </row>
    <row r="270" spans="2:7" s="167" customFormat="1" outlineLevel="1" x14ac:dyDescent="0.2">
      <c r="B270" s="60" t="s">
        <v>3885</v>
      </c>
      <c r="C270" s="506" t="s">
        <v>599</v>
      </c>
      <c r="D270" s="151" t="s">
        <v>260</v>
      </c>
      <c r="E270" s="153"/>
      <c r="F270" s="172"/>
      <c r="G270" s="165"/>
    </row>
    <row r="271" spans="2:7" s="132" customFormat="1" ht="15" customHeight="1" collapsed="1" x14ac:dyDescent="0.2">
      <c r="B271" s="60" t="s">
        <v>3886</v>
      </c>
      <c r="C271" s="397">
        <v>3</v>
      </c>
      <c r="D271" s="94" t="s">
        <v>210</v>
      </c>
      <c r="E271" s="152">
        <f>E272+E293</f>
        <v>0</v>
      </c>
      <c r="F271" s="169">
        <f>F272+F293</f>
        <v>0</v>
      </c>
    </row>
    <row r="272" spans="2:7" s="134" customFormat="1" x14ac:dyDescent="0.2">
      <c r="B272" s="60" t="s">
        <v>3887</v>
      </c>
      <c r="C272" s="512" t="s">
        <v>409</v>
      </c>
      <c r="D272" s="164" t="s">
        <v>238</v>
      </c>
      <c r="E272" s="170">
        <f>SUM(E273:E292)</f>
        <v>0</v>
      </c>
      <c r="F272" s="171">
        <f>SUM(F273:F292)</f>
        <v>0</v>
      </c>
      <c r="G272" s="138"/>
    </row>
    <row r="273" spans="2:7" s="167" customFormat="1" outlineLevel="1" x14ac:dyDescent="0.2">
      <c r="B273" s="60" t="s">
        <v>3888</v>
      </c>
      <c r="C273" s="571" t="s">
        <v>450</v>
      </c>
      <c r="D273" s="151" t="s">
        <v>211</v>
      </c>
      <c r="E273" s="153"/>
      <c r="F273" s="172"/>
      <c r="G273" s="165"/>
    </row>
    <row r="274" spans="2:7" s="167" customFormat="1" outlineLevel="1" x14ac:dyDescent="0.2">
      <c r="B274" s="60" t="s">
        <v>3889</v>
      </c>
      <c r="C274" s="571" t="s">
        <v>451</v>
      </c>
      <c r="D274" s="151" t="s">
        <v>211</v>
      </c>
      <c r="E274" s="153"/>
      <c r="F274" s="172"/>
      <c r="G274" s="165"/>
    </row>
    <row r="275" spans="2:7" s="167" customFormat="1" outlineLevel="1" x14ac:dyDescent="0.2">
      <c r="B275" s="60" t="s">
        <v>3890</v>
      </c>
      <c r="C275" s="571" t="s">
        <v>458</v>
      </c>
      <c r="D275" s="151" t="s">
        <v>211</v>
      </c>
      <c r="E275" s="153"/>
      <c r="F275" s="172"/>
      <c r="G275" s="165"/>
    </row>
    <row r="276" spans="2:7" s="167" customFormat="1" outlineLevel="1" x14ac:dyDescent="0.2">
      <c r="B276" s="60" t="s">
        <v>3891</v>
      </c>
      <c r="C276" s="571" t="s">
        <v>600</v>
      </c>
      <c r="D276" s="151" t="s">
        <v>211</v>
      </c>
      <c r="E276" s="153"/>
      <c r="F276" s="172"/>
      <c r="G276" s="165"/>
    </row>
    <row r="277" spans="2:7" s="167" customFormat="1" outlineLevel="1" x14ac:dyDescent="0.2">
      <c r="B277" s="60" t="s">
        <v>3892</v>
      </c>
      <c r="C277" s="571" t="s">
        <v>601</v>
      </c>
      <c r="D277" s="151" t="s">
        <v>211</v>
      </c>
      <c r="E277" s="153"/>
      <c r="F277" s="172"/>
      <c r="G277" s="165"/>
    </row>
    <row r="278" spans="2:7" s="167" customFormat="1" outlineLevel="1" x14ac:dyDescent="0.2">
      <c r="B278" s="60" t="s">
        <v>3893</v>
      </c>
      <c r="C278" s="571" t="s">
        <v>602</v>
      </c>
      <c r="D278" s="151" t="s">
        <v>211</v>
      </c>
      <c r="E278" s="153"/>
      <c r="F278" s="172"/>
      <c r="G278" s="165"/>
    </row>
    <row r="279" spans="2:7" s="167" customFormat="1" outlineLevel="1" x14ac:dyDescent="0.2">
      <c r="B279" s="60" t="s">
        <v>3894</v>
      </c>
      <c r="C279" s="571" t="s">
        <v>603</v>
      </c>
      <c r="D279" s="151" t="s">
        <v>211</v>
      </c>
      <c r="E279" s="153"/>
      <c r="F279" s="172"/>
      <c r="G279" s="165"/>
    </row>
    <row r="280" spans="2:7" s="167" customFormat="1" outlineLevel="1" x14ac:dyDescent="0.2">
      <c r="B280" s="60" t="s">
        <v>3895</v>
      </c>
      <c r="C280" s="571" t="s">
        <v>604</v>
      </c>
      <c r="D280" s="151" t="s">
        <v>211</v>
      </c>
      <c r="E280" s="153"/>
      <c r="F280" s="172"/>
      <c r="G280" s="165"/>
    </row>
    <row r="281" spans="2:7" s="167" customFormat="1" outlineLevel="1" x14ac:dyDescent="0.2">
      <c r="B281" s="60" t="s">
        <v>3896</v>
      </c>
      <c r="C281" s="571" t="s">
        <v>605</v>
      </c>
      <c r="D281" s="151" t="s">
        <v>211</v>
      </c>
      <c r="E281" s="153"/>
      <c r="F281" s="172"/>
      <c r="G281" s="165"/>
    </row>
    <row r="282" spans="2:7" s="167" customFormat="1" outlineLevel="1" x14ac:dyDescent="0.2">
      <c r="B282" s="60" t="s">
        <v>3897</v>
      </c>
      <c r="C282" s="571" t="s">
        <v>606</v>
      </c>
      <c r="D282" s="151" t="s">
        <v>211</v>
      </c>
      <c r="E282" s="153"/>
      <c r="F282" s="172"/>
      <c r="G282" s="165"/>
    </row>
    <row r="283" spans="2:7" s="167" customFormat="1" outlineLevel="1" x14ac:dyDescent="0.2">
      <c r="B283" s="60" t="s">
        <v>3898</v>
      </c>
      <c r="C283" s="571" t="s">
        <v>607</v>
      </c>
      <c r="D283" s="151" t="s">
        <v>211</v>
      </c>
      <c r="E283" s="153"/>
      <c r="F283" s="172"/>
      <c r="G283" s="165"/>
    </row>
    <row r="284" spans="2:7" s="167" customFormat="1" outlineLevel="1" x14ac:dyDescent="0.2">
      <c r="B284" s="60" t="s">
        <v>3899</v>
      </c>
      <c r="C284" s="571" t="s">
        <v>608</v>
      </c>
      <c r="D284" s="151" t="s">
        <v>211</v>
      </c>
      <c r="E284" s="153"/>
      <c r="F284" s="172"/>
      <c r="G284" s="165"/>
    </row>
    <row r="285" spans="2:7" s="167" customFormat="1" outlineLevel="1" x14ac:dyDescent="0.2">
      <c r="B285" s="60" t="s">
        <v>3900</v>
      </c>
      <c r="C285" s="571" t="s">
        <v>609</v>
      </c>
      <c r="D285" s="151" t="s">
        <v>211</v>
      </c>
      <c r="E285" s="153"/>
      <c r="F285" s="172"/>
      <c r="G285" s="165"/>
    </row>
    <row r="286" spans="2:7" s="167" customFormat="1" outlineLevel="1" x14ac:dyDescent="0.2">
      <c r="B286" s="60" t="s">
        <v>3901</v>
      </c>
      <c r="C286" s="571" t="s">
        <v>610</v>
      </c>
      <c r="D286" s="151" t="s">
        <v>211</v>
      </c>
      <c r="E286" s="153"/>
      <c r="F286" s="172"/>
      <c r="G286" s="165"/>
    </row>
    <row r="287" spans="2:7" s="167" customFormat="1" outlineLevel="1" x14ac:dyDescent="0.2">
      <c r="B287" s="60" t="s">
        <v>3902</v>
      </c>
      <c r="C287" s="571" t="s">
        <v>611</v>
      </c>
      <c r="D287" s="151" t="s">
        <v>211</v>
      </c>
      <c r="E287" s="153"/>
      <c r="F287" s="172"/>
      <c r="G287" s="165"/>
    </row>
    <row r="288" spans="2:7" s="167" customFormat="1" outlineLevel="1" x14ac:dyDescent="0.2">
      <c r="B288" s="60" t="s">
        <v>3903</v>
      </c>
      <c r="C288" s="571" t="s">
        <v>612</v>
      </c>
      <c r="D288" s="151" t="s">
        <v>211</v>
      </c>
      <c r="E288" s="153"/>
      <c r="F288" s="172"/>
      <c r="G288" s="165"/>
    </row>
    <row r="289" spans="2:7" s="167" customFormat="1" outlineLevel="1" x14ac:dyDescent="0.2">
      <c r="B289" s="60" t="s">
        <v>3904</v>
      </c>
      <c r="C289" s="571" t="s">
        <v>613</v>
      </c>
      <c r="D289" s="151" t="s">
        <v>211</v>
      </c>
      <c r="E289" s="153"/>
      <c r="F289" s="172"/>
      <c r="G289" s="165"/>
    </row>
    <row r="290" spans="2:7" s="167" customFormat="1" outlineLevel="1" x14ac:dyDescent="0.2">
      <c r="B290" s="60" t="s">
        <v>3905</v>
      </c>
      <c r="C290" s="571" t="s">
        <v>614</v>
      </c>
      <c r="D290" s="151" t="s">
        <v>211</v>
      </c>
      <c r="E290" s="153"/>
      <c r="F290" s="172"/>
      <c r="G290" s="165"/>
    </row>
    <row r="291" spans="2:7" s="167" customFormat="1" outlineLevel="1" x14ac:dyDescent="0.2">
      <c r="B291" s="60" t="s">
        <v>3906</v>
      </c>
      <c r="C291" s="571" t="s">
        <v>615</v>
      </c>
      <c r="D291" s="151" t="s">
        <v>211</v>
      </c>
      <c r="E291" s="153"/>
      <c r="F291" s="172"/>
      <c r="G291" s="165"/>
    </row>
    <row r="292" spans="2:7" s="167" customFormat="1" outlineLevel="1" x14ac:dyDescent="0.2">
      <c r="B292" s="60" t="s">
        <v>3907</v>
      </c>
      <c r="C292" s="571" t="s">
        <v>616</v>
      </c>
      <c r="D292" s="151" t="s">
        <v>211</v>
      </c>
      <c r="E292" s="153"/>
      <c r="F292" s="172"/>
      <c r="G292" s="165"/>
    </row>
    <row r="293" spans="2:7" s="134" customFormat="1" x14ac:dyDescent="0.2">
      <c r="B293" s="60" t="s">
        <v>3908</v>
      </c>
      <c r="C293" s="512" t="s">
        <v>410</v>
      </c>
      <c r="D293" s="164" t="s">
        <v>243</v>
      </c>
      <c r="E293" s="170">
        <f>SUM(E294:E313)</f>
        <v>0</v>
      </c>
      <c r="F293" s="171">
        <f>SUM(F294:F313)</f>
        <v>0</v>
      </c>
      <c r="G293" s="138"/>
    </row>
    <row r="294" spans="2:7" s="167" customFormat="1" outlineLevel="1" x14ac:dyDescent="0.2">
      <c r="B294" s="60" t="s">
        <v>3909</v>
      </c>
      <c r="C294" s="571" t="s">
        <v>454</v>
      </c>
      <c r="D294" s="151" t="s">
        <v>211</v>
      </c>
      <c r="E294" s="153"/>
      <c r="F294" s="172"/>
      <c r="G294" s="165"/>
    </row>
    <row r="295" spans="2:7" s="167" customFormat="1" outlineLevel="1" x14ac:dyDescent="0.2">
      <c r="B295" s="60" t="s">
        <v>3910</v>
      </c>
      <c r="C295" s="571" t="s">
        <v>455</v>
      </c>
      <c r="D295" s="151" t="s">
        <v>211</v>
      </c>
      <c r="E295" s="153"/>
      <c r="F295" s="172"/>
      <c r="G295" s="165"/>
    </row>
    <row r="296" spans="2:7" s="167" customFormat="1" outlineLevel="1" x14ac:dyDescent="0.2">
      <c r="B296" s="60" t="s">
        <v>3911</v>
      </c>
      <c r="C296" s="571" t="s">
        <v>459</v>
      </c>
      <c r="D296" s="151" t="s">
        <v>211</v>
      </c>
      <c r="E296" s="153"/>
      <c r="F296" s="172"/>
      <c r="G296" s="165"/>
    </row>
    <row r="297" spans="2:7" s="167" customFormat="1" outlineLevel="1" x14ac:dyDescent="0.2">
      <c r="B297" s="60" t="s">
        <v>3912</v>
      </c>
      <c r="C297" s="571" t="s">
        <v>617</v>
      </c>
      <c r="D297" s="151" t="s">
        <v>211</v>
      </c>
      <c r="E297" s="153"/>
      <c r="F297" s="172"/>
      <c r="G297" s="165"/>
    </row>
    <row r="298" spans="2:7" s="167" customFormat="1" outlineLevel="1" x14ac:dyDescent="0.2">
      <c r="B298" s="60" t="s">
        <v>3913</v>
      </c>
      <c r="C298" s="571" t="s">
        <v>618</v>
      </c>
      <c r="D298" s="151" t="s">
        <v>211</v>
      </c>
      <c r="E298" s="153"/>
      <c r="F298" s="172"/>
      <c r="G298" s="165"/>
    </row>
    <row r="299" spans="2:7" s="167" customFormat="1" outlineLevel="1" x14ac:dyDescent="0.2">
      <c r="B299" s="60" t="s">
        <v>3914</v>
      </c>
      <c r="C299" s="571" t="s">
        <v>619</v>
      </c>
      <c r="D299" s="151" t="s">
        <v>211</v>
      </c>
      <c r="E299" s="153"/>
      <c r="F299" s="172"/>
      <c r="G299" s="165"/>
    </row>
    <row r="300" spans="2:7" s="167" customFormat="1" outlineLevel="1" x14ac:dyDescent="0.2">
      <c r="B300" s="60" t="s">
        <v>3915</v>
      </c>
      <c r="C300" s="571" t="s">
        <v>620</v>
      </c>
      <c r="D300" s="151" t="s">
        <v>211</v>
      </c>
      <c r="E300" s="153"/>
      <c r="F300" s="172"/>
      <c r="G300" s="165"/>
    </row>
    <row r="301" spans="2:7" s="167" customFormat="1" outlineLevel="1" x14ac:dyDescent="0.2">
      <c r="B301" s="60" t="s">
        <v>3916</v>
      </c>
      <c r="C301" s="571" t="s">
        <v>621</v>
      </c>
      <c r="D301" s="151" t="s">
        <v>211</v>
      </c>
      <c r="E301" s="153"/>
      <c r="F301" s="172"/>
      <c r="G301" s="165"/>
    </row>
    <row r="302" spans="2:7" s="167" customFormat="1" outlineLevel="1" x14ac:dyDescent="0.2">
      <c r="B302" s="60" t="s">
        <v>3917</v>
      </c>
      <c r="C302" s="571" t="s">
        <v>622</v>
      </c>
      <c r="D302" s="151" t="s">
        <v>211</v>
      </c>
      <c r="E302" s="153"/>
      <c r="F302" s="172"/>
      <c r="G302" s="165"/>
    </row>
    <row r="303" spans="2:7" s="167" customFormat="1" outlineLevel="1" x14ac:dyDescent="0.2">
      <c r="B303" s="60" t="s">
        <v>3918</v>
      </c>
      <c r="C303" s="571" t="s">
        <v>623</v>
      </c>
      <c r="D303" s="151" t="s">
        <v>211</v>
      </c>
      <c r="E303" s="153"/>
      <c r="F303" s="172"/>
      <c r="G303" s="165"/>
    </row>
    <row r="304" spans="2:7" s="167" customFormat="1" outlineLevel="1" x14ac:dyDescent="0.2">
      <c r="B304" s="60" t="s">
        <v>3919</v>
      </c>
      <c r="C304" s="571" t="s">
        <v>624</v>
      </c>
      <c r="D304" s="151" t="s">
        <v>211</v>
      </c>
      <c r="E304" s="153"/>
      <c r="F304" s="172"/>
      <c r="G304" s="165"/>
    </row>
    <row r="305" spans="2:7" s="167" customFormat="1" outlineLevel="1" x14ac:dyDescent="0.2">
      <c r="B305" s="60" t="s">
        <v>3920</v>
      </c>
      <c r="C305" s="571" t="s">
        <v>625</v>
      </c>
      <c r="D305" s="151" t="s">
        <v>211</v>
      </c>
      <c r="E305" s="153"/>
      <c r="F305" s="172"/>
      <c r="G305" s="165"/>
    </row>
    <row r="306" spans="2:7" s="167" customFormat="1" outlineLevel="1" x14ac:dyDescent="0.2">
      <c r="B306" s="60" t="s">
        <v>3921</v>
      </c>
      <c r="C306" s="571" t="s">
        <v>626</v>
      </c>
      <c r="D306" s="151" t="s">
        <v>211</v>
      </c>
      <c r="E306" s="153"/>
      <c r="F306" s="172"/>
      <c r="G306" s="165"/>
    </row>
    <row r="307" spans="2:7" s="167" customFormat="1" outlineLevel="1" x14ac:dyDescent="0.2">
      <c r="B307" s="60" t="s">
        <v>3922</v>
      </c>
      <c r="C307" s="571" t="s">
        <v>627</v>
      </c>
      <c r="D307" s="151" t="s">
        <v>211</v>
      </c>
      <c r="E307" s="153"/>
      <c r="F307" s="172"/>
      <c r="G307" s="165"/>
    </row>
    <row r="308" spans="2:7" s="167" customFormat="1" outlineLevel="1" x14ac:dyDescent="0.2">
      <c r="B308" s="60" t="s">
        <v>3923</v>
      </c>
      <c r="C308" s="571" t="s">
        <v>628</v>
      </c>
      <c r="D308" s="151" t="s">
        <v>211</v>
      </c>
      <c r="E308" s="153"/>
      <c r="F308" s="172"/>
      <c r="G308" s="165"/>
    </row>
    <row r="309" spans="2:7" s="167" customFormat="1" outlineLevel="1" x14ac:dyDescent="0.2">
      <c r="B309" s="60" t="s">
        <v>3924</v>
      </c>
      <c r="C309" s="571" t="s">
        <v>629</v>
      </c>
      <c r="D309" s="151" t="s">
        <v>211</v>
      </c>
      <c r="E309" s="153"/>
      <c r="F309" s="172"/>
      <c r="G309" s="165"/>
    </row>
    <row r="310" spans="2:7" s="167" customFormat="1" outlineLevel="1" x14ac:dyDescent="0.2">
      <c r="B310" s="60" t="s">
        <v>3925</v>
      </c>
      <c r="C310" s="571" t="s">
        <v>630</v>
      </c>
      <c r="D310" s="151" t="s">
        <v>211</v>
      </c>
      <c r="E310" s="153"/>
      <c r="F310" s="172"/>
      <c r="G310" s="165"/>
    </row>
    <row r="311" spans="2:7" s="167" customFormat="1" outlineLevel="1" x14ac:dyDescent="0.2">
      <c r="B311" s="60" t="s">
        <v>3926</v>
      </c>
      <c r="C311" s="571" t="s">
        <v>631</v>
      </c>
      <c r="D311" s="151" t="s">
        <v>211</v>
      </c>
      <c r="E311" s="153"/>
      <c r="F311" s="172"/>
      <c r="G311" s="165"/>
    </row>
    <row r="312" spans="2:7" s="167" customFormat="1" outlineLevel="1" x14ac:dyDescent="0.2">
      <c r="B312" s="60" t="s">
        <v>3927</v>
      </c>
      <c r="C312" s="571" t="s">
        <v>632</v>
      </c>
      <c r="D312" s="151" t="s">
        <v>211</v>
      </c>
      <c r="E312" s="153"/>
      <c r="F312" s="172"/>
      <c r="G312" s="165"/>
    </row>
    <row r="313" spans="2:7" s="167" customFormat="1" outlineLevel="1" x14ac:dyDescent="0.2">
      <c r="B313" s="60" t="s">
        <v>3928</v>
      </c>
      <c r="C313" s="571" t="s">
        <v>633</v>
      </c>
      <c r="D313" s="151" t="s">
        <v>211</v>
      </c>
      <c r="E313" s="153"/>
      <c r="F313" s="172"/>
      <c r="G313" s="165"/>
    </row>
    <row r="314" spans="2:7" s="132" customFormat="1" ht="15" customHeight="1" x14ac:dyDescent="0.2">
      <c r="B314" s="60" t="s">
        <v>3929</v>
      </c>
      <c r="C314" s="397">
        <v>4</v>
      </c>
      <c r="D314" s="94" t="s">
        <v>213</v>
      </c>
      <c r="E314" s="152">
        <f>E315+E336</f>
        <v>0</v>
      </c>
      <c r="F314" s="169">
        <f>F315+F336</f>
        <v>0</v>
      </c>
    </row>
    <row r="315" spans="2:7" s="134" customFormat="1" x14ac:dyDescent="0.2">
      <c r="B315" s="60" t="s">
        <v>3930</v>
      </c>
      <c r="C315" s="512" t="s">
        <v>427</v>
      </c>
      <c r="D315" s="164" t="s">
        <v>245</v>
      </c>
      <c r="E315" s="170">
        <f>SUM(E316:E335)</f>
        <v>0</v>
      </c>
      <c r="F315" s="171">
        <f>SUM(F316:F335)</f>
        <v>0</v>
      </c>
      <c r="G315" s="138"/>
    </row>
    <row r="316" spans="2:7" s="167" customFormat="1" outlineLevel="1" x14ac:dyDescent="0.2">
      <c r="B316" s="60" t="s">
        <v>3931</v>
      </c>
      <c r="C316" s="571" t="s">
        <v>443</v>
      </c>
      <c r="D316" s="151" t="s">
        <v>246</v>
      </c>
      <c r="E316" s="153"/>
      <c r="F316" s="172"/>
      <c r="G316" s="165"/>
    </row>
    <row r="317" spans="2:7" s="167" customFormat="1" outlineLevel="1" x14ac:dyDescent="0.2">
      <c r="B317" s="60" t="s">
        <v>3932</v>
      </c>
      <c r="C317" s="571" t="s">
        <v>442</v>
      </c>
      <c r="D317" s="151" t="s">
        <v>246</v>
      </c>
      <c r="E317" s="153"/>
      <c r="F317" s="172"/>
      <c r="G317" s="165"/>
    </row>
    <row r="318" spans="2:7" s="167" customFormat="1" outlineLevel="1" x14ac:dyDescent="0.2">
      <c r="B318" s="60" t="s">
        <v>3933</v>
      </c>
      <c r="C318" s="571" t="s">
        <v>460</v>
      </c>
      <c r="D318" s="151" t="s">
        <v>246</v>
      </c>
      <c r="E318" s="153"/>
      <c r="F318" s="172"/>
      <c r="G318" s="165"/>
    </row>
    <row r="319" spans="2:7" s="167" customFormat="1" outlineLevel="1" x14ac:dyDescent="0.2">
      <c r="B319" s="60" t="s">
        <v>3934</v>
      </c>
      <c r="C319" s="571" t="s">
        <v>634</v>
      </c>
      <c r="D319" s="151" t="s">
        <v>246</v>
      </c>
      <c r="E319" s="153"/>
      <c r="F319" s="172"/>
      <c r="G319" s="165"/>
    </row>
    <row r="320" spans="2:7" s="167" customFormat="1" outlineLevel="1" x14ac:dyDescent="0.2">
      <c r="B320" s="60" t="s">
        <v>3935</v>
      </c>
      <c r="C320" s="571" t="s">
        <v>635</v>
      </c>
      <c r="D320" s="151" t="s">
        <v>246</v>
      </c>
      <c r="E320" s="153"/>
      <c r="F320" s="172"/>
      <c r="G320" s="165"/>
    </row>
    <row r="321" spans="2:7" s="167" customFormat="1" outlineLevel="1" x14ac:dyDescent="0.2">
      <c r="B321" s="60" t="s">
        <v>3936</v>
      </c>
      <c r="C321" s="571" t="s">
        <v>636</v>
      </c>
      <c r="D321" s="151" t="s">
        <v>246</v>
      </c>
      <c r="E321" s="153"/>
      <c r="F321" s="172"/>
      <c r="G321" s="165"/>
    </row>
    <row r="322" spans="2:7" s="167" customFormat="1" outlineLevel="1" x14ac:dyDescent="0.2">
      <c r="B322" s="60" t="s">
        <v>3937</v>
      </c>
      <c r="C322" s="571" t="s">
        <v>637</v>
      </c>
      <c r="D322" s="151" t="s">
        <v>246</v>
      </c>
      <c r="E322" s="153"/>
      <c r="F322" s="172"/>
      <c r="G322" s="165"/>
    </row>
    <row r="323" spans="2:7" s="167" customFormat="1" outlineLevel="1" x14ac:dyDescent="0.2">
      <c r="B323" s="60" t="s">
        <v>3938</v>
      </c>
      <c r="C323" s="571" t="s">
        <v>638</v>
      </c>
      <c r="D323" s="151" t="s">
        <v>246</v>
      </c>
      <c r="E323" s="153"/>
      <c r="F323" s="172"/>
      <c r="G323" s="165"/>
    </row>
    <row r="324" spans="2:7" s="167" customFormat="1" outlineLevel="1" x14ac:dyDescent="0.2">
      <c r="B324" s="60" t="s">
        <v>3939</v>
      </c>
      <c r="C324" s="571" t="s">
        <v>639</v>
      </c>
      <c r="D324" s="151" t="s">
        <v>246</v>
      </c>
      <c r="E324" s="153"/>
      <c r="F324" s="172"/>
      <c r="G324" s="165"/>
    </row>
    <row r="325" spans="2:7" s="167" customFormat="1" outlineLevel="1" x14ac:dyDescent="0.2">
      <c r="B325" s="60" t="s">
        <v>3940</v>
      </c>
      <c r="C325" s="571" t="s">
        <v>640</v>
      </c>
      <c r="D325" s="151" t="s">
        <v>246</v>
      </c>
      <c r="E325" s="153"/>
      <c r="F325" s="172"/>
      <c r="G325" s="165"/>
    </row>
    <row r="326" spans="2:7" s="167" customFormat="1" outlineLevel="1" x14ac:dyDescent="0.2">
      <c r="B326" s="60" t="s">
        <v>3941</v>
      </c>
      <c r="C326" s="571" t="s">
        <v>641</v>
      </c>
      <c r="D326" s="151" t="s">
        <v>246</v>
      </c>
      <c r="E326" s="153"/>
      <c r="F326" s="172"/>
      <c r="G326" s="165"/>
    </row>
    <row r="327" spans="2:7" s="167" customFormat="1" outlineLevel="1" x14ac:dyDescent="0.2">
      <c r="B327" s="60" t="s">
        <v>3942</v>
      </c>
      <c r="C327" s="571" t="s">
        <v>642</v>
      </c>
      <c r="D327" s="151" t="s">
        <v>246</v>
      </c>
      <c r="E327" s="153"/>
      <c r="F327" s="172"/>
      <c r="G327" s="165"/>
    </row>
    <row r="328" spans="2:7" s="167" customFormat="1" outlineLevel="1" x14ac:dyDescent="0.2">
      <c r="B328" s="60" t="s">
        <v>3943</v>
      </c>
      <c r="C328" s="571" t="s">
        <v>643</v>
      </c>
      <c r="D328" s="151" t="s">
        <v>246</v>
      </c>
      <c r="E328" s="153"/>
      <c r="F328" s="172"/>
      <c r="G328" s="165"/>
    </row>
    <row r="329" spans="2:7" s="167" customFormat="1" outlineLevel="1" x14ac:dyDescent="0.2">
      <c r="B329" s="60" t="s">
        <v>3944</v>
      </c>
      <c r="C329" s="571" t="s">
        <v>644</v>
      </c>
      <c r="D329" s="151" t="s">
        <v>246</v>
      </c>
      <c r="E329" s="153"/>
      <c r="F329" s="172"/>
      <c r="G329" s="165"/>
    </row>
    <row r="330" spans="2:7" s="167" customFormat="1" outlineLevel="1" x14ac:dyDescent="0.2">
      <c r="B330" s="60" t="s">
        <v>3945</v>
      </c>
      <c r="C330" s="571" t="s">
        <v>645</v>
      </c>
      <c r="D330" s="151" t="s">
        <v>246</v>
      </c>
      <c r="E330" s="153"/>
      <c r="F330" s="172"/>
      <c r="G330" s="165"/>
    </row>
    <row r="331" spans="2:7" s="167" customFormat="1" outlineLevel="1" x14ac:dyDescent="0.2">
      <c r="B331" s="60" t="s">
        <v>3946</v>
      </c>
      <c r="C331" s="571" t="s">
        <v>646</v>
      </c>
      <c r="D331" s="151" t="s">
        <v>246</v>
      </c>
      <c r="E331" s="153"/>
      <c r="F331" s="172"/>
      <c r="G331" s="165"/>
    </row>
    <row r="332" spans="2:7" s="167" customFormat="1" outlineLevel="1" x14ac:dyDescent="0.2">
      <c r="B332" s="60" t="s">
        <v>3947</v>
      </c>
      <c r="C332" s="571" t="s">
        <v>647</v>
      </c>
      <c r="D332" s="151" t="s">
        <v>246</v>
      </c>
      <c r="E332" s="153"/>
      <c r="F332" s="172"/>
      <c r="G332" s="165"/>
    </row>
    <row r="333" spans="2:7" s="167" customFormat="1" outlineLevel="1" x14ac:dyDescent="0.2">
      <c r="B333" s="60" t="s">
        <v>3948</v>
      </c>
      <c r="C333" s="571" t="s">
        <v>648</v>
      </c>
      <c r="D333" s="151" t="s">
        <v>246</v>
      </c>
      <c r="E333" s="153"/>
      <c r="F333" s="172"/>
      <c r="G333" s="165"/>
    </row>
    <row r="334" spans="2:7" s="167" customFormat="1" outlineLevel="1" x14ac:dyDescent="0.2">
      <c r="B334" s="60" t="s">
        <v>3949</v>
      </c>
      <c r="C334" s="571" t="s">
        <v>649</v>
      </c>
      <c r="D334" s="151" t="s">
        <v>246</v>
      </c>
      <c r="E334" s="153"/>
      <c r="F334" s="172"/>
      <c r="G334" s="165"/>
    </row>
    <row r="335" spans="2:7" s="167" customFormat="1" outlineLevel="1" x14ac:dyDescent="0.2">
      <c r="B335" s="60" t="s">
        <v>3950</v>
      </c>
      <c r="C335" s="571" t="s">
        <v>650</v>
      </c>
      <c r="D335" s="151" t="s">
        <v>246</v>
      </c>
      <c r="E335" s="153"/>
      <c r="F335" s="172"/>
      <c r="G335" s="165"/>
    </row>
    <row r="336" spans="2:7" s="134" customFormat="1" x14ac:dyDescent="0.2">
      <c r="B336" s="60" t="s">
        <v>3951</v>
      </c>
      <c r="C336" s="512" t="s">
        <v>428</v>
      </c>
      <c r="D336" s="164" t="s">
        <v>25</v>
      </c>
      <c r="E336" s="170">
        <f>SUM(E337:E356)</f>
        <v>0</v>
      </c>
      <c r="F336" s="171">
        <f>SUM(F337:F356)</f>
        <v>0</v>
      </c>
      <c r="G336" s="138"/>
    </row>
    <row r="337" spans="2:7" s="167" customFormat="1" outlineLevel="1" x14ac:dyDescent="0.2">
      <c r="B337" s="60" t="s">
        <v>3952</v>
      </c>
      <c r="C337" s="571" t="s">
        <v>444</v>
      </c>
      <c r="D337" s="151" t="s">
        <v>246</v>
      </c>
      <c r="E337" s="153"/>
      <c r="F337" s="172"/>
      <c r="G337" s="165"/>
    </row>
    <row r="338" spans="2:7" s="167" customFormat="1" outlineLevel="1" x14ac:dyDescent="0.2">
      <c r="B338" s="60" t="s">
        <v>3953</v>
      </c>
      <c r="C338" s="571" t="s">
        <v>445</v>
      </c>
      <c r="D338" s="151" t="s">
        <v>246</v>
      </c>
      <c r="E338" s="153"/>
      <c r="F338" s="172"/>
      <c r="G338" s="165"/>
    </row>
    <row r="339" spans="2:7" s="167" customFormat="1" outlineLevel="1" x14ac:dyDescent="0.2">
      <c r="B339" s="60" t="s">
        <v>3954</v>
      </c>
      <c r="C339" s="571" t="s">
        <v>461</v>
      </c>
      <c r="D339" s="151" t="s">
        <v>246</v>
      </c>
      <c r="E339" s="153"/>
      <c r="F339" s="172"/>
      <c r="G339" s="165"/>
    </row>
    <row r="340" spans="2:7" s="167" customFormat="1" outlineLevel="1" x14ac:dyDescent="0.2">
      <c r="B340" s="60" t="s">
        <v>3955</v>
      </c>
      <c r="C340" s="571" t="s">
        <v>651</v>
      </c>
      <c r="D340" s="151" t="s">
        <v>246</v>
      </c>
      <c r="E340" s="153"/>
      <c r="F340" s="172"/>
      <c r="G340" s="165"/>
    </row>
    <row r="341" spans="2:7" s="167" customFormat="1" outlineLevel="1" x14ac:dyDescent="0.2">
      <c r="B341" s="60" t="s">
        <v>3956</v>
      </c>
      <c r="C341" s="571" t="s">
        <v>652</v>
      </c>
      <c r="D341" s="151" t="s">
        <v>246</v>
      </c>
      <c r="E341" s="153"/>
      <c r="F341" s="172"/>
      <c r="G341" s="165"/>
    </row>
    <row r="342" spans="2:7" s="167" customFormat="1" outlineLevel="1" x14ac:dyDescent="0.2">
      <c r="B342" s="60" t="s">
        <v>3957</v>
      </c>
      <c r="C342" s="571" t="s">
        <v>653</v>
      </c>
      <c r="D342" s="151" t="s">
        <v>246</v>
      </c>
      <c r="E342" s="153"/>
      <c r="F342" s="172"/>
      <c r="G342" s="165"/>
    </row>
    <row r="343" spans="2:7" s="167" customFormat="1" outlineLevel="1" x14ac:dyDescent="0.2">
      <c r="B343" s="60" t="s">
        <v>3958</v>
      </c>
      <c r="C343" s="571" t="s">
        <v>654</v>
      </c>
      <c r="D343" s="151" t="s">
        <v>246</v>
      </c>
      <c r="E343" s="153"/>
      <c r="F343" s="172"/>
      <c r="G343" s="165"/>
    </row>
    <row r="344" spans="2:7" s="167" customFormat="1" outlineLevel="1" x14ac:dyDescent="0.2">
      <c r="B344" s="60" t="s">
        <v>3959</v>
      </c>
      <c r="C344" s="571" t="s">
        <v>655</v>
      </c>
      <c r="D344" s="151" t="s">
        <v>246</v>
      </c>
      <c r="E344" s="153"/>
      <c r="F344" s="172"/>
      <c r="G344" s="165"/>
    </row>
    <row r="345" spans="2:7" s="167" customFormat="1" outlineLevel="1" x14ac:dyDescent="0.2">
      <c r="B345" s="60" t="s">
        <v>3960</v>
      </c>
      <c r="C345" s="571" t="s">
        <v>656</v>
      </c>
      <c r="D345" s="151" t="s">
        <v>246</v>
      </c>
      <c r="E345" s="153"/>
      <c r="F345" s="172"/>
      <c r="G345" s="165"/>
    </row>
    <row r="346" spans="2:7" s="167" customFormat="1" outlineLevel="1" x14ac:dyDescent="0.2">
      <c r="B346" s="60" t="s">
        <v>3961</v>
      </c>
      <c r="C346" s="571" t="s">
        <v>657</v>
      </c>
      <c r="D346" s="151" t="s">
        <v>246</v>
      </c>
      <c r="E346" s="153"/>
      <c r="F346" s="172"/>
      <c r="G346" s="165"/>
    </row>
    <row r="347" spans="2:7" s="167" customFormat="1" outlineLevel="1" x14ac:dyDescent="0.2">
      <c r="B347" s="60" t="s">
        <v>3962</v>
      </c>
      <c r="C347" s="571" t="s">
        <v>658</v>
      </c>
      <c r="D347" s="151" t="s">
        <v>246</v>
      </c>
      <c r="E347" s="153"/>
      <c r="F347" s="172"/>
      <c r="G347" s="165"/>
    </row>
    <row r="348" spans="2:7" s="167" customFormat="1" outlineLevel="1" x14ac:dyDescent="0.2">
      <c r="B348" s="60" t="s">
        <v>3963</v>
      </c>
      <c r="C348" s="571" t="s">
        <v>659</v>
      </c>
      <c r="D348" s="151" t="s">
        <v>246</v>
      </c>
      <c r="E348" s="153"/>
      <c r="F348" s="172"/>
      <c r="G348" s="165"/>
    </row>
    <row r="349" spans="2:7" s="167" customFormat="1" outlineLevel="1" x14ac:dyDescent="0.2">
      <c r="B349" s="60" t="s">
        <v>3964</v>
      </c>
      <c r="C349" s="571" t="s">
        <v>660</v>
      </c>
      <c r="D349" s="151" t="s">
        <v>246</v>
      </c>
      <c r="E349" s="153"/>
      <c r="F349" s="172"/>
      <c r="G349" s="165"/>
    </row>
    <row r="350" spans="2:7" s="167" customFormat="1" outlineLevel="1" x14ac:dyDescent="0.2">
      <c r="B350" s="60" t="s">
        <v>3965</v>
      </c>
      <c r="C350" s="571" t="s">
        <v>661</v>
      </c>
      <c r="D350" s="151" t="s">
        <v>246</v>
      </c>
      <c r="E350" s="153"/>
      <c r="F350" s="172"/>
      <c r="G350" s="165"/>
    </row>
    <row r="351" spans="2:7" s="167" customFormat="1" outlineLevel="1" x14ac:dyDescent="0.2">
      <c r="B351" s="60" t="s">
        <v>3966</v>
      </c>
      <c r="C351" s="571" t="s">
        <v>662</v>
      </c>
      <c r="D351" s="151" t="s">
        <v>246</v>
      </c>
      <c r="E351" s="153"/>
      <c r="F351" s="172"/>
      <c r="G351" s="165"/>
    </row>
    <row r="352" spans="2:7" s="167" customFormat="1" outlineLevel="1" x14ac:dyDescent="0.2">
      <c r="B352" s="60" t="s">
        <v>3967</v>
      </c>
      <c r="C352" s="571" t="s">
        <v>663</v>
      </c>
      <c r="D352" s="151" t="s">
        <v>246</v>
      </c>
      <c r="E352" s="153"/>
      <c r="F352" s="172"/>
      <c r="G352" s="165"/>
    </row>
    <row r="353" spans="2:7" s="167" customFormat="1" outlineLevel="1" x14ac:dyDescent="0.2">
      <c r="B353" s="60" t="s">
        <v>3968</v>
      </c>
      <c r="C353" s="571" t="s">
        <v>664</v>
      </c>
      <c r="D353" s="151" t="s">
        <v>246</v>
      </c>
      <c r="E353" s="153"/>
      <c r="F353" s="172"/>
      <c r="G353" s="165"/>
    </row>
    <row r="354" spans="2:7" s="167" customFormat="1" outlineLevel="1" x14ac:dyDescent="0.2">
      <c r="B354" s="60" t="s">
        <v>3969</v>
      </c>
      <c r="C354" s="571" t="s">
        <v>665</v>
      </c>
      <c r="D354" s="151" t="s">
        <v>246</v>
      </c>
      <c r="E354" s="153"/>
      <c r="F354" s="172"/>
      <c r="G354" s="165"/>
    </row>
    <row r="355" spans="2:7" s="167" customFormat="1" outlineLevel="1" x14ac:dyDescent="0.2">
      <c r="B355" s="60" t="s">
        <v>3970</v>
      </c>
      <c r="C355" s="571" t="s">
        <v>666</v>
      </c>
      <c r="D355" s="151" t="s">
        <v>246</v>
      </c>
      <c r="E355" s="153"/>
      <c r="F355" s="172"/>
      <c r="G355" s="165"/>
    </row>
    <row r="356" spans="2:7" s="167" customFormat="1" outlineLevel="1" x14ac:dyDescent="0.2">
      <c r="B356" s="60" t="s">
        <v>3971</v>
      </c>
      <c r="C356" s="571" t="s">
        <v>667</v>
      </c>
      <c r="D356" s="151" t="s">
        <v>246</v>
      </c>
      <c r="E356" s="153"/>
      <c r="F356" s="172"/>
      <c r="G356" s="165"/>
    </row>
    <row r="357" spans="2:7" s="132" customFormat="1" ht="15" customHeight="1" collapsed="1" x14ac:dyDescent="0.2">
      <c r="B357" s="60" t="s">
        <v>3972</v>
      </c>
      <c r="C357" s="397">
        <v>5</v>
      </c>
      <c r="D357" s="94" t="s">
        <v>216</v>
      </c>
      <c r="E357" s="152">
        <f>E358+E379</f>
        <v>0</v>
      </c>
      <c r="F357" s="169">
        <f>F358+F379</f>
        <v>0</v>
      </c>
    </row>
    <row r="358" spans="2:7" s="134" customFormat="1" x14ac:dyDescent="0.2">
      <c r="B358" s="60" t="s">
        <v>3973</v>
      </c>
      <c r="C358" s="512" t="s">
        <v>412</v>
      </c>
      <c r="D358" s="164" t="s">
        <v>217</v>
      </c>
      <c r="E358" s="170">
        <f>SUM(E359:E378)</f>
        <v>0</v>
      </c>
      <c r="F358" s="171">
        <f>SUM(F359:F378)</f>
        <v>0</v>
      </c>
      <c r="G358" s="138"/>
    </row>
    <row r="359" spans="2:7" s="167" customFormat="1" outlineLevel="1" x14ac:dyDescent="0.2">
      <c r="B359" s="60" t="s">
        <v>3974</v>
      </c>
      <c r="C359" s="506" t="s">
        <v>1724</v>
      </c>
      <c r="D359" s="151" t="s">
        <v>26</v>
      </c>
      <c r="E359" s="153"/>
      <c r="F359" s="172"/>
      <c r="G359" s="165"/>
    </row>
    <row r="360" spans="2:7" s="167" customFormat="1" outlineLevel="1" x14ac:dyDescent="0.2">
      <c r="B360" s="60" t="s">
        <v>3975</v>
      </c>
      <c r="C360" s="506" t="s">
        <v>1725</v>
      </c>
      <c r="D360" s="151" t="s">
        <v>26</v>
      </c>
      <c r="E360" s="153"/>
      <c r="F360" s="172"/>
      <c r="G360" s="165"/>
    </row>
    <row r="361" spans="2:7" s="167" customFormat="1" outlineLevel="1" x14ac:dyDescent="0.2">
      <c r="B361" s="60" t="s">
        <v>3976</v>
      </c>
      <c r="C361" s="506" t="s">
        <v>1726</v>
      </c>
      <c r="D361" s="151" t="s">
        <v>26</v>
      </c>
      <c r="E361" s="153"/>
      <c r="F361" s="172"/>
      <c r="G361" s="165"/>
    </row>
    <row r="362" spans="2:7" s="167" customFormat="1" outlineLevel="1" x14ac:dyDescent="0.2">
      <c r="B362" s="60" t="s">
        <v>3977</v>
      </c>
      <c r="C362" s="506" t="s">
        <v>1727</v>
      </c>
      <c r="D362" s="151" t="s">
        <v>26</v>
      </c>
      <c r="E362" s="153"/>
      <c r="F362" s="172"/>
      <c r="G362" s="165"/>
    </row>
    <row r="363" spans="2:7" s="167" customFormat="1" outlineLevel="1" x14ac:dyDescent="0.2">
      <c r="B363" s="60" t="s">
        <v>3978</v>
      </c>
      <c r="C363" s="506" t="s">
        <v>1728</v>
      </c>
      <c r="D363" s="151" t="s">
        <v>26</v>
      </c>
      <c r="E363" s="153"/>
      <c r="F363" s="172"/>
      <c r="G363" s="165"/>
    </row>
    <row r="364" spans="2:7" s="167" customFormat="1" outlineLevel="1" x14ac:dyDescent="0.2">
      <c r="B364" s="60" t="s">
        <v>3979</v>
      </c>
      <c r="C364" s="506" t="s">
        <v>1729</v>
      </c>
      <c r="D364" s="151" t="s">
        <v>26</v>
      </c>
      <c r="E364" s="153"/>
      <c r="F364" s="172"/>
      <c r="G364" s="165"/>
    </row>
    <row r="365" spans="2:7" s="167" customFormat="1" outlineLevel="1" x14ac:dyDescent="0.2">
      <c r="B365" s="60" t="s">
        <v>3980</v>
      </c>
      <c r="C365" s="506" t="s">
        <v>1730</v>
      </c>
      <c r="D365" s="151" t="s">
        <v>26</v>
      </c>
      <c r="E365" s="153"/>
      <c r="F365" s="172"/>
      <c r="G365" s="165"/>
    </row>
    <row r="366" spans="2:7" s="167" customFormat="1" outlineLevel="1" x14ac:dyDescent="0.2">
      <c r="B366" s="60" t="s">
        <v>3981</v>
      </c>
      <c r="C366" s="506" t="s">
        <v>1731</v>
      </c>
      <c r="D366" s="151" t="s">
        <v>26</v>
      </c>
      <c r="E366" s="153"/>
      <c r="F366" s="172"/>
      <c r="G366" s="165"/>
    </row>
    <row r="367" spans="2:7" s="167" customFormat="1" outlineLevel="1" x14ac:dyDescent="0.2">
      <c r="B367" s="60" t="s">
        <v>3982</v>
      </c>
      <c r="C367" s="506" t="s">
        <v>1732</v>
      </c>
      <c r="D367" s="151" t="s">
        <v>26</v>
      </c>
      <c r="E367" s="153"/>
      <c r="F367" s="172"/>
      <c r="G367" s="165"/>
    </row>
    <row r="368" spans="2:7" s="167" customFormat="1" outlineLevel="1" x14ac:dyDescent="0.2">
      <c r="B368" s="60" t="s">
        <v>3983</v>
      </c>
      <c r="C368" s="506" t="s">
        <v>1733</v>
      </c>
      <c r="D368" s="151" t="s">
        <v>26</v>
      </c>
      <c r="E368" s="153"/>
      <c r="F368" s="172"/>
      <c r="G368" s="165"/>
    </row>
    <row r="369" spans="2:7" s="167" customFormat="1" outlineLevel="1" x14ac:dyDescent="0.2">
      <c r="B369" s="60" t="s">
        <v>3984</v>
      </c>
      <c r="C369" s="506" t="s">
        <v>1734</v>
      </c>
      <c r="D369" s="151" t="s">
        <v>26</v>
      </c>
      <c r="E369" s="153"/>
      <c r="F369" s="172"/>
      <c r="G369" s="165"/>
    </row>
    <row r="370" spans="2:7" s="167" customFormat="1" outlineLevel="1" x14ac:dyDescent="0.2">
      <c r="B370" s="60" t="s">
        <v>3985</v>
      </c>
      <c r="C370" s="506" t="s">
        <v>1735</v>
      </c>
      <c r="D370" s="151" t="s">
        <v>26</v>
      </c>
      <c r="E370" s="153"/>
      <c r="F370" s="172"/>
      <c r="G370" s="165"/>
    </row>
    <row r="371" spans="2:7" s="167" customFormat="1" outlineLevel="1" x14ac:dyDescent="0.2">
      <c r="B371" s="60" t="s">
        <v>3986</v>
      </c>
      <c r="C371" s="506" t="s">
        <v>1736</v>
      </c>
      <c r="D371" s="151" t="s">
        <v>26</v>
      </c>
      <c r="E371" s="153"/>
      <c r="F371" s="172"/>
      <c r="G371" s="165"/>
    </row>
    <row r="372" spans="2:7" s="167" customFormat="1" outlineLevel="1" x14ac:dyDescent="0.2">
      <c r="B372" s="60" t="s">
        <v>3987</v>
      </c>
      <c r="C372" s="506" t="s">
        <v>1737</v>
      </c>
      <c r="D372" s="151" t="s">
        <v>26</v>
      </c>
      <c r="E372" s="153"/>
      <c r="F372" s="172"/>
      <c r="G372" s="165"/>
    </row>
    <row r="373" spans="2:7" s="167" customFormat="1" outlineLevel="1" x14ac:dyDescent="0.2">
      <c r="B373" s="60" t="s">
        <v>3988</v>
      </c>
      <c r="C373" s="506" t="s">
        <v>1738</v>
      </c>
      <c r="D373" s="151" t="s">
        <v>26</v>
      </c>
      <c r="E373" s="153"/>
      <c r="F373" s="172"/>
      <c r="G373" s="165"/>
    </row>
    <row r="374" spans="2:7" s="167" customFormat="1" outlineLevel="1" x14ac:dyDescent="0.2">
      <c r="B374" s="60" t="s">
        <v>3989</v>
      </c>
      <c r="C374" s="506" t="s">
        <v>1739</v>
      </c>
      <c r="D374" s="151" t="s">
        <v>26</v>
      </c>
      <c r="E374" s="153"/>
      <c r="F374" s="172"/>
      <c r="G374" s="165"/>
    </row>
    <row r="375" spans="2:7" s="167" customFormat="1" outlineLevel="1" x14ac:dyDescent="0.2">
      <c r="B375" s="60" t="s">
        <v>3990</v>
      </c>
      <c r="C375" s="506" t="s">
        <v>1740</v>
      </c>
      <c r="D375" s="151" t="s">
        <v>26</v>
      </c>
      <c r="E375" s="153"/>
      <c r="F375" s="172"/>
      <c r="G375" s="165"/>
    </row>
    <row r="376" spans="2:7" s="167" customFormat="1" outlineLevel="1" x14ac:dyDescent="0.2">
      <c r="B376" s="60" t="s">
        <v>3991</v>
      </c>
      <c r="C376" s="506" t="s">
        <v>1741</v>
      </c>
      <c r="D376" s="151" t="s">
        <v>26</v>
      </c>
      <c r="E376" s="153"/>
      <c r="F376" s="172"/>
      <c r="G376" s="165"/>
    </row>
    <row r="377" spans="2:7" s="167" customFormat="1" outlineLevel="1" x14ac:dyDescent="0.2">
      <c r="B377" s="60" t="s">
        <v>3992</v>
      </c>
      <c r="C377" s="506" t="s">
        <v>1742</v>
      </c>
      <c r="D377" s="151" t="s">
        <v>26</v>
      </c>
      <c r="E377" s="153"/>
      <c r="F377" s="172"/>
      <c r="G377" s="165"/>
    </row>
    <row r="378" spans="2:7" s="167" customFormat="1" outlineLevel="1" x14ac:dyDescent="0.2">
      <c r="B378" s="60" t="s">
        <v>3993</v>
      </c>
      <c r="C378" s="506" t="s">
        <v>1743</v>
      </c>
      <c r="D378" s="151" t="s">
        <v>26</v>
      </c>
      <c r="E378" s="153"/>
      <c r="F378" s="172"/>
      <c r="G378" s="165"/>
    </row>
    <row r="379" spans="2:7" s="134" customFormat="1" x14ac:dyDescent="0.2">
      <c r="B379" s="60" t="s">
        <v>3994</v>
      </c>
      <c r="C379" s="512" t="s">
        <v>413</v>
      </c>
      <c r="D379" s="164" t="s">
        <v>220</v>
      </c>
      <c r="E379" s="170">
        <f>SUM(E380:E399)</f>
        <v>0</v>
      </c>
      <c r="F379" s="171">
        <f>SUM(F380:F399)</f>
        <v>0</v>
      </c>
      <c r="G379" s="138"/>
    </row>
    <row r="380" spans="2:7" s="167" customFormat="1" outlineLevel="1" x14ac:dyDescent="0.2">
      <c r="B380" s="60" t="s">
        <v>3995</v>
      </c>
      <c r="C380" s="506" t="s">
        <v>1744</v>
      </c>
      <c r="D380" s="151" t="s">
        <v>26</v>
      </c>
      <c r="E380" s="153"/>
      <c r="F380" s="172"/>
      <c r="G380" s="165"/>
    </row>
    <row r="381" spans="2:7" s="167" customFormat="1" outlineLevel="1" x14ac:dyDescent="0.2">
      <c r="B381" s="60" t="s">
        <v>3996</v>
      </c>
      <c r="C381" s="506" t="s">
        <v>1745</v>
      </c>
      <c r="D381" s="151" t="s">
        <v>26</v>
      </c>
      <c r="E381" s="153"/>
      <c r="F381" s="172"/>
      <c r="G381" s="165"/>
    </row>
    <row r="382" spans="2:7" s="167" customFormat="1" outlineLevel="1" x14ac:dyDescent="0.2">
      <c r="B382" s="60" t="s">
        <v>3997</v>
      </c>
      <c r="C382" s="506" t="s">
        <v>1746</v>
      </c>
      <c r="D382" s="151" t="s">
        <v>26</v>
      </c>
      <c r="E382" s="153"/>
      <c r="F382" s="172"/>
      <c r="G382" s="165"/>
    </row>
    <row r="383" spans="2:7" s="167" customFormat="1" outlineLevel="1" x14ac:dyDescent="0.2">
      <c r="B383" s="60" t="s">
        <v>3998</v>
      </c>
      <c r="C383" s="506" t="s">
        <v>1747</v>
      </c>
      <c r="D383" s="151" t="s">
        <v>26</v>
      </c>
      <c r="E383" s="153"/>
      <c r="F383" s="172"/>
      <c r="G383" s="165"/>
    </row>
    <row r="384" spans="2:7" s="167" customFormat="1" outlineLevel="1" x14ac:dyDescent="0.2">
      <c r="B384" s="60" t="s">
        <v>3999</v>
      </c>
      <c r="C384" s="506" t="s">
        <v>1748</v>
      </c>
      <c r="D384" s="151" t="s">
        <v>26</v>
      </c>
      <c r="E384" s="153"/>
      <c r="F384" s="172"/>
      <c r="G384" s="165"/>
    </row>
    <row r="385" spans="2:7" s="167" customFormat="1" outlineLevel="1" x14ac:dyDescent="0.2">
      <c r="B385" s="60" t="s">
        <v>4000</v>
      </c>
      <c r="C385" s="506" t="s">
        <v>1749</v>
      </c>
      <c r="D385" s="151" t="s">
        <v>26</v>
      </c>
      <c r="E385" s="153"/>
      <c r="F385" s="172"/>
      <c r="G385" s="165"/>
    </row>
    <row r="386" spans="2:7" s="167" customFormat="1" outlineLevel="1" x14ac:dyDescent="0.2">
      <c r="B386" s="60" t="s">
        <v>4001</v>
      </c>
      <c r="C386" s="506" t="s">
        <v>1750</v>
      </c>
      <c r="D386" s="151" t="s">
        <v>26</v>
      </c>
      <c r="E386" s="153"/>
      <c r="F386" s="172"/>
      <c r="G386" s="165"/>
    </row>
    <row r="387" spans="2:7" s="167" customFormat="1" outlineLevel="1" x14ac:dyDescent="0.2">
      <c r="B387" s="60" t="s">
        <v>4002</v>
      </c>
      <c r="C387" s="506" t="s">
        <v>1751</v>
      </c>
      <c r="D387" s="151" t="s">
        <v>26</v>
      </c>
      <c r="E387" s="153"/>
      <c r="F387" s="172"/>
      <c r="G387" s="165"/>
    </row>
    <row r="388" spans="2:7" s="167" customFormat="1" outlineLevel="1" x14ac:dyDescent="0.2">
      <c r="B388" s="60" t="s">
        <v>4003</v>
      </c>
      <c r="C388" s="506" t="s">
        <v>1752</v>
      </c>
      <c r="D388" s="151" t="s">
        <v>26</v>
      </c>
      <c r="E388" s="153"/>
      <c r="F388" s="172"/>
      <c r="G388" s="165"/>
    </row>
    <row r="389" spans="2:7" s="167" customFormat="1" outlineLevel="1" x14ac:dyDescent="0.2">
      <c r="B389" s="60" t="s">
        <v>4004</v>
      </c>
      <c r="C389" s="506" t="s">
        <v>1753</v>
      </c>
      <c r="D389" s="151" t="s">
        <v>26</v>
      </c>
      <c r="E389" s="153"/>
      <c r="F389" s="172"/>
      <c r="G389" s="165"/>
    </row>
    <row r="390" spans="2:7" s="167" customFormat="1" outlineLevel="1" x14ac:dyDescent="0.2">
      <c r="B390" s="60" t="s">
        <v>4005</v>
      </c>
      <c r="C390" s="506" t="s">
        <v>1754</v>
      </c>
      <c r="D390" s="151" t="s">
        <v>26</v>
      </c>
      <c r="E390" s="153"/>
      <c r="F390" s="172"/>
      <c r="G390" s="165"/>
    </row>
    <row r="391" spans="2:7" s="167" customFormat="1" outlineLevel="1" x14ac:dyDescent="0.2">
      <c r="B391" s="60" t="s">
        <v>4006</v>
      </c>
      <c r="C391" s="506" t="s">
        <v>1755</v>
      </c>
      <c r="D391" s="151" t="s">
        <v>26</v>
      </c>
      <c r="E391" s="153"/>
      <c r="F391" s="172"/>
      <c r="G391" s="165"/>
    </row>
    <row r="392" spans="2:7" s="167" customFormat="1" outlineLevel="1" x14ac:dyDescent="0.2">
      <c r="B392" s="60" t="s">
        <v>4007</v>
      </c>
      <c r="C392" s="506" t="s">
        <v>1756</v>
      </c>
      <c r="D392" s="151" t="s">
        <v>26</v>
      </c>
      <c r="E392" s="153"/>
      <c r="F392" s="172"/>
      <c r="G392" s="165"/>
    </row>
    <row r="393" spans="2:7" s="167" customFormat="1" outlineLevel="1" x14ac:dyDescent="0.2">
      <c r="B393" s="60" t="s">
        <v>4008</v>
      </c>
      <c r="C393" s="506" t="s">
        <v>1757</v>
      </c>
      <c r="D393" s="151" t="s">
        <v>26</v>
      </c>
      <c r="E393" s="153"/>
      <c r="F393" s="172"/>
      <c r="G393" s="165"/>
    </row>
    <row r="394" spans="2:7" s="167" customFormat="1" outlineLevel="1" x14ac:dyDescent="0.2">
      <c r="B394" s="60" t="s">
        <v>4009</v>
      </c>
      <c r="C394" s="506" t="s">
        <v>1758</v>
      </c>
      <c r="D394" s="151" t="s">
        <v>26</v>
      </c>
      <c r="E394" s="153"/>
      <c r="F394" s="172"/>
      <c r="G394" s="165"/>
    </row>
    <row r="395" spans="2:7" s="167" customFormat="1" outlineLevel="1" x14ac:dyDescent="0.2">
      <c r="B395" s="60" t="s">
        <v>4010</v>
      </c>
      <c r="C395" s="506" t="s">
        <v>1759</v>
      </c>
      <c r="D395" s="151" t="s">
        <v>26</v>
      </c>
      <c r="E395" s="153"/>
      <c r="F395" s="172"/>
      <c r="G395" s="165"/>
    </row>
    <row r="396" spans="2:7" s="167" customFormat="1" outlineLevel="1" x14ac:dyDescent="0.2">
      <c r="B396" s="60" t="s">
        <v>4011</v>
      </c>
      <c r="C396" s="506" t="s">
        <v>1760</v>
      </c>
      <c r="D396" s="151" t="s">
        <v>26</v>
      </c>
      <c r="E396" s="153"/>
      <c r="F396" s="172"/>
      <c r="G396" s="165"/>
    </row>
    <row r="397" spans="2:7" s="167" customFormat="1" outlineLevel="1" x14ac:dyDescent="0.2">
      <c r="B397" s="60" t="s">
        <v>4012</v>
      </c>
      <c r="C397" s="506" t="s">
        <v>1761</v>
      </c>
      <c r="D397" s="151" t="s">
        <v>26</v>
      </c>
      <c r="E397" s="153"/>
      <c r="F397" s="172"/>
      <c r="G397" s="165"/>
    </row>
    <row r="398" spans="2:7" s="167" customFormat="1" outlineLevel="1" x14ac:dyDescent="0.2">
      <c r="B398" s="60" t="s">
        <v>4013</v>
      </c>
      <c r="C398" s="506" t="s">
        <v>1762</v>
      </c>
      <c r="D398" s="151" t="s">
        <v>26</v>
      </c>
      <c r="E398" s="153"/>
      <c r="F398" s="172"/>
      <c r="G398" s="165"/>
    </row>
    <row r="399" spans="2:7" s="167" customFormat="1" outlineLevel="1" x14ac:dyDescent="0.2">
      <c r="B399" s="60" t="s">
        <v>4014</v>
      </c>
      <c r="C399" s="506" t="s">
        <v>1763</v>
      </c>
      <c r="D399" s="151" t="s">
        <v>26</v>
      </c>
      <c r="E399" s="153"/>
      <c r="F399" s="172"/>
      <c r="G399" s="165"/>
    </row>
    <row r="400" spans="2:7" s="6" customFormat="1" ht="15.75" collapsed="1" thickBot="1" x14ac:dyDescent="0.35">
      <c r="B400" s="491" t="s">
        <v>4015</v>
      </c>
      <c r="C400" s="887" t="s">
        <v>1194</v>
      </c>
      <c r="D400" s="888"/>
      <c r="E400" s="273">
        <f>E207+E228+E271+E314+E357</f>
        <v>0</v>
      </c>
      <c r="F400" s="274">
        <f>F207+F228+F271+F314+F357</f>
        <v>0</v>
      </c>
      <c r="G400" s="22"/>
    </row>
    <row r="401" spans="3:7" x14ac:dyDescent="0.3">
      <c r="C401" s="10"/>
      <c r="D401" s="10"/>
      <c r="E401" s="10"/>
      <c r="F401" s="10"/>
      <c r="G401" s="11"/>
    </row>
    <row r="402" spans="3:7" x14ac:dyDescent="0.3">
      <c r="C402" s="10"/>
      <c r="D402" s="10"/>
      <c r="E402" s="10"/>
      <c r="F402" s="10"/>
      <c r="G402" s="11"/>
    </row>
    <row r="403" spans="3:7" x14ac:dyDescent="0.3">
      <c r="C403" s="782"/>
      <c r="D403" s="782"/>
      <c r="E403" s="782"/>
      <c r="F403" s="782"/>
    </row>
    <row r="404" spans="3:7" x14ac:dyDescent="0.3">
      <c r="C404" s="785"/>
      <c r="D404" s="785"/>
      <c r="E404" s="785"/>
      <c r="F404" s="785"/>
    </row>
    <row r="405" spans="3:7" x14ac:dyDescent="0.3">
      <c r="C405" s="782"/>
      <c r="D405" s="782"/>
      <c r="E405" s="782"/>
      <c r="F405" s="782"/>
    </row>
    <row r="406" spans="3:7" x14ac:dyDescent="0.3">
      <c r="C406" s="785"/>
      <c r="D406" s="785"/>
      <c r="E406" s="785"/>
      <c r="F406" s="785"/>
    </row>
    <row r="407" spans="3:7" x14ac:dyDescent="0.3">
      <c r="C407" s="782"/>
      <c r="D407" s="782"/>
      <c r="E407" s="782"/>
      <c r="F407" s="782"/>
    </row>
    <row r="408" spans="3:7" x14ac:dyDescent="0.3">
      <c r="C408" s="785"/>
      <c r="D408" s="785"/>
      <c r="E408" s="785"/>
      <c r="F408" s="785"/>
    </row>
  </sheetData>
  <mergeCells count="15">
    <mergeCell ref="C407:F407"/>
    <mergeCell ref="C408:F408"/>
    <mergeCell ref="B1:C1"/>
    <mergeCell ref="E1:F1"/>
    <mergeCell ref="E5:F5"/>
    <mergeCell ref="C203:D203"/>
    <mergeCell ref="C400:D400"/>
    <mergeCell ref="D4:F4"/>
    <mergeCell ref="B2:F2"/>
    <mergeCell ref="C8:F8"/>
    <mergeCell ref="C205:F205"/>
    <mergeCell ref="C403:F403"/>
    <mergeCell ref="C404:F404"/>
    <mergeCell ref="C405:F405"/>
    <mergeCell ref="C406:F406"/>
  </mergeCells>
  <phoneticPr fontId="14" type="noConversion"/>
  <printOptions horizontalCentered="1"/>
  <pageMargins left="0.2" right="0.2" top="0.26" bottom="0.2" header="0.17" footer="0.17"/>
  <pageSetup scale="84" orientation="portrait" horizontalDpi="300" verticalDpi="300" r:id="rId1"/>
  <ignoredErrors>
    <ignoredError sqref="C32:C202 C229:C399 B10:B400"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ummaryRight="0"/>
  </sheetPr>
  <dimension ref="B1:I315"/>
  <sheetViews>
    <sheetView showGridLines="0" zoomScale="90" zoomScaleNormal="90" workbookViewId="0">
      <pane ySplit="6" topLeftCell="A7" activePane="bottomLeft" state="frozen"/>
      <selection activeCell="C120" sqref="C120"/>
      <selection pane="bottomLeft" activeCell="K20" sqref="K20"/>
    </sheetView>
  </sheetViews>
  <sheetFormatPr defaultColWidth="9.140625" defaultRowHeight="15" outlineLevelRow="2" x14ac:dyDescent="0.3"/>
  <cols>
    <col min="1" max="1" width="2" style="5" customWidth="1"/>
    <col min="2" max="2" width="11.42578125" style="5" customWidth="1"/>
    <col min="3" max="3" width="5.85546875" style="5" customWidth="1"/>
    <col min="4" max="4" width="71.140625" style="5" customWidth="1"/>
    <col min="5" max="6" width="16.140625" style="5" customWidth="1"/>
    <col min="7" max="16384" width="9.140625" style="5"/>
  </cols>
  <sheetData>
    <row r="1" spans="2:9" s="4" customFormat="1" ht="15" customHeight="1" x14ac:dyDescent="0.3">
      <c r="B1" s="799" t="s">
        <v>315</v>
      </c>
      <c r="C1" s="799"/>
      <c r="D1" s="52"/>
      <c r="E1" s="791" t="s">
        <v>1240</v>
      </c>
      <c r="F1" s="791"/>
    </row>
    <row r="2" spans="2:9" ht="15" customHeight="1" x14ac:dyDescent="0.3">
      <c r="B2" s="874" t="s">
        <v>4688</v>
      </c>
      <c r="C2" s="874"/>
      <c r="D2" s="874"/>
      <c r="E2" s="874"/>
      <c r="F2" s="874"/>
    </row>
    <row r="3" spans="2:9" ht="15" customHeight="1" x14ac:dyDescent="0.3">
      <c r="C3" s="6"/>
      <c r="F3" s="10"/>
    </row>
    <row r="4" spans="2:9" s="76" customFormat="1" ht="15" customHeight="1" x14ac:dyDescent="0.35">
      <c r="B4" s="90"/>
      <c r="D4" s="815" t="s">
        <v>3342</v>
      </c>
      <c r="E4" s="815"/>
      <c r="F4" s="815"/>
    </row>
    <row r="5" spans="2:9" ht="15" customHeight="1" thickBot="1" x14ac:dyDescent="0.35">
      <c r="C5" s="26"/>
      <c r="D5" s="17"/>
      <c r="E5" s="802" t="s">
        <v>323</v>
      </c>
      <c r="F5" s="802"/>
      <c r="I5" s="7"/>
    </row>
    <row r="6" spans="2:9" s="56" customFormat="1" ht="45" customHeight="1" thickBot="1" x14ac:dyDescent="0.25">
      <c r="B6" s="481" t="s">
        <v>4627</v>
      </c>
      <c r="C6" s="492" t="s">
        <v>1211</v>
      </c>
      <c r="D6" s="492"/>
      <c r="E6" s="416" t="s">
        <v>322</v>
      </c>
      <c r="F6" s="417" t="s">
        <v>333</v>
      </c>
    </row>
    <row r="7" spans="2:9" s="10" customFormat="1" ht="9" customHeight="1" x14ac:dyDescent="0.3">
      <c r="C7" s="78"/>
      <c r="D7" s="79"/>
      <c r="E7" s="53"/>
      <c r="F7" s="53"/>
    </row>
    <row r="8" spans="2:9" s="10" customFormat="1" ht="15" customHeight="1" x14ac:dyDescent="0.3">
      <c r="C8" s="814" t="s">
        <v>176</v>
      </c>
      <c r="D8" s="814"/>
      <c r="E8" s="814"/>
      <c r="F8" s="814"/>
    </row>
    <row r="9" spans="2:9" s="10" customFormat="1" ht="9" customHeight="1" thickBot="1" x14ac:dyDescent="0.35">
      <c r="C9" s="78"/>
      <c r="D9" s="79"/>
      <c r="E9" s="53"/>
      <c r="F9" s="53"/>
    </row>
    <row r="10" spans="2:9" s="79" customFormat="1" ht="15" customHeight="1" x14ac:dyDescent="0.2">
      <c r="B10" s="418" t="s">
        <v>3628</v>
      </c>
      <c r="C10" s="497">
        <v>1</v>
      </c>
      <c r="D10" s="581" t="s">
        <v>178</v>
      </c>
      <c r="E10" s="494">
        <f>SUM(E11:E30)</f>
        <v>0</v>
      </c>
      <c r="F10" s="495">
        <f>SUM(F11:F30)</f>
        <v>0</v>
      </c>
    </row>
    <row r="11" spans="2:9" s="148" customFormat="1" ht="15" customHeight="1" outlineLevel="1" x14ac:dyDescent="0.2">
      <c r="B11" s="60" t="s">
        <v>3629</v>
      </c>
      <c r="C11" s="582">
        <v>1.1000000000000001</v>
      </c>
      <c r="D11" s="151" t="s">
        <v>80</v>
      </c>
      <c r="E11" s="154"/>
      <c r="F11" s="175"/>
    </row>
    <row r="12" spans="2:9" s="167" customFormat="1" ht="15" customHeight="1" outlineLevel="1" x14ac:dyDescent="0.2">
      <c r="B12" s="60" t="s">
        <v>3630</v>
      </c>
      <c r="C12" s="582">
        <v>1.2</v>
      </c>
      <c r="D12" s="151" t="s">
        <v>80</v>
      </c>
      <c r="E12" s="154"/>
      <c r="F12" s="175"/>
    </row>
    <row r="13" spans="2:9" s="167" customFormat="1" ht="15" customHeight="1" outlineLevel="1" x14ac:dyDescent="0.2">
      <c r="B13" s="60" t="s">
        <v>3631</v>
      </c>
      <c r="C13" s="582">
        <v>1.3</v>
      </c>
      <c r="D13" s="151" t="s">
        <v>80</v>
      </c>
      <c r="E13" s="154"/>
      <c r="F13" s="175"/>
    </row>
    <row r="14" spans="2:9" s="167" customFormat="1" ht="15" customHeight="1" outlineLevel="1" x14ac:dyDescent="0.2">
      <c r="B14" s="60" t="s">
        <v>3632</v>
      </c>
      <c r="C14" s="582">
        <v>1.4</v>
      </c>
      <c r="D14" s="151" t="s">
        <v>80</v>
      </c>
      <c r="E14" s="154"/>
      <c r="F14" s="175"/>
    </row>
    <row r="15" spans="2:9" s="167" customFormat="1" ht="15" customHeight="1" outlineLevel="1" x14ac:dyDescent="0.2">
      <c r="B15" s="60" t="s">
        <v>3633</v>
      </c>
      <c r="C15" s="582">
        <v>1.5</v>
      </c>
      <c r="D15" s="151" t="s">
        <v>80</v>
      </c>
      <c r="E15" s="154"/>
      <c r="F15" s="175"/>
    </row>
    <row r="16" spans="2:9" s="167" customFormat="1" ht="15" customHeight="1" outlineLevel="1" x14ac:dyDescent="0.2">
      <c r="B16" s="60" t="s">
        <v>3634</v>
      </c>
      <c r="C16" s="582">
        <v>1.6</v>
      </c>
      <c r="D16" s="151" t="s">
        <v>80</v>
      </c>
      <c r="E16" s="154"/>
      <c r="F16" s="175"/>
    </row>
    <row r="17" spans="2:6" s="167" customFormat="1" ht="15" customHeight="1" outlineLevel="1" x14ac:dyDescent="0.2">
      <c r="B17" s="60" t="s">
        <v>3635</v>
      </c>
      <c r="C17" s="582">
        <v>1.7</v>
      </c>
      <c r="D17" s="151" t="s">
        <v>80</v>
      </c>
      <c r="E17" s="154"/>
      <c r="F17" s="175"/>
    </row>
    <row r="18" spans="2:6" s="167" customFormat="1" ht="15" customHeight="1" outlineLevel="1" x14ac:dyDescent="0.2">
      <c r="B18" s="60" t="s">
        <v>3636</v>
      </c>
      <c r="C18" s="582">
        <v>1.8</v>
      </c>
      <c r="D18" s="151" t="s">
        <v>80</v>
      </c>
      <c r="E18" s="154"/>
      <c r="F18" s="175"/>
    </row>
    <row r="19" spans="2:6" s="167" customFormat="1" ht="15" customHeight="1" outlineLevel="1" x14ac:dyDescent="0.2">
      <c r="B19" s="60" t="s">
        <v>3637</v>
      </c>
      <c r="C19" s="582">
        <v>1.9</v>
      </c>
      <c r="D19" s="151" t="s">
        <v>80</v>
      </c>
      <c r="E19" s="154"/>
      <c r="F19" s="175"/>
    </row>
    <row r="20" spans="2:6" s="167" customFormat="1" ht="15" customHeight="1" outlineLevel="1" x14ac:dyDescent="0.2">
      <c r="B20" s="60" t="s">
        <v>3638</v>
      </c>
      <c r="C20" s="583">
        <v>1.1000000000000001</v>
      </c>
      <c r="D20" s="151" t="s">
        <v>80</v>
      </c>
      <c r="E20" s="154"/>
      <c r="F20" s="175"/>
    </row>
    <row r="21" spans="2:6" s="167" customFormat="1" ht="15" customHeight="1" outlineLevel="1" x14ac:dyDescent="0.2">
      <c r="B21" s="60" t="s">
        <v>3639</v>
      </c>
      <c r="C21" s="582">
        <v>1.1100000000000001</v>
      </c>
      <c r="D21" s="151" t="s">
        <v>80</v>
      </c>
      <c r="E21" s="154"/>
      <c r="F21" s="175"/>
    </row>
    <row r="22" spans="2:6" s="167" customFormat="1" ht="15" customHeight="1" outlineLevel="1" x14ac:dyDescent="0.2">
      <c r="B22" s="60" t="s">
        <v>3640</v>
      </c>
      <c r="C22" s="582">
        <v>1.1200000000000001</v>
      </c>
      <c r="D22" s="151" t="s">
        <v>80</v>
      </c>
      <c r="E22" s="154"/>
      <c r="F22" s="175"/>
    </row>
    <row r="23" spans="2:6" s="167" customFormat="1" ht="15" customHeight="1" outlineLevel="1" x14ac:dyDescent="0.2">
      <c r="B23" s="60" t="s">
        <v>3641</v>
      </c>
      <c r="C23" s="582">
        <v>1.1299999999999999</v>
      </c>
      <c r="D23" s="151" t="s">
        <v>80</v>
      </c>
      <c r="E23" s="154"/>
      <c r="F23" s="175"/>
    </row>
    <row r="24" spans="2:6" s="167" customFormat="1" ht="15" customHeight="1" outlineLevel="1" x14ac:dyDescent="0.2">
      <c r="B24" s="60" t="s">
        <v>3642</v>
      </c>
      <c r="C24" s="582">
        <v>1.1399999999999999</v>
      </c>
      <c r="D24" s="151" t="s">
        <v>80</v>
      </c>
      <c r="E24" s="154"/>
      <c r="F24" s="175"/>
    </row>
    <row r="25" spans="2:6" s="167" customFormat="1" ht="15" customHeight="1" outlineLevel="1" x14ac:dyDescent="0.2">
      <c r="B25" s="60" t="s">
        <v>3643</v>
      </c>
      <c r="C25" s="582">
        <v>1.1499999999999999</v>
      </c>
      <c r="D25" s="151" t="s">
        <v>80</v>
      </c>
      <c r="E25" s="154"/>
      <c r="F25" s="175"/>
    </row>
    <row r="26" spans="2:6" s="167" customFormat="1" ht="15" customHeight="1" outlineLevel="1" x14ac:dyDescent="0.2">
      <c r="B26" s="60" t="s">
        <v>3644</v>
      </c>
      <c r="C26" s="582">
        <v>1.1599999999999999</v>
      </c>
      <c r="D26" s="151" t="s">
        <v>80</v>
      </c>
      <c r="E26" s="154"/>
      <c r="F26" s="175"/>
    </row>
    <row r="27" spans="2:6" s="167" customFormat="1" ht="15" customHeight="1" outlineLevel="1" x14ac:dyDescent="0.2">
      <c r="B27" s="60" t="s">
        <v>3645</v>
      </c>
      <c r="C27" s="582">
        <v>1.17</v>
      </c>
      <c r="D27" s="151" t="s">
        <v>80</v>
      </c>
      <c r="E27" s="154"/>
      <c r="F27" s="175"/>
    </row>
    <row r="28" spans="2:6" s="167" customFormat="1" ht="15" customHeight="1" outlineLevel="1" x14ac:dyDescent="0.2">
      <c r="B28" s="60" t="s">
        <v>3646</v>
      </c>
      <c r="C28" s="582">
        <v>1.18</v>
      </c>
      <c r="D28" s="151" t="s">
        <v>80</v>
      </c>
      <c r="E28" s="154"/>
      <c r="F28" s="175"/>
    </row>
    <row r="29" spans="2:6" s="167" customFormat="1" ht="15" customHeight="1" outlineLevel="1" x14ac:dyDescent="0.2">
      <c r="B29" s="60" t="s">
        <v>3647</v>
      </c>
      <c r="C29" s="582">
        <v>1.19</v>
      </c>
      <c r="D29" s="151" t="s">
        <v>80</v>
      </c>
      <c r="E29" s="154"/>
      <c r="F29" s="175"/>
    </row>
    <row r="30" spans="2:6" s="167" customFormat="1" ht="15" customHeight="1" outlineLevel="1" x14ac:dyDescent="0.2">
      <c r="B30" s="60" t="s">
        <v>3648</v>
      </c>
      <c r="C30" s="583">
        <v>1.2</v>
      </c>
      <c r="D30" s="151" t="s">
        <v>80</v>
      </c>
      <c r="E30" s="154"/>
      <c r="F30" s="175"/>
    </row>
    <row r="31" spans="2:6" s="134" customFormat="1" ht="15" customHeight="1" x14ac:dyDescent="0.2">
      <c r="B31" s="60" t="s">
        <v>3649</v>
      </c>
      <c r="C31" s="425">
        <v>2</v>
      </c>
      <c r="D31" s="164" t="s">
        <v>175</v>
      </c>
      <c r="E31" s="91">
        <f>SUM(E32:E51)</f>
        <v>0</v>
      </c>
      <c r="F31" s="92">
        <f>SUM(F32:F51)</f>
        <v>0</v>
      </c>
    </row>
    <row r="32" spans="2:6" s="167" customFormat="1" ht="15" customHeight="1" outlineLevel="1" x14ac:dyDescent="0.2">
      <c r="B32" s="60" t="s">
        <v>3650</v>
      </c>
      <c r="C32" s="582">
        <v>2.1</v>
      </c>
      <c r="D32" s="151" t="s">
        <v>80</v>
      </c>
      <c r="E32" s="154"/>
      <c r="F32" s="175"/>
    </row>
    <row r="33" spans="2:6" s="167" customFormat="1" ht="15" customHeight="1" outlineLevel="1" x14ac:dyDescent="0.2">
      <c r="B33" s="60" t="s">
        <v>3651</v>
      </c>
      <c r="C33" s="582">
        <v>2.2000000000000002</v>
      </c>
      <c r="D33" s="151" t="s">
        <v>80</v>
      </c>
      <c r="E33" s="154"/>
      <c r="F33" s="175"/>
    </row>
    <row r="34" spans="2:6" s="167" customFormat="1" ht="15" customHeight="1" outlineLevel="1" x14ac:dyDescent="0.2">
      <c r="B34" s="60" t="s">
        <v>3652</v>
      </c>
      <c r="C34" s="582">
        <v>2.2999999999999998</v>
      </c>
      <c r="D34" s="151" t="s">
        <v>80</v>
      </c>
      <c r="E34" s="154"/>
      <c r="F34" s="175"/>
    </row>
    <row r="35" spans="2:6" s="167" customFormat="1" ht="15" customHeight="1" outlineLevel="1" x14ac:dyDescent="0.2">
      <c r="B35" s="60" t="s">
        <v>3653</v>
      </c>
      <c r="C35" s="582">
        <v>2.4</v>
      </c>
      <c r="D35" s="151" t="s">
        <v>80</v>
      </c>
      <c r="E35" s="154"/>
      <c r="F35" s="175"/>
    </row>
    <row r="36" spans="2:6" s="167" customFormat="1" ht="15" customHeight="1" outlineLevel="1" x14ac:dyDescent="0.2">
      <c r="B36" s="60" t="s">
        <v>3654</v>
      </c>
      <c r="C36" s="582">
        <v>2.5</v>
      </c>
      <c r="D36" s="151" t="s">
        <v>80</v>
      </c>
      <c r="E36" s="154"/>
      <c r="F36" s="175"/>
    </row>
    <row r="37" spans="2:6" s="167" customFormat="1" ht="15" customHeight="1" outlineLevel="1" x14ac:dyDescent="0.2">
      <c r="B37" s="60" t="s">
        <v>3655</v>
      </c>
      <c r="C37" s="582">
        <v>2.6</v>
      </c>
      <c r="D37" s="151" t="s">
        <v>80</v>
      </c>
      <c r="E37" s="154"/>
      <c r="F37" s="175"/>
    </row>
    <row r="38" spans="2:6" s="167" customFormat="1" ht="15" customHeight="1" outlineLevel="1" x14ac:dyDescent="0.2">
      <c r="B38" s="60" t="s">
        <v>3656</v>
      </c>
      <c r="C38" s="582">
        <v>2.7</v>
      </c>
      <c r="D38" s="151" t="s">
        <v>80</v>
      </c>
      <c r="E38" s="154"/>
      <c r="F38" s="175"/>
    </row>
    <row r="39" spans="2:6" s="167" customFormat="1" ht="15" customHeight="1" outlineLevel="1" x14ac:dyDescent="0.2">
      <c r="B39" s="60" t="s">
        <v>3657</v>
      </c>
      <c r="C39" s="582">
        <v>2.8</v>
      </c>
      <c r="D39" s="151" t="s">
        <v>80</v>
      </c>
      <c r="E39" s="154"/>
      <c r="F39" s="175"/>
    </row>
    <row r="40" spans="2:6" s="167" customFormat="1" ht="15" customHeight="1" outlineLevel="1" x14ac:dyDescent="0.2">
      <c r="B40" s="60" t="s">
        <v>3658</v>
      </c>
      <c r="C40" s="582">
        <v>2.9</v>
      </c>
      <c r="D40" s="151" t="s">
        <v>80</v>
      </c>
      <c r="E40" s="154"/>
      <c r="F40" s="175"/>
    </row>
    <row r="41" spans="2:6" s="167" customFormat="1" ht="15" customHeight="1" outlineLevel="1" x14ac:dyDescent="0.2">
      <c r="B41" s="60" t="s">
        <v>3659</v>
      </c>
      <c r="C41" s="583">
        <v>2.1</v>
      </c>
      <c r="D41" s="151" t="s">
        <v>80</v>
      </c>
      <c r="E41" s="154"/>
      <c r="F41" s="175"/>
    </row>
    <row r="42" spans="2:6" s="167" customFormat="1" ht="15" customHeight="1" outlineLevel="1" x14ac:dyDescent="0.2">
      <c r="B42" s="60" t="s">
        <v>3660</v>
      </c>
      <c r="C42" s="582">
        <v>2.11</v>
      </c>
      <c r="D42" s="151" t="s">
        <v>80</v>
      </c>
      <c r="E42" s="154"/>
      <c r="F42" s="175"/>
    </row>
    <row r="43" spans="2:6" s="167" customFormat="1" ht="15" customHeight="1" outlineLevel="1" x14ac:dyDescent="0.2">
      <c r="B43" s="60" t="s">
        <v>3661</v>
      </c>
      <c r="C43" s="582">
        <v>2.12</v>
      </c>
      <c r="D43" s="151" t="s">
        <v>80</v>
      </c>
      <c r="E43" s="154"/>
      <c r="F43" s="175"/>
    </row>
    <row r="44" spans="2:6" s="167" customFormat="1" ht="15" customHeight="1" outlineLevel="1" x14ac:dyDescent="0.2">
      <c r="B44" s="60" t="s">
        <v>3662</v>
      </c>
      <c r="C44" s="582">
        <v>2.13</v>
      </c>
      <c r="D44" s="151" t="s">
        <v>80</v>
      </c>
      <c r="E44" s="154"/>
      <c r="F44" s="175"/>
    </row>
    <row r="45" spans="2:6" s="167" customFormat="1" ht="15" customHeight="1" outlineLevel="1" x14ac:dyDescent="0.2">
      <c r="B45" s="60" t="s">
        <v>3663</v>
      </c>
      <c r="C45" s="582">
        <v>2.14</v>
      </c>
      <c r="D45" s="151" t="s">
        <v>80</v>
      </c>
      <c r="E45" s="154"/>
      <c r="F45" s="175"/>
    </row>
    <row r="46" spans="2:6" s="167" customFormat="1" ht="15" customHeight="1" outlineLevel="1" x14ac:dyDescent="0.2">
      <c r="B46" s="60" t="s">
        <v>3664</v>
      </c>
      <c r="C46" s="582">
        <v>2.15</v>
      </c>
      <c r="D46" s="151" t="s">
        <v>80</v>
      </c>
      <c r="E46" s="154"/>
      <c r="F46" s="175"/>
    </row>
    <row r="47" spans="2:6" s="167" customFormat="1" ht="15" customHeight="1" outlineLevel="1" x14ac:dyDescent="0.2">
      <c r="B47" s="60" t="s">
        <v>3665</v>
      </c>
      <c r="C47" s="582">
        <v>2.16</v>
      </c>
      <c r="D47" s="151" t="s">
        <v>80</v>
      </c>
      <c r="E47" s="154"/>
      <c r="F47" s="175"/>
    </row>
    <row r="48" spans="2:6" s="167" customFormat="1" ht="15" customHeight="1" outlineLevel="1" x14ac:dyDescent="0.2">
      <c r="B48" s="60" t="s">
        <v>3666</v>
      </c>
      <c r="C48" s="582">
        <v>2.17</v>
      </c>
      <c r="D48" s="151" t="s">
        <v>80</v>
      </c>
      <c r="E48" s="154"/>
      <c r="F48" s="175"/>
    </row>
    <row r="49" spans="2:6" s="167" customFormat="1" ht="15" customHeight="1" outlineLevel="1" x14ac:dyDescent="0.2">
      <c r="B49" s="60" t="s">
        <v>3667</v>
      </c>
      <c r="C49" s="582">
        <v>2.1800000000000002</v>
      </c>
      <c r="D49" s="151" t="s">
        <v>80</v>
      </c>
      <c r="E49" s="154"/>
      <c r="F49" s="175"/>
    </row>
    <row r="50" spans="2:6" s="167" customFormat="1" ht="15" customHeight="1" outlineLevel="1" x14ac:dyDescent="0.2">
      <c r="B50" s="60" t="s">
        <v>3668</v>
      </c>
      <c r="C50" s="582">
        <v>2.19</v>
      </c>
      <c r="D50" s="151" t="s">
        <v>80</v>
      </c>
      <c r="E50" s="154"/>
      <c r="F50" s="175"/>
    </row>
    <row r="51" spans="2:6" s="167" customFormat="1" ht="15" customHeight="1" outlineLevel="1" x14ac:dyDescent="0.2">
      <c r="B51" s="60" t="s">
        <v>3669</v>
      </c>
      <c r="C51" s="583">
        <v>2.2000000000000002</v>
      </c>
      <c r="D51" s="151" t="s">
        <v>80</v>
      </c>
      <c r="E51" s="154"/>
      <c r="F51" s="175"/>
    </row>
    <row r="52" spans="2:6" s="134" customFormat="1" ht="15" customHeight="1" x14ac:dyDescent="0.2">
      <c r="B52" s="60" t="s">
        <v>3670</v>
      </c>
      <c r="C52" s="425">
        <v>3</v>
      </c>
      <c r="D52" s="164" t="s">
        <v>307</v>
      </c>
      <c r="E52" s="91">
        <f>SUM(E53:E72)</f>
        <v>0</v>
      </c>
      <c r="F52" s="92">
        <f>SUM(F53:F72)</f>
        <v>0</v>
      </c>
    </row>
    <row r="53" spans="2:6" s="167" customFormat="1" ht="15" customHeight="1" outlineLevel="1" x14ac:dyDescent="0.2">
      <c r="B53" s="60" t="s">
        <v>3671</v>
      </c>
      <c r="C53" s="582">
        <v>3.1</v>
      </c>
      <c r="D53" s="151" t="s">
        <v>80</v>
      </c>
      <c r="E53" s="154"/>
      <c r="F53" s="175"/>
    </row>
    <row r="54" spans="2:6" s="167" customFormat="1" ht="15" customHeight="1" outlineLevel="1" x14ac:dyDescent="0.2">
      <c r="B54" s="60" t="s">
        <v>3672</v>
      </c>
      <c r="C54" s="582">
        <v>3.2</v>
      </c>
      <c r="D54" s="151" t="s">
        <v>80</v>
      </c>
      <c r="E54" s="154"/>
      <c r="F54" s="175"/>
    </row>
    <row r="55" spans="2:6" s="167" customFormat="1" ht="15" customHeight="1" outlineLevel="1" x14ac:dyDescent="0.2">
      <c r="B55" s="60" t="s">
        <v>3673</v>
      </c>
      <c r="C55" s="582">
        <v>3.3</v>
      </c>
      <c r="D55" s="151" t="s">
        <v>80</v>
      </c>
      <c r="E55" s="154"/>
      <c r="F55" s="175"/>
    </row>
    <row r="56" spans="2:6" s="167" customFormat="1" ht="15" customHeight="1" outlineLevel="1" x14ac:dyDescent="0.2">
      <c r="B56" s="60" t="s">
        <v>3674</v>
      </c>
      <c r="C56" s="582">
        <v>3.4</v>
      </c>
      <c r="D56" s="151" t="s">
        <v>80</v>
      </c>
      <c r="E56" s="154"/>
      <c r="F56" s="175"/>
    </row>
    <row r="57" spans="2:6" s="167" customFormat="1" ht="15" customHeight="1" outlineLevel="1" x14ac:dyDescent="0.2">
      <c r="B57" s="60" t="s">
        <v>3675</v>
      </c>
      <c r="C57" s="582">
        <v>3.5</v>
      </c>
      <c r="D57" s="151" t="s">
        <v>80</v>
      </c>
      <c r="E57" s="154"/>
      <c r="F57" s="175"/>
    </row>
    <row r="58" spans="2:6" s="167" customFormat="1" ht="15" customHeight="1" outlineLevel="1" x14ac:dyDescent="0.2">
      <c r="B58" s="60" t="s">
        <v>3676</v>
      </c>
      <c r="C58" s="582">
        <v>3.6</v>
      </c>
      <c r="D58" s="151" t="s">
        <v>80</v>
      </c>
      <c r="E58" s="154"/>
      <c r="F58" s="175"/>
    </row>
    <row r="59" spans="2:6" s="167" customFormat="1" ht="15" customHeight="1" outlineLevel="1" x14ac:dyDescent="0.2">
      <c r="B59" s="60" t="s">
        <v>3677</v>
      </c>
      <c r="C59" s="582">
        <v>3.7</v>
      </c>
      <c r="D59" s="151" t="s">
        <v>80</v>
      </c>
      <c r="E59" s="154"/>
      <c r="F59" s="175"/>
    </row>
    <row r="60" spans="2:6" s="167" customFormat="1" ht="15" customHeight="1" outlineLevel="1" x14ac:dyDescent="0.2">
      <c r="B60" s="60" t="s">
        <v>3678</v>
      </c>
      <c r="C60" s="582">
        <v>3.8</v>
      </c>
      <c r="D60" s="151" t="s">
        <v>80</v>
      </c>
      <c r="E60" s="154"/>
      <c r="F60" s="175"/>
    </row>
    <row r="61" spans="2:6" s="167" customFormat="1" ht="15" customHeight="1" outlineLevel="1" x14ac:dyDescent="0.2">
      <c r="B61" s="60" t="s">
        <v>3679</v>
      </c>
      <c r="C61" s="582">
        <v>3.9</v>
      </c>
      <c r="D61" s="151" t="s">
        <v>80</v>
      </c>
      <c r="E61" s="154"/>
      <c r="F61" s="175"/>
    </row>
    <row r="62" spans="2:6" s="167" customFormat="1" ht="15" customHeight="1" outlineLevel="1" x14ac:dyDescent="0.2">
      <c r="B62" s="60" t="s">
        <v>3680</v>
      </c>
      <c r="C62" s="583">
        <v>3.1</v>
      </c>
      <c r="D62" s="151" t="s">
        <v>80</v>
      </c>
      <c r="E62" s="154"/>
      <c r="F62" s="175"/>
    </row>
    <row r="63" spans="2:6" s="167" customFormat="1" ht="15" customHeight="1" outlineLevel="1" x14ac:dyDescent="0.2">
      <c r="B63" s="60" t="s">
        <v>3681</v>
      </c>
      <c r="C63" s="582">
        <v>3.11</v>
      </c>
      <c r="D63" s="151" t="s">
        <v>80</v>
      </c>
      <c r="E63" s="154"/>
      <c r="F63" s="175"/>
    </row>
    <row r="64" spans="2:6" s="167" customFormat="1" ht="15" customHeight="1" outlineLevel="1" x14ac:dyDescent="0.2">
      <c r="B64" s="60" t="s">
        <v>3682</v>
      </c>
      <c r="C64" s="582">
        <v>3.12</v>
      </c>
      <c r="D64" s="151" t="s">
        <v>80</v>
      </c>
      <c r="E64" s="154"/>
      <c r="F64" s="175"/>
    </row>
    <row r="65" spans="2:7" s="167" customFormat="1" ht="15" customHeight="1" outlineLevel="1" x14ac:dyDescent="0.2">
      <c r="B65" s="60" t="s">
        <v>3683</v>
      </c>
      <c r="C65" s="582">
        <v>3.13</v>
      </c>
      <c r="D65" s="151" t="s">
        <v>80</v>
      </c>
      <c r="E65" s="154"/>
      <c r="F65" s="175"/>
    </row>
    <row r="66" spans="2:7" s="167" customFormat="1" ht="15" customHeight="1" outlineLevel="1" x14ac:dyDescent="0.2">
      <c r="B66" s="60" t="s">
        <v>3684</v>
      </c>
      <c r="C66" s="582">
        <v>3.14</v>
      </c>
      <c r="D66" s="151" t="s">
        <v>80</v>
      </c>
      <c r="E66" s="154"/>
      <c r="F66" s="175"/>
    </row>
    <row r="67" spans="2:7" s="167" customFormat="1" ht="15" customHeight="1" outlineLevel="1" x14ac:dyDescent="0.2">
      <c r="B67" s="60" t="s">
        <v>3685</v>
      </c>
      <c r="C67" s="582">
        <v>3.15</v>
      </c>
      <c r="D67" s="151" t="s">
        <v>80</v>
      </c>
      <c r="E67" s="154"/>
      <c r="F67" s="175"/>
    </row>
    <row r="68" spans="2:7" s="167" customFormat="1" ht="15" customHeight="1" outlineLevel="1" x14ac:dyDescent="0.2">
      <c r="B68" s="60" t="s">
        <v>3686</v>
      </c>
      <c r="C68" s="582">
        <v>3.16</v>
      </c>
      <c r="D68" s="151" t="s">
        <v>80</v>
      </c>
      <c r="E68" s="154"/>
      <c r="F68" s="175"/>
    </row>
    <row r="69" spans="2:7" s="167" customFormat="1" ht="15" customHeight="1" outlineLevel="1" x14ac:dyDescent="0.2">
      <c r="B69" s="60" t="s">
        <v>3687</v>
      </c>
      <c r="C69" s="582">
        <v>3.17</v>
      </c>
      <c r="D69" s="151" t="s">
        <v>80</v>
      </c>
      <c r="E69" s="154"/>
      <c r="F69" s="175"/>
    </row>
    <row r="70" spans="2:7" s="167" customFormat="1" ht="15" customHeight="1" outlineLevel="1" x14ac:dyDescent="0.2">
      <c r="B70" s="60" t="s">
        <v>3688</v>
      </c>
      <c r="C70" s="582">
        <v>3.18</v>
      </c>
      <c r="D70" s="151" t="s">
        <v>80</v>
      </c>
      <c r="E70" s="154"/>
      <c r="F70" s="175"/>
    </row>
    <row r="71" spans="2:7" s="167" customFormat="1" ht="15" customHeight="1" outlineLevel="1" x14ac:dyDescent="0.2">
      <c r="B71" s="60" t="s">
        <v>3689</v>
      </c>
      <c r="C71" s="582">
        <v>3.19</v>
      </c>
      <c r="D71" s="151" t="s">
        <v>80</v>
      </c>
      <c r="E71" s="154"/>
      <c r="F71" s="175"/>
    </row>
    <row r="72" spans="2:7" s="167" customFormat="1" ht="15" customHeight="1" outlineLevel="1" x14ac:dyDescent="0.2">
      <c r="B72" s="60" t="s">
        <v>3690</v>
      </c>
      <c r="C72" s="583">
        <v>3.2</v>
      </c>
      <c r="D72" s="151" t="s">
        <v>80</v>
      </c>
      <c r="E72" s="154"/>
      <c r="F72" s="175"/>
    </row>
    <row r="73" spans="2:7" s="142" customFormat="1" ht="15" customHeight="1" thickBot="1" x14ac:dyDescent="0.25">
      <c r="B73" s="491" t="s">
        <v>3691</v>
      </c>
      <c r="C73" s="889" t="s">
        <v>3316</v>
      </c>
      <c r="D73" s="890"/>
      <c r="E73" s="241">
        <f>E10+E31+E52</f>
        <v>0</v>
      </c>
      <c r="F73" s="242">
        <f>F10+F31+F52</f>
        <v>0</v>
      </c>
    </row>
    <row r="74" spans="2:7" s="134" customFormat="1" ht="9" customHeight="1" x14ac:dyDescent="0.2"/>
    <row r="75" spans="2:7" s="51" customFormat="1" ht="15" customHeight="1" x14ac:dyDescent="0.2">
      <c r="C75" s="814" t="s">
        <v>81</v>
      </c>
      <c r="D75" s="814"/>
      <c r="E75" s="814"/>
      <c r="F75" s="814"/>
    </row>
    <row r="76" spans="2:7" s="134" customFormat="1" ht="9" customHeight="1" thickBot="1" x14ac:dyDescent="0.25">
      <c r="C76" s="26"/>
      <c r="D76" s="145"/>
      <c r="E76" s="79"/>
      <c r="F76" s="202"/>
    </row>
    <row r="77" spans="2:7" s="142" customFormat="1" ht="15" customHeight="1" x14ac:dyDescent="0.2">
      <c r="B77" s="418" t="s">
        <v>3692</v>
      </c>
      <c r="C77" s="406">
        <v>1</v>
      </c>
      <c r="D77" s="412" t="s">
        <v>238</v>
      </c>
      <c r="E77" s="504">
        <f>E78+E99+E120</f>
        <v>0</v>
      </c>
      <c r="F77" s="508">
        <f>F78+F99+F120</f>
        <v>0</v>
      </c>
      <c r="G77" s="132"/>
    </row>
    <row r="78" spans="2:7" s="138" customFormat="1" ht="15" customHeight="1" outlineLevel="1" x14ac:dyDescent="0.2">
      <c r="B78" s="60" t="s">
        <v>3693</v>
      </c>
      <c r="C78" s="505">
        <v>1.1000000000000001</v>
      </c>
      <c r="D78" s="162" t="s">
        <v>236</v>
      </c>
      <c r="E78" s="636">
        <f>SUM(E79:E98)</f>
        <v>0</v>
      </c>
      <c r="F78" s="637">
        <f>SUM(F79:F98)</f>
        <v>0</v>
      </c>
    </row>
    <row r="79" spans="2:7" s="167" customFormat="1" ht="15" customHeight="1" outlineLevel="2" x14ac:dyDescent="0.2">
      <c r="B79" s="60" t="s">
        <v>3694</v>
      </c>
      <c r="C79" s="506" t="s">
        <v>446</v>
      </c>
      <c r="D79" s="166" t="s">
        <v>239</v>
      </c>
      <c r="E79" s="173"/>
      <c r="F79" s="174"/>
      <c r="G79" s="165"/>
    </row>
    <row r="80" spans="2:7" s="167" customFormat="1" ht="15" customHeight="1" outlineLevel="2" x14ac:dyDescent="0.2">
      <c r="B80" s="60" t="s">
        <v>3695</v>
      </c>
      <c r="C80" s="506" t="s">
        <v>447</v>
      </c>
      <c r="D80" s="166" t="s">
        <v>239</v>
      </c>
      <c r="E80" s="173"/>
      <c r="F80" s="174"/>
      <c r="G80" s="165"/>
    </row>
    <row r="81" spans="2:7" s="167" customFormat="1" ht="15" customHeight="1" outlineLevel="2" x14ac:dyDescent="0.2">
      <c r="B81" s="60" t="s">
        <v>3696</v>
      </c>
      <c r="C81" s="506" t="s">
        <v>456</v>
      </c>
      <c r="D81" s="166" t="s">
        <v>239</v>
      </c>
      <c r="E81" s="173"/>
      <c r="F81" s="174"/>
      <c r="G81" s="165"/>
    </row>
    <row r="82" spans="2:7" s="167" customFormat="1" ht="15" customHeight="1" outlineLevel="2" x14ac:dyDescent="0.2">
      <c r="B82" s="60" t="s">
        <v>3697</v>
      </c>
      <c r="C82" s="506" t="s">
        <v>528</v>
      </c>
      <c r="D82" s="166" t="s">
        <v>239</v>
      </c>
      <c r="E82" s="173"/>
      <c r="F82" s="174"/>
      <c r="G82" s="165"/>
    </row>
    <row r="83" spans="2:7" s="167" customFormat="1" ht="15" customHeight="1" outlineLevel="2" x14ac:dyDescent="0.2">
      <c r="B83" s="60" t="s">
        <v>3698</v>
      </c>
      <c r="C83" s="506" t="s">
        <v>529</v>
      </c>
      <c r="D83" s="166" t="s">
        <v>239</v>
      </c>
      <c r="E83" s="173"/>
      <c r="F83" s="174"/>
      <c r="G83" s="165"/>
    </row>
    <row r="84" spans="2:7" s="167" customFormat="1" ht="15" customHeight="1" outlineLevel="2" x14ac:dyDescent="0.2">
      <c r="B84" s="60" t="s">
        <v>3699</v>
      </c>
      <c r="C84" s="506" t="s">
        <v>530</v>
      </c>
      <c r="D84" s="166" t="s">
        <v>239</v>
      </c>
      <c r="E84" s="173"/>
      <c r="F84" s="174"/>
      <c r="G84" s="165"/>
    </row>
    <row r="85" spans="2:7" s="167" customFormat="1" ht="15" customHeight="1" outlineLevel="2" x14ac:dyDescent="0.2">
      <c r="B85" s="60" t="s">
        <v>3700</v>
      </c>
      <c r="C85" s="506" t="s">
        <v>531</v>
      </c>
      <c r="D85" s="166" t="s">
        <v>239</v>
      </c>
      <c r="E85" s="173"/>
      <c r="F85" s="174"/>
      <c r="G85" s="165"/>
    </row>
    <row r="86" spans="2:7" s="167" customFormat="1" ht="15" customHeight="1" outlineLevel="2" x14ac:dyDescent="0.2">
      <c r="B86" s="60" t="s">
        <v>3701</v>
      </c>
      <c r="C86" s="506" t="s">
        <v>532</v>
      </c>
      <c r="D86" s="166" t="s">
        <v>239</v>
      </c>
      <c r="E86" s="173"/>
      <c r="F86" s="174"/>
      <c r="G86" s="165"/>
    </row>
    <row r="87" spans="2:7" s="167" customFormat="1" ht="15" customHeight="1" outlineLevel="2" x14ac:dyDescent="0.2">
      <c r="B87" s="60" t="s">
        <v>3702</v>
      </c>
      <c r="C87" s="506" t="s">
        <v>533</v>
      </c>
      <c r="D87" s="166" t="s">
        <v>239</v>
      </c>
      <c r="E87" s="173"/>
      <c r="F87" s="174"/>
      <c r="G87" s="165"/>
    </row>
    <row r="88" spans="2:7" s="167" customFormat="1" ht="15" customHeight="1" outlineLevel="2" x14ac:dyDescent="0.2">
      <c r="B88" s="60" t="s">
        <v>3703</v>
      </c>
      <c r="C88" s="506" t="s">
        <v>534</v>
      </c>
      <c r="D88" s="166" t="s">
        <v>239</v>
      </c>
      <c r="E88" s="173"/>
      <c r="F88" s="174"/>
      <c r="G88" s="165"/>
    </row>
    <row r="89" spans="2:7" s="167" customFormat="1" ht="15" customHeight="1" outlineLevel="2" x14ac:dyDescent="0.2">
      <c r="B89" s="60" t="s">
        <v>3704</v>
      </c>
      <c r="C89" s="506" t="s">
        <v>535</v>
      </c>
      <c r="D89" s="166" t="s">
        <v>239</v>
      </c>
      <c r="E89" s="173"/>
      <c r="F89" s="174"/>
      <c r="G89" s="165"/>
    </row>
    <row r="90" spans="2:7" s="167" customFormat="1" ht="15" customHeight="1" outlineLevel="2" x14ac:dyDescent="0.2">
      <c r="B90" s="60" t="s">
        <v>3705</v>
      </c>
      <c r="C90" s="506" t="s">
        <v>536</v>
      </c>
      <c r="D90" s="166" t="s">
        <v>239</v>
      </c>
      <c r="E90" s="173"/>
      <c r="F90" s="174"/>
      <c r="G90" s="165"/>
    </row>
    <row r="91" spans="2:7" s="167" customFormat="1" ht="15" customHeight="1" outlineLevel="2" x14ac:dyDescent="0.2">
      <c r="B91" s="60" t="s">
        <v>3706</v>
      </c>
      <c r="C91" s="506" t="s">
        <v>537</v>
      </c>
      <c r="D91" s="166" t="s">
        <v>239</v>
      </c>
      <c r="E91" s="173"/>
      <c r="F91" s="174"/>
      <c r="G91" s="165"/>
    </row>
    <row r="92" spans="2:7" s="167" customFormat="1" ht="15" customHeight="1" outlineLevel="2" x14ac:dyDescent="0.2">
      <c r="B92" s="60" t="s">
        <v>3707</v>
      </c>
      <c r="C92" s="506" t="s">
        <v>538</v>
      </c>
      <c r="D92" s="166" t="s">
        <v>239</v>
      </c>
      <c r="E92" s="173"/>
      <c r="F92" s="174"/>
      <c r="G92" s="165"/>
    </row>
    <row r="93" spans="2:7" s="167" customFormat="1" ht="15" customHeight="1" outlineLevel="2" x14ac:dyDescent="0.2">
      <c r="B93" s="60" t="s">
        <v>3708</v>
      </c>
      <c r="C93" s="506" t="s">
        <v>539</v>
      </c>
      <c r="D93" s="166" t="s">
        <v>239</v>
      </c>
      <c r="E93" s="173"/>
      <c r="F93" s="174"/>
      <c r="G93" s="165"/>
    </row>
    <row r="94" spans="2:7" s="167" customFormat="1" ht="15" customHeight="1" outlineLevel="2" x14ac:dyDescent="0.2">
      <c r="B94" s="60" t="s">
        <v>3709</v>
      </c>
      <c r="C94" s="506" t="s">
        <v>540</v>
      </c>
      <c r="D94" s="166" t="s">
        <v>239</v>
      </c>
      <c r="E94" s="173"/>
      <c r="F94" s="174"/>
      <c r="G94" s="165"/>
    </row>
    <row r="95" spans="2:7" s="167" customFormat="1" ht="15" customHeight="1" outlineLevel="2" x14ac:dyDescent="0.2">
      <c r="B95" s="60" t="s">
        <v>3710</v>
      </c>
      <c r="C95" s="506" t="s">
        <v>541</v>
      </c>
      <c r="D95" s="166" t="s">
        <v>239</v>
      </c>
      <c r="E95" s="173"/>
      <c r="F95" s="174"/>
      <c r="G95" s="165"/>
    </row>
    <row r="96" spans="2:7" s="167" customFormat="1" ht="15" customHeight="1" outlineLevel="2" x14ac:dyDescent="0.2">
      <c r="B96" s="60" t="s">
        <v>3711</v>
      </c>
      <c r="C96" s="506" t="s">
        <v>542</v>
      </c>
      <c r="D96" s="166" t="s">
        <v>239</v>
      </c>
      <c r="E96" s="173"/>
      <c r="F96" s="174"/>
      <c r="G96" s="165"/>
    </row>
    <row r="97" spans="2:7" s="167" customFormat="1" ht="15" customHeight="1" outlineLevel="2" x14ac:dyDescent="0.2">
      <c r="B97" s="60" t="s">
        <v>3712</v>
      </c>
      <c r="C97" s="506" t="s">
        <v>543</v>
      </c>
      <c r="D97" s="166" t="s">
        <v>239</v>
      </c>
      <c r="E97" s="173"/>
      <c r="F97" s="174"/>
      <c r="G97" s="165"/>
    </row>
    <row r="98" spans="2:7" s="167" customFormat="1" ht="15" customHeight="1" outlineLevel="2" x14ac:dyDescent="0.2">
      <c r="B98" s="60" t="s">
        <v>3713</v>
      </c>
      <c r="C98" s="506" t="s">
        <v>544</v>
      </c>
      <c r="D98" s="166" t="s">
        <v>239</v>
      </c>
      <c r="E98" s="173"/>
      <c r="F98" s="174"/>
      <c r="G98" s="165"/>
    </row>
    <row r="99" spans="2:7" s="138" customFormat="1" ht="15" customHeight="1" outlineLevel="1" x14ac:dyDescent="0.2">
      <c r="B99" s="60" t="s">
        <v>3714</v>
      </c>
      <c r="C99" s="505">
        <v>1.2</v>
      </c>
      <c r="D99" s="162" t="s">
        <v>240</v>
      </c>
      <c r="E99" s="636">
        <f>SUM(E100:E119)</f>
        <v>0</v>
      </c>
      <c r="F99" s="637">
        <f>SUM(F100:F119)</f>
        <v>0</v>
      </c>
    </row>
    <row r="100" spans="2:7" s="167" customFormat="1" ht="15" customHeight="1" outlineLevel="2" x14ac:dyDescent="0.2">
      <c r="B100" s="60" t="s">
        <v>3715</v>
      </c>
      <c r="C100" s="506" t="s">
        <v>452</v>
      </c>
      <c r="D100" s="166" t="s">
        <v>241</v>
      </c>
      <c r="E100" s="173"/>
      <c r="F100" s="174"/>
      <c r="G100" s="165"/>
    </row>
    <row r="101" spans="2:7" s="167" customFormat="1" ht="15" customHeight="1" outlineLevel="2" x14ac:dyDescent="0.2">
      <c r="B101" s="60" t="s">
        <v>3716</v>
      </c>
      <c r="C101" s="506" t="s">
        <v>453</v>
      </c>
      <c r="D101" s="166" t="s">
        <v>241</v>
      </c>
      <c r="E101" s="173"/>
      <c r="F101" s="174"/>
      <c r="G101" s="165"/>
    </row>
    <row r="102" spans="2:7" s="167" customFormat="1" ht="15" customHeight="1" outlineLevel="2" x14ac:dyDescent="0.2">
      <c r="B102" s="60" t="s">
        <v>3717</v>
      </c>
      <c r="C102" s="506" t="s">
        <v>457</v>
      </c>
      <c r="D102" s="166" t="s">
        <v>241</v>
      </c>
      <c r="E102" s="173"/>
      <c r="F102" s="174"/>
      <c r="G102" s="165"/>
    </row>
    <row r="103" spans="2:7" s="167" customFormat="1" ht="15" customHeight="1" outlineLevel="2" x14ac:dyDescent="0.2">
      <c r="B103" s="60" t="s">
        <v>3718</v>
      </c>
      <c r="C103" s="506" t="s">
        <v>545</v>
      </c>
      <c r="D103" s="166" t="s">
        <v>241</v>
      </c>
      <c r="E103" s="173"/>
      <c r="F103" s="174"/>
      <c r="G103" s="165"/>
    </row>
    <row r="104" spans="2:7" s="167" customFormat="1" ht="15" customHeight="1" outlineLevel="2" x14ac:dyDescent="0.2">
      <c r="B104" s="60" t="s">
        <v>3719</v>
      </c>
      <c r="C104" s="506" t="s">
        <v>546</v>
      </c>
      <c r="D104" s="166" t="s">
        <v>241</v>
      </c>
      <c r="E104" s="173"/>
      <c r="F104" s="174"/>
      <c r="G104" s="165"/>
    </row>
    <row r="105" spans="2:7" s="167" customFormat="1" ht="15" customHeight="1" outlineLevel="2" x14ac:dyDescent="0.2">
      <c r="B105" s="60" t="s">
        <v>3720</v>
      </c>
      <c r="C105" s="506" t="s">
        <v>547</v>
      </c>
      <c r="D105" s="166" t="s">
        <v>241</v>
      </c>
      <c r="E105" s="173"/>
      <c r="F105" s="174"/>
      <c r="G105" s="165"/>
    </row>
    <row r="106" spans="2:7" s="167" customFormat="1" ht="15" customHeight="1" outlineLevel="2" x14ac:dyDescent="0.2">
      <c r="B106" s="60" t="s">
        <v>3721</v>
      </c>
      <c r="C106" s="506" t="s">
        <v>548</v>
      </c>
      <c r="D106" s="166" t="s">
        <v>241</v>
      </c>
      <c r="E106" s="173"/>
      <c r="F106" s="174"/>
      <c r="G106" s="165"/>
    </row>
    <row r="107" spans="2:7" s="167" customFormat="1" ht="15" customHeight="1" outlineLevel="2" x14ac:dyDescent="0.2">
      <c r="B107" s="60" t="s">
        <v>3722</v>
      </c>
      <c r="C107" s="506" t="s">
        <v>549</v>
      </c>
      <c r="D107" s="166" t="s">
        <v>241</v>
      </c>
      <c r="E107" s="173"/>
      <c r="F107" s="174"/>
      <c r="G107" s="165"/>
    </row>
    <row r="108" spans="2:7" s="167" customFormat="1" ht="15" customHeight="1" outlineLevel="2" x14ac:dyDescent="0.2">
      <c r="B108" s="60" t="s">
        <v>3723</v>
      </c>
      <c r="C108" s="506" t="s">
        <v>550</v>
      </c>
      <c r="D108" s="166" t="s">
        <v>241</v>
      </c>
      <c r="E108" s="173"/>
      <c r="F108" s="174"/>
      <c r="G108" s="165"/>
    </row>
    <row r="109" spans="2:7" s="167" customFormat="1" ht="15" customHeight="1" outlineLevel="2" x14ac:dyDescent="0.2">
      <c r="B109" s="60" t="s">
        <v>3724</v>
      </c>
      <c r="C109" s="506" t="s">
        <v>551</v>
      </c>
      <c r="D109" s="166" t="s">
        <v>241</v>
      </c>
      <c r="E109" s="173"/>
      <c r="F109" s="174"/>
      <c r="G109" s="165"/>
    </row>
    <row r="110" spans="2:7" s="167" customFormat="1" ht="15" customHeight="1" outlineLevel="2" x14ac:dyDescent="0.2">
      <c r="B110" s="60" t="s">
        <v>3725</v>
      </c>
      <c r="C110" s="506" t="s">
        <v>552</v>
      </c>
      <c r="D110" s="166" t="s">
        <v>241</v>
      </c>
      <c r="E110" s="173"/>
      <c r="F110" s="174"/>
      <c r="G110" s="165"/>
    </row>
    <row r="111" spans="2:7" s="167" customFormat="1" ht="15" customHeight="1" outlineLevel="2" x14ac:dyDescent="0.2">
      <c r="B111" s="60" t="s">
        <v>3726</v>
      </c>
      <c r="C111" s="506" t="s">
        <v>553</v>
      </c>
      <c r="D111" s="166" t="s">
        <v>241</v>
      </c>
      <c r="E111" s="173"/>
      <c r="F111" s="174"/>
      <c r="G111" s="165"/>
    </row>
    <row r="112" spans="2:7" s="167" customFormat="1" ht="15" customHeight="1" outlineLevel="2" x14ac:dyDescent="0.2">
      <c r="B112" s="60" t="s">
        <v>3727</v>
      </c>
      <c r="C112" s="506" t="s">
        <v>554</v>
      </c>
      <c r="D112" s="166" t="s">
        <v>241</v>
      </c>
      <c r="E112" s="173"/>
      <c r="F112" s="174"/>
      <c r="G112" s="165"/>
    </row>
    <row r="113" spans="2:7" s="167" customFormat="1" ht="15" customHeight="1" outlineLevel="2" x14ac:dyDescent="0.2">
      <c r="B113" s="60" t="s">
        <v>3728</v>
      </c>
      <c r="C113" s="506" t="s">
        <v>555</v>
      </c>
      <c r="D113" s="166" t="s">
        <v>241</v>
      </c>
      <c r="E113" s="173"/>
      <c r="F113" s="174"/>
      <c r="G113" s="165"/>
    </row>
    <row r="114" spans="2:7" s="167" customFormat="1" ht="15" customHeight="1" outlineLevel="2" x14ac:dyDescent="0.2">
      <c r="B114" s="60" t="s">
        <v>3729</v>
      </c>
      <c r="C114" s="506" t="s">
        <v>556</v>
      </c>
      <c r="D114" s="166" t="s">
        <v>241</v>
      </c>
      <c r="E114" s="173"/>
      <c r="F114" s="174"/>
      <c r="G114" s="165"/>
    </row>
    <row r="115" spans="2:7" s="167" customFormat="1" ht="15" customHeight="1" outlineLevel="2" x14ac:dyDescent="0.2">
      <c r="B115" s="60" t="s">
        <v>3730</v>
      </c>
      <c r="C115" s="506" t="s">
        <v>557</v>
      </c>
      <c r="D115" s="166" t="s">
        <v>241</v>
      </c>
      <c r="E115" s="173"/>
      <c r="F115" s="174"/>
      <c r="G115" s="165"/>
    </row>
    <row r="116" spans="2:7" s="167" customFormat="1" ht="15" customHeight="1" outlineLevel="2" x14ac:dyDescent="0.2">
      <c r="B116" s="60" t="s">
        <v>3731</v>
      </c>
      <c r="C116" s="506" t="s">
        <v>558</v>
      </c>
      <c r="D116" s="166" t="s">
        <v>241</v>
      </c>
      <c r="E116" s="173"/>
      <c r="F116" s="174"/>
      <c r="G116" s="165"/>
    </row>
    <row r="117" spans="2:7" s="167" customFormat="1" ht="15" customHeight="1" outlineLevel="2" x14ac:dyDescent="0.2">
      <c r="B117" s="60" t="s">
        <v>3732</v>
      </c>
      <c r="C117" s="506" t="s">
        <v>559</v>
      </c>
      <c r="D117" s="166" t="s">
        <v>241</v>
      </c>
      <c r="E117" s="173"/>
      <c r="F117" s="174"/>
      <c r="G117" s="165"/>
    </row>
    <row r="118" spans="2:7" s="167" customFormat="1" ht="15" customHeight="1" outlineLevel="2" x14ac:dyDescent="0.2">
      <c r="B118" s="60" t="s">
        <v>3733</v>
      </c>
      <c r="C118" s="506" t="s">
        <v>560</v>
      </c>
      <c r="D118" s="166" t="s">
        <v>241</v>
      </c>
      <c r="E118" s="173"/>
      <c r="F118" s="174"/>
      <c r="G118" s="165"/>
    </row>
    <row r="119" spans="2:7" s="167" customFormat="1" ht="15" customHeight="1" outlineLevel="2" x14ac:dyDescent="0.2">
      <c r="B119" s="60" t="s">
        <v>3734</v>
      </c>
      <c r="C119" s="506" t="s">
        <v>561</v>
      </c>
      <c r="D119" s="166" t="s">
        <v>241</v>
      </c>
      <c r="E119" s="173"/>
      <c r="F119" s="174"/>
      <c r="G119" s="165"/>
    </row>
    <row r="120" spans="2:7" s="138" customFormat="1" ht="15" customHeight="1" outlineLevel="1" x14ac:dyDescent="0.2">
      <c r="B120" s="60" t="s">
        <v>3735</v>
      </c>
      <c r="C120" s="505">
        <v>1.3</v>
      </c>
      <c r="D120" s="162" t="s">
        <v>307</v>
      </c>
      <c r="E120" s="636">
        <f>SUM(E121:E140)</f>
        <v>0</v>
      </c>
      <c r="F120" s="637">
        <f>SUM(F121:F140)</f>
        <v>0</v>
      </c>
    </row>
    <row r="121" spans="2:7" s="167" customFormat="1" ht="15" customHeight="1" outlineLevel="2" x14ac:dyDescent="0.2">
      <c r="B121" s="60" t="s">
        <v>3736</v>
      </c>
      <c r="C121" s="506" t="s">
        <v>2480</v>
      </c>
      <c r="D121" s="166" t="s">
        <v>242</v>
      </c>
      <c r="E121" s="173"/>
      <c r="F121" s="174"/>
      <c r="G121" s="165"/>
    </row>
    <row r="122" spans="2:7" s="167" customFormat="1" ht="15" customHeight="1" outlineLevel="2" x14ac:dyDescent="0.2">
      <c r="B122" s="60" t="s">
        <v>3737</v>
      </c>
      <c r="C122" s="506" t="s">
        <v>2481</v>
      </c>
      <c r="D122" s="166" t="s">
        <v>242</v>
      </c>
      <c r="E122" s="173"/>
      <c r="F122" s="174"/>
      <c r="G122" s="165"/>
    </row>
    <row r="123" spans="2:7" s="167" customFormat="1" ht="15" customHeight="1" outlineLevel="2" x14ac:dyDescent="0.2">
      <c r="B123" s="60" t="s">
        <v>3738</v>
      </c>
      <c r="C123" s="506" t="s">
        <v>2482</v>
      </c>
      <c r="D123" s="166" t="s">
        <v>242</v>
      </c>
      <c r="E123" s="173"/>
      <c r="F123" s="174"/>
      <c r="G123" s="165"/>
    </row>
    <row r="124" spans="2:7" s="167" customFormat="1" ht="15" customHeight="1" outlineLevel="2" x14ac:dyDescent="0.2">
      <c r="B124" s="60" t="s">
        <v>3739</v>
      </c>
      <c r="C124" s="506" t="s">
        <v>2483</v>
      </c>
      <c r="D124" s="166" t="s">
        <v>242</v>
      </c>
      <c r="E124" s="173"/>
      <c r="F124" s="174"/>
      <c r="G124" s="165"/>
    </row>
    <row r="125" spans="2:7" s="167" customFormat="1" ht="15" customHeight="1" outlineLevel="2" x14ac:dyDescent="0.2">
      <c r="B125" s="60" t="s">
        <v>3740</v>
      </c>
      <c r="C125" s="506" t="s">
        <v>2484</v>
      </c>
      <c r="D125" s="166" t="s">
        <v>242</v>
      </c>
      <c r="E125" s="173"/>
      <c r="F125" s="174"/>
      <c r="G125" s="165"/>
    </row>
    <row r="126" spans="2:7" s="167" customFormat="1" ht="15" customHeight="1" outlineLevel="2" x14ac:dyDescent="0.2">
      <c r="B126" s="60" t="s">
        <v>3741</v>
      </c>
      <c r="C126" s="506" t="s">
        <v>2485</v>
      </c>
      <c r="D126" s="166" t="s">
        <v>242</v>
      </c>
      <c r="E126" s="173"/>
      <c r="F126" s="174"/>
      <c r="G126" s="165"/>
    </row>
    <row r="127" spans="2:7" s="167" customFormat="1" ht="15" customHeight="1" outlineLevel="2" x14ac:dyDescent="0.2">
      <c r="B127" s="60" t="s">
        <v>3742</v>
      </c>
      <c r="C127" s="506" t="s">
        <v>2486</v>
      </c>
      <c r="D127" s="166" t="s">
        <v>242</v>
      </c>
      <c r="E127" s="173"/>
      <c r="F127" s="174"/>
      <c r="G127" s="165"/>
    </row>
    <row r="128" spans="2:7" s="167" customFormat="1" ht="15" customHeight="1" outlineLevel="2" x14ac:dyDescent="0.2">
      <c r="B128" s="60" t="s">
        <v>3743</v>
      </c>
      <c r="C128" s="506" t="s">
        <v>2487</v>
      </c>
      <c r="D128" s="166" t="s">
        <v>242</v>
      </c>
      <c r="E128" s="173"/>
      <c r="F128" s="174"/>
      <c r="G128" s="165"/>
    </row>
    <row r="129" spans="2:7" s="167" customFormat="1" ht="15" customHeight="1" outlineLevel="2" x14ac:dyDescent="0.2">
      <c r="B129" s="60" t="s">
        <v>3744</v>
      </c>
      <c r="C129" s="506" t="s">
        <v>2488</v>
      </c>
      <c r="D129" s="166" t="s">
        <v>242</v>
      </c>
      <c r="E129" s="173"/>
      <c r="F129" s="174"/>
      <c r="G129" s="165"/>
    </row>
    <row r="130" spans="2:7" s="167" customFormat="1" ht="15" customHeight="1" outlineLevel="2" x14ac:dyDescent="0.2">
      <c r="B130" s="60" t="s">
        <v>3745</v>
      </c>
      <c r="C130" s="506" t="s">
        <v>2489</v>
      </c>
      <c r="D130" s="166" t="s">
        <v>242</v>
      </c>
      <c r="E130" s="173"/>
      <c r="F130" s="174"/>
      <c r="G130" s="165"/>
    </row>
    <row r="131" spans="2:7" s="167" customFormat="1" ht="15" customHeight="1" outlineLevel="2" x14ac:dyDescent="0.2">
      <c r="B131" s="60" t="s">
        <v>3746</v>
      </c>
      <c r="C131" s="506" t="s">
        <v>2490</v>
      </c>
      <c r="D131" s="166" t="s">
        <v>242</v>
      </c>
      <c r="E131" s="173"/>
      <c r="F131" s="174"/>
      <c r="G131" s="165"/>
    </row>
    <row r="132" spans="2:7" s="167" customFormat="1" ht="15" customHeight="1" outlineLevel="2" x14ac:dyDescent="0.2">
      <c r="B132" s="60" t="s">
        <v>3747</v>
      </c>
      <c r="C132" s="506" t="s">
        <v>2491</v>
      </c>
      <c r="D132" s="166" t="s">
        <v>242</v>
      </c>
      <c r="E132" s="173"/>
      <c r="F132" s="174"/>
      <c r="G132" s="165"/>
    </row>
    <row r="133" spans="2:7" s="167" customFormat="1" ht="15" customHeight="1" outlineLevel="2" x14ac:dyDescent="0.2">
      <c r="B133" s="60" t="s">
        <v>3748</v>
      </c>
      <c r="C133" s="506" t="s">
        <v>2492</v>
      </c>
      <c r="D133" s="166" t="s">
        <v>242</v>
      </c>
      <c r="E133" s="173"/>
      <c r="F133" s="174"/>
      <c r="G133" s="165"/>
    </row>
    <row r="134" spans="2:7" s="167" customFormat="1" ht="15" customHeight="1" outlineLevel="2" x14ac:dyDescent="0.2">
      <c r="B134" s="60" t="s">
        <v>3749</v>
      </c>
      <c r="C134" s="506" t="s">
        <v>2493</v>
      </c>
      <c r="D134" s="166" t="s">
        <v>242</v>
      </c>
      <c r="E134" s="173"/>
      <c r="F134" s="174"/>
      <c r="G134" s="165"/>
    </row>
    <row r="135" spans="2:7" s="167" customFormat="1" ht="15" customHeight="1" outlineLevel="2" x14ac:dyDescent="0.2">
      <c r="B135" s="60" t="s">
        <v>3750</v>
      </c>
      <c r="C135" s="506" t="s">
        <v>2494</v>
      </c>
      <c r="D135" s="166" t="s">
        <v>242</v>
      </c>
      <c r="E135" s="173"/>
      <c r="F135" s="174"/>
      <c r="G135" s="165"/>
    </row>
    <row r="136" spans="2:7" s="167" customFormat="1" ht="15" customHeight="1" outlineLevel="2" x14ac:dyDescent="0.2">
      <c r="B136" s="60" t="s">
        <v>3751</v>
      </c>
      <c r="C136" s="506" t="s">
        <v>2495</v>
      </c>
      <c r="D136" s="166" t="s">
        <v>242</v>
      </c>
      <c r="E136" s="173"/>
      <c r="F136" s="174"/>
      <c r="G136" s="165"/>
    </row>
    <row r="137" spans="2:7" s="167" customFormat="1" ht="15" customHeight="1" outlineLevel="2" x14ac:dyDescent="0.2">
      <c r="B137" s="60" t="s">
        <v>3752</v>
      </c>
      <c r="C137" s="506" t="s">
        <v>2496</v>
      </c>
      <c r="D137" s="166" t="s">
        <v>242</v>
      </c>
      <c r="E137" s="173"/>
      <c r="F137" s="174"/>
      <c r="G137" s="165"/>
    </row>
    <row r="138" spans="2:7" s="167" customFormat="1" ht="15" customHeight="1" outlineLevel="2" x14ac:dyDescent="0.2">
      <c r="B138" s="60" t="s">
        <v>3753</v>
      </c>
      <c r="C138" s="506" t="s">
        <v>2497</v>
      </c>
      <c r="D138" s="166" t="s">
        <v>242</v>
      </c>
      <c r="E138" s="173"/>
      <c r="F138" s="174"/>
      <c r="G138" s="165"/>
    </row>
    <row r="139" spans="2:7" s="167" customFormat="1" ht="15" customHeight="1" outlineLevel="2" x14ac:dyDescent="0.2">
      <c r="B139" s="60" t="s">
        <v>3754</v>
      </c>
      <c r="C139" s="506" t="s">
        <v>2498</v>
      </c>
      <c r="D139" s="166" t="s">
        <v>242</v>
      </c>
      <c r="E139" s="173"/>
      <c r="F139" s="174"/>
      <c r="G139" s="165"/>
    </row>
    <row r="140" spans="2:7" s="167" customFormat="1" ht="15" customHeight="1" outlineLevel="2" x14ac:dyDescent="0.2">
      <c r="B140" s="60" t="s">
        <v>3755</v>
      </c>
      <c r="C140" s="506" t="s">
        <v>2499</v>
      </c>
      <c r="D140" s="166" t="s">
        <v>242</v>
      </c>
      <c r="E140" s="173"/>
      <c r="F140" s="174"/>
      <c r="G140" s="165"/>
    </row>
    <row r="141" spans="2:7" s="142" customFormat="1" ht="15" customHeight="1" x14ac:dyDescent="0.2">
      <c r="B141" s="60" t="s">
        <v>3756</v>
      </c>
      <c r="C141" s="397">
        <v>2</v>
      </c>
      <c r="D141" s="94" t="s">
        <v>4687</v>
      </c>
      <c r="E141" s="635">
        <f>E142+E163+E184</f>
        <v>0</v>
      </c>
      <c r="F141" s="638">
        <f>F142+F163+F184</f>
        <v>0</v>
      </c>
      <c r="G141" s="132"/>
    </row>
    <row r="142" spans="2:7" s="138" customFormat="1" ht="15" customHeight="1" outlineLevel="1" x14ac:dyDescent="0.2">
      <c r="B142" s="60" t="s">
        <v>3757</v>
      </c>
      <c r="C142" s="505">
        <v>2.1</v>
      </c>
      <c r="D142" s="162" t="s">
        <v>236</v>
      </c>
      <c r="E142" s="636">
        <f>SUM(E143:E162)</f>
        <v>0</v>
      </c>
      <c r="F142" s="637">
        <f>SUM(F143:F162)</f>
        <v>0</v>
      </c>
    </row>
    <row r="143" spans="2:7" s="167" customFormat="1" ht="15" customHeight="1" outlineLevel="2" x14ac:dyDescent="0.2">
      <c r="B143" s="60" t="s">
        <v>3758</v>
      </c>
      <c r="C143" s="506" t="s">
        <v>448</v>
      </c>
      <c r="D143" s="166" t="s">
        <v>239</v>
      </c>
      <c r="E143" s="173"/>
      <c r="F143" s="174"/>
      <c r="G143" s="165"/>
    </row>
    <row r="144" spans="2:7" s="167" customFormat="1" ht="15" customHeight="1" outlineLevel="2" x14ac:dyDescent="0.2">
      <c r="B144" s="60" t="s">
        <v>3759</v>
      </c>
      <c r="C144" s="506" t="s">
        <v>449</v>
      </c>
      <c r="D144" s="166" t="s">
        <v>239</v>
      </c>
      <c r="E144" s="173"/>
      <c r="F144" s="174"/>
      <c r="G144" s="165"/>
    </row>
    <row r="145" spans="2:7" s="167" customFormat="1" ht="15" customHeight="1" outlineLevel="2" x14ac:dyDescent="0.2">
      <c r="B145" s="60" t="s">
        <v>3760</v>
      </c>
      <c r="C145" s="506" t="s">
        <v>562</v>
      </c>
      <c r="D145" s="166" t="s">
        <v>239</v>
      </c>
      <c r="E145" s="173"/>
      <c r="F145" s="174"/>
      <c r="G145" s="165"/>
    </row>
    <row r="146" spans="2:7" s="167" customFormat="1" ht="15" customHeight="1" outlineLevel="2" x14ac:dyDescent="0.2">
      <c r="B146" s="60" t="s">
        <v>3761</v>
      </c>
      <c r="C146" s="506" t="s">
        <v>563</v>
      </c>
      <c r="D146" s="166" t="s">
        <v>239</v>
      </c>
      <c r="E146" s="173"/>
      <c r="F146" s="174"/>
      <c r="G146" s="165"/>
    </row>
    <row r="147" spans="2:7" s="167" customFormat="1" ht="15" customHeight="1" outlineLevel="2" x14ac:dyDescent="0.2">
      <c r="B147" s="60" t="s">
        <v>3762</v>
      </c>
      <c r="C147" s="506" t="s">
        <v>564</v>
      </c>
      <c r="D147" s="166" t="s">
        <v>239</v>
      </c>
      <c r="E147" s="173"/>
      <c r="F147" s="174"/>
      <c r="G147" s="165"/>
    </row>
    <row r="148" spans="2:7" s="167" customFormat="1" ht="15" customHeight="1" outlineLevel="2" x14ac:dyDescent="0.2">
      <c r="B148" s="60" t="s">
        <v>3763</v>
      </c>
      <c r="C148" s="506" t="s">
        <v>565</v>
      </c>
      <c r="D148" s="166" t="s">
        <v>239</v>
      </c>
      <c r="E148" s="173"/>
      <c r="F148" s="174"/>
      <c r="G148" s="165"/>
    </row>
    <row r="149" spans="2:7" s="167" customFormat="1" ht="15" customHeight="1" outlineLevel="2" x14ac:dyDescent="0.2">
      <c r="B149" s="60" t="s">
        <v>3764</v>
      </c>
      <c r="C149" s="506" t="s">
        <v>566</v>
      </c>
      <c r="D149" s="166" t="s">
        <v>239</v>
      </c>
      <c r="E149" s="173"/>
      <c r="F149" s="174"/>
      <c r="G149" s="165"/>
    </row>
    <row r="150" spans="2:7" s="167" customFormat="1" ht="15" customHeight="1" outlineLevel="2" x14ac:dyDescent="0.2">
      <c r="B150" s="60" t="s">
        <v>3765</v>
      </c>
      <c r="C150" s="506" t="s">
        <v>567</v>
      </c>
      <c r="D150" s="166" t="s">
        <v>239</v>
      </c>
      <c r="E150" s="173"/>
      <c r="F150" s="174"/>
      <c r="G150" s="165"/>
    </row>
    <row r="151" spans="2:7" s="167" customFormat="1" ht="15" customHeight="1" outlineLevel="2" x14ac:dyDescent="0.2">
      <c r="B151" s="60" t="s">
        <v>3766</v>
      </c>
      <c r="C151" s="506" t="s">
        <v>568</v>
      </c>
      <c r="D151" s="166" t="s">
        <v>239</v>
      </c>
      <c r="E151" s="173"/>
      <c r="F151" s="174"/>
      <c r="G151" s="165"/>
    </row>
    <row r="152" spans="2:7" s="167" customFormat="1" ht="15" customHeight="1" outlineLevel="2" x14ac:dyDescent="0.2">
      <c r="B152" s="60" t="s">
        <v>3767</v>
      </c>
      <c r="C152" s="506" t="s">
        <v>569</v>
      </c>
      <c r="D152" s="166" t="s">
        <v>239</v>
      </c>
      <c r="E152" s="173"/>
      <c r="F152" s="174"/>
      <c r="G152" s="165"/>
    </row>
    <row r="153" spans="2:7" s="167" customFormat="1" ht="15" customHeight="1" outlineLevel="2" x14ac:dyDescent="0.2">
      <c r="B153" s="60" t="s">
        <v>3768</v>
      </c>
      <c r="C153" s="506" t="s">
        <v>570</v>
      </c>
      <c r="D153" s="166" t="s">
        <v>239</v>
      </c>
      <c r="E153" s="173"/>
      <c r="F153" s="174"/>
      <c r="G153" s="165"/>
    </row>
    <row r="154" spans="2:7" s="167" customFormat="1" ht="15" customHeight="1" outlineLevel="2" x14ac:dyDescent="0.2">
      <c r="B154" s="60" t="s">
        <v>3769</v>
      </c>
      <c r="C154" s="506" t="s">
        <v>571</v>
      </c>
      <c r="D154" s="166" t="s">
        <v>239</v>
      </c>
      <c r="E154" s="173"/>
      <c r="F154" s="174"/>
      <c r="G154" s="165"/>
    </row>
    <row r="155" spans="2:7" s="167" customFormat="1" ht="15" customHeight="1" outlineLevel="2" x14ac:dyDescent="0.2">
      <c r="B155" s="60" t="s">
        <v>3770</v>
      </c>
      <c r="C155" s="506" t="s">
        <v>572</v>
      </c>
      <c r="D155" s="166" t="s">
        <v>239</v>
      </c>
      <c r="E155" s="173"/>
      <c r="F155" s="174"/>
      <c r="G155" s="165"/>
    </row>
    <row r="156" spans="2:7" s="167" customFormat="1" ht="15" customHeight="1" outlineLevel="2" x14ac:dyDescent="0.2">
      <c r="B156" s="60" t="s">
        <v>3771</v>
      </c>
      <c r="C156" s="506" t="s">
        <v>573</v>
      </c>
      <c r="D156" s="166" t="s">
        <v>239</v>
      </c>
      <c r="E156" s="173"/>
      <c r="F156" s="174"/>
      <c r="G156" s="165"/>
    </row>
    <row r="157" spans="2:7" s="167" customFormat="1" ht="15" customHeight="1" outlineLevel="2" x14ac:dyDescent="0.2">
      <c r="B157" s="60" t="s">
        <v>3772</v>
      </c>
      <c r="C157" s="506" t="s">
        <v>574</v>
      </c>
      <c r="D157" s="166" t="s">
        <v>239</v>
      </c>
      <c r="E157" s="173"/>
      <c r="F157" s="174"/>
      <c r="G157" s="165"/>
    </row>
    <row r="158" spans="2:7" s="167" customFormat="1" ht="15" customHeight="1" outlineLevel="2" x14ac:dyDescent="0.2">
      <c r="B158" s="60" t="s">
        <v>3773</v>
      </c>
      <c r="C158" s="506" t="s">
        <v>575</v>
      </c>
      <c r="D158" s="166" t="s">
        <v>239</v>
      </c>
      <c r="E158" s="173"/>
      <c r="F158" s="174"/>
      <c r="G158" s="165"/>
    </row>
    <row r="159" spans="2:7" s="167" customFormat="1" ht="15" customHeight="1" outlineLevel="2" x14ac:dyDescent="0.2">
      <c r="B159" s="60" t="s">
        <v>3774</v>
      </c>
      <c r="C159" s="506" t="s">
        <v>576</v>
      </c>
      <c r="D159" s="166" t="s">
        <v>239</v>
      </c>
      <c r="E159" s="173"/>
      <c r="F159" s="174"/>
      <c r="G159" s="165"/>
    </row>
    <row r="160" spans="2:7" s="167" customFormat="1" ht="15" customHeight="1" outlineLevel="2" x14ac:dyDescent="0.2">
      <c r="B160" s="60" t="s">
        <v>3775</v>
      </c>
      <c r="C160" s="506" t="s">
        <v>577</v>
      </c>
      <c r="D160" s="166" t="s">
        <v>239</v>
      </c>
      <c r="E160" s="173"/>
      <c r="F160" s="174"/>
      <c r="G160" s="165"/>
    </row>
    <row r="161" spans="2:7" s="167" customFormat="1" ht="15" customHeight="1" outlineLevel="2" x14ac:dyDescent="0.2">
      <c r="B161" s="60" t="s">
        <v>3776</v>
      </c>
      <c r="C161" s="506" t="s">
        <v>578</v>
      </c>
      <c r="D161" s="166" t="s">
        <v>239</v>
      </c>
      <c r="E161" s="173"/>
      <c r="F161" s="174"/>
      <c r="G161" s="165"/>
    </row>
    <row r="162" spans="2:7" s="167" customFormat="1" ht="15" customHeight="1" outlineLevel="2" x14ac:dyDescent="0.2">
      <c r="B162" s="60" t="s">
        <v>3777</v>
      </c>
      <c r="C162" s="506" t="s">
        <v>579</v>
      </c>
      <c r="D162" s="166" t="s">
        <v>239</v>
      </c>
      <c r="E162" s="173"/>
      <c r="F162" s="174"/>
      <c r="G162" s="165"/>
    </row>
    <row r="163" spans="2:7" s="138" customFormat="1" ht="15" customHeight="1" outlineLevel="1" x14ac:dyDescent="0.2">
      <c r="B163" s="60" t="s">
        <v>3778</v>
      </c>
      <c r="C163" s="505">
        <v>2.2000000000000002</v>
      </c>
      <c r="D163" s="162" t="s">
        <v>240</v>
      </c>
      <c r="E163" s="636">
        <f>SUM(E164:E183)</f>
        <v>0</v>
      </c>
      <c r="F163" s="637">
        <f>SUM(F164:F183)</f>
        <v>0</v>
      </c>
    </row>
    <row r="164" spans="2:7" s="167" customFormat="1" ht="15" customHeight="1" outlineLevel="2" x14ac:dyDescent="0.2">
      <c r="B164" s="60" t="s">
        <v>3779</v>
      </c>
      <c r="C164" s="506" t="s">
        <v>580</v>
      </c>
      <c r="D164" s="166" t="s">
        <v>241</v>
      </c>
      <c r="E164" s="173"/>
      <c r="F164" s="174"/>
      <c r="G164" s="165"/>
    </row>
    <row r="165" spans="2:7" s="167" customFormat="1" ht="15" customHeight="1" outlineLevel="2" x14ac:dyDescent="0.2">
      <c r="B165" s="60" t="s">
        <v>3780</v>
      </c>
      <c r="C165" s="506" t="s">
        <v>581</v>
      </c>
      <c r="D165" s="166" t="s">
        <v>241</v>
      </c>
      <c r="E165" s="173"/>
      <c r="F165" s="174"/>
      <c r="G165" s="165"/>
    </row>
    <row r="166" spans="2:7" s="167" customFormat="1" ht="15" customHeight="1" outlineLevel="2" x14ac:dyDescent="0.2">
      <c r="B166" s="60" t="s">
        <v>3781</v>
      </c>
      <c r="C166" s="506" t="s">
        <v>582</v>
      </c>
      <c r="D166" s="166" t="s">
        <v>241</v>
      </c>
      <c r="E166" s="173"/>
      <c r="F166" s="174"/>
      <c r="G166" s="165"/>
    </row>
    <row r="167" spans="2:7" s="167" customFormat="1" ht="15" customHeight="1" outlineLevel="2" x14ac:dyDescent="0.2">
      <c r="B167" s="60" t="s">
        <v>3782</v>
      </c>
      <c r="C167" s="506" t="s">
        <v>583</v>
      </c>
      <c r="D167" s="166" t="s">
        <v>241</v>
      </c>
      <c r="E167" s="173"/>
      <c r="F167" s="174"/>
      <c r="G167" s="165"/>
    </row>
    <row r="168" spans="2:7" s="167" customFormat="1" ht="15" customHeight="1" outlineLevel="2" x14ac:dyDescent="0.2">
      <c r="B168" s="60" t="s">
        <v>3783</v>
      </c>
      <c r="C168" s="506" t="s">
        <v>584</v>
      </c>
      <c r="D168" s="166" t="s">
        <v>241</v>
      </c>
      <c r="E168" s="173"/>
      <c r="F168" s="174"/>
      <c r="G168" s="165"/>
    </row>
    <row r="169" spans="2:7" s="167" customFormat="1" ht="15" customHeight="1" outlineLevel="2" x14ac:dyDescent="0.2">
      <c r="B169" s="60" t="s">
        <v>3784</v>
      </c>
      <c r="C169" s="506" t="s">
        <v>585</v>
      </c>
      <c r="D169" s="166" t="s">
        <v>241</v>
      </c>
      <c r="E169" s="173"/>
      <c r="F169" s="174"/>
      <c r="G169" s="165"/>
    </row>
    <row r="170" spans="2:7" s="167" customFormat="1" ht="15" customHeight="1" outlineLevel="2" x14ac:dyDescent="0.2">
      <c r="B170" s="60" t="s">
        <v>3785</v>
      </c>
      <c r="C170" s="506" t="s">
        <v>586</v>
      </c>
      <c r="D170" s="166" t="s">
        <v>241</v>
      </c>
      <c r="E170" s="173"/>
      <c r="F170" s="174"/>
      <c r="G170" s="165"/>
    </row>
    <row r="171" spans="2:7" s="167" customFormat="1" ht="15" customHeight="1" outlineLevel="2" x14ac:dyDescent="0.2">
      <c r="B171" s="60" t="s">
        <v>3786</v>
      </c>
      <c r="C171" s="506" t="s">
        <v>587</v>
      </c>
      <c r="D171" s="166" t="s">
        <v>241</v>
      </c>
      <c r="E171" s="173"/>
      <c r="F171" s="174"/>
      <c r="G171" s="165"/>
    </row>
    <row r="172" spans="2:7" s="167" customFormat="1" ht="15" customHeight="1" outlineLevel="2" x14ac:dyDescent="0.2">
      <c r="B172" s="60" t="s">
        <v>3787</v>
      </c>
      <c r="C172" s="506" t="s">
        <v>588</v>
      </c>
      <c r="D172" s="166" t="s">
        <v>241</v>
      </c>
      <c r="E172" s="173"/>
      <c r="F172" s="174"/>
      <c r="G172" s="165"/>
    </row>
    <row r="173" spans="2:7" s="167" customFormat="1" ht="15" customHeight="1" outlineLevel="2" x14ac:dyDescent="0.2">
      <c r="B173" s="60" t="s">
        <v>3788</v>
      </c>
      <c r="C173" s="506" t="s">
        <v>589</v>
      </c>
      <c r="D173" s="166" t="s">
        <v>241</v>
      </c>
      <c r="E173" s="173"/>
      <c r="F173" s="174"/>
      <c r="G173" s="165"/>
    </row>
    <row r="174" spans="2:7" s="167" customFormat="1" ht="15" customHeight="1" outlineLevel="2" x14ac:dyDescent="0.2">
      <c r="B174" s="60" t="s">
        <v>3789</v>
      </c>
      <c r="C174" s="506" t="s">
        <v>590</v>
      </c>
      <c r="D174" s="166" t="s">
        <v>241</v>
      </c>
      <c r="E174" s="173"/>
      <c r="F174" s="174"/>
      <c r="G174" s="165"/>
    </row>
    <row r="175" spans="2:7" s="167" customFormat="1" ht="15" customHeight="1" outlineLevel="2" x14ac:dyDescent="0.2">
      <c r="B175" s="60" t="s">
        <v>3790</v>
      </c>
      <c r="C175" s="506" t="s">
        <v>591</v>
      </c>
      <c r="D175" s="166" t="s">
        <v>241</v>
      </c>
      <c r="E175" s="173"/>
      <c r="F175" s="174"/>
      <c r="G175" s="165"/>
    </row>
    <row r="176" spans="2:7" s="167" customFormat="1" ht="15" customHeight="1" outlineLevel="2" x14ac:dyDescent="0.2">
      <c r="B176" s="60" t="s">
        <v>3791</v>
      </c>
      <c r="C176" s="506" t="s">
        <v>592</v>
      </c>
      <c r="D176" s="166" t="s">
        <v>241</v>
      </c>
      <c r="E176" s="173"/>
      <c r="F176" s="174"/>
      <c r="G176" s="165"/>
    </row>
    <row r="177" spans="2:7" s="167" customFormat="1" ht="15" customHeight="1" outlineLevel="2" x14ac:dyDescent="0.2">
      <c r="B177" s="60" t="s">
        <v>3792</v>
      </c>
      <c r="C177" s="506" t="s">
        <v>593</v>
      </c>
      <c r="D177" s="166" t="s">
        <v>241</v>
      </c>
      <c r="E177" s="173"/>
      <c r="F177" s="174"/>
      <c r="G177" s="165"/>
    </row>
    <row r="178" spans="2:7" s="167" customFormat="1" ht="15" customHeight="1" outlineLevel="2" x14ac:dyDescent="0.2">
      <c r="B178" s="60" t="s">
        <v>3793</v>
      </c>
      <c r="C178" s="506" t="s">
        <v>594</v>
      </c>
      <c r="D178" s="166" t="s">
        <v>241</v>
      </c>
      <c r="E178" s="173"/>
      <c r="F178" s="174"/>
      <c r="G178" s="165"/>
    </row>
    <row r="179" spans="2:7" s="167" customFormat="1" ht="15" customHeight="1" outlineLevel="2" x14ac:dyDescent="0.2">
      <c r="B179" s="60" t="s">
        <v>3794</v>
      </c>
      <c r="C179" s="506" t="s">
        <v>595</v>
      </c>
      <c r="D179" s="166" t="s">
        <v>241</v>
      </c>
      <c r="E179" s="173"/>
      <c r="F179" s="174"/>
      <c r="G179" s="165"/>
    </row>
    <row r="180" spans="2:7" s="167" customFormat="1" ht="15" customHeight="1" outlineLevel="2" x14ac:dyDescent="0.2">
      <c r="B180" s="60" t="s">
        <v>3795</v>
      </c>
      <c r="C180" s="506" t="s">
        <v>596</v>
      </c>
      <c r="D180" s="166" t="s">
        <v>241</v>
      </c>
      <c r="E180" s="173"/>
      <c r="F180" s="174"/>
      <c r="G180" s="165"/>
    </row>
    <row r="181" spans="2:7" s="167" customFormat="1" ht="15" customHeight="1" outlineLevel="2" x14ac:dyDescent="0.2">
      <c r="B181" s="60" t="s">
        <v>3796</v>
      </c>
      <c r="C181" s="506" t="s">
        <v>597</v>
      </c>
      <c r="D181" s="166" t="s">
        <v>241</v>
      </c>
      <c r="E181" s="173"/>
      <c r="F181" s="174"/>
      <c r="G181" s="165"/>
    </row>
    <row r="182" spans="2:7" s="167" customFormat="1" ht="15" customHeight="1" outlineLevel="2" x14ac:dyDescent="0.2">
      <c r="B182" s="60" t="s">
        <v>3797</v>
      </c>
      <c r="C182" s="506" t="s">
        <v>598</v>
      </c>
      <c r="D182" s="166" t="s">
        <v>241</v>
      </c>
      <c r="E182" s="173"/>
      <c r="F182" s="174"/>
      <c r="G182" s="165"/>
    </row>
    <row r="183" spans="2:7" s="167" customFormat="1" ht="15" customHeight="1" outlineLevel="2" x14ac:dyDescent="0.2">
      <c r="B183" s="60" t="s">
        <v>3798</v>
      </c>
      <c r="C183" s="506" t="s">
        <v>599</v>
      </c>
      <c r="D183" s="166" t="s">
        <v>241</v>
      </c>
      <c r="E183" s="173"/>
      <c r="F183" s="174"/>
      <c r="G183" s="165"/>
    </row>
    <row r="184" spans="2:7" s="138" customFormat="1" ht="15" customHeight="1" outlineLevel="1" x14ac:dyDescent="0.2">
      <c r="B184" s="60" t="s">
        <v>3799</v>
      </c>
      <c r="C184" s="505">
        <v>2.2999999999999998</v>
      </c>
      <c r="D184" s="162" t="s">
        <v>307</v>
      </c>
      <c r="E184" s="636">
        <f>SUM(E185:E204)</f>
        <v>0</v>
      </c>
      <c r="F184" s="637">
        <f>SUM(F185:F204)</f>
        <v>0</v>
      </c>
    </row>
    <row r="185" spans="2:7" s="167" customFormat="1" ht="15" customHeight="1" outlineLevel="2" x14ac:dyDescent="0.2">
      <c r="B185" s="60" t="s">
        <v>3800</v>
      </c>
      <c r="C185" s="506" t="s">
        <v>1604</v>
      </c>
      <c r="D185" s="166" t="s">
        <v>242</v>
      </c>
      <c r="E185" s="173"/>
      <c r="F185" s="174"/>
      <c r="G185" s="165"/>
    </row>
    <row r="186" spans="2:7" s="167" customFormat="1" ht="15" customHeight="1" outlineLevel="2" x14ac:dyDescent="0.2">
      <c r="B186" s="60" t="s">
        <v>3801</v>
      </c>
      <c r="C186" s="506" t="s">
        <v>1605</v>
      </c>
      <c r="D186" s="166" t="s">
        <v>242</v>
      </c>
      <c r="E186" s="173"/>
      <c r="F186" s="174"/>
      <c r="G186" s="165"/>
    </row>
    <row r="187" spans="2:7" s="167" customFormat="1" ht="15" customHeight="1" outlineLevel="2" x14ac:dyDescent="0.2">
      <c r="B187" s="60" t="s">
        <v>3802</v>
      </c>
      <c r="C187" s="506" t="s">
        <v>1606</v>
      </c>
      <c r="D187" s="166" t="s">
        <v>242</v>
      </c>
      <c r="E187" s="173"/>
      <c r="F187" s="174"/>
      <c r="G187" s="165"/>
    </row>
    <row r="188" spans="2:7" s="167" customFormat="1" ht="15" customHeight="1" outlineLevel="2" x14ac:dyDescent="0.2">
      <c r="B188" s="60" t="s">
        <v>3803</v>
      </c>
      <c r="C188" s="506" t="s">
        <v>1607</v>
      </c>
      <c r="D188" s="166" t="s">
        <v>242</v>
      </c>
      <c r="E188" s="173"/>
      <c r="F188" s="174"/>
      <c r="G188" s="165"/>
    </row>
    <row r="189" spans="2:7" s="167" customFormat="1" ht="15" customHeight="1" outlineLevel="2" x14ac:dyDescent="0.2">
      <c r="B189" s="60" t="s">
        <v>3804</v>
      </c>
      <c r="C189" s="506" t="s">
        <v>1608</v>
      </c>
      <c r="D189" s="166" t="s">
        <v>242</v>
      </c>
      <c r="E189" s="173"/>
      <c r="F189" s="174"/>
      <c r="G189" s="165"/>
    </row>
    <row r="190" spans="2:7" s="167" customFormat="1" ht="15" customHeight="1" outlineLevel="2" x14ac:dyDescent="0.2">
      <c r="B190" s="60" t="s">
        <v>3805</v>
      </c>
      <c r="C190" s="506" t="s">
        <v>1609</v>
      </c>
      <c r="D190" s="166" t="s">
        <v>242</v>
      </c>
      <c r="E190" s="173"/>
      <c r="F190" s="174"/>
      <c r="G190" s="165"/>
    </row>
    <row r="191" spans="2:7" s="167" customFormat="1" ht="15" customHeight="1" outlineLevel="2" x14ac:dyDescent="0.2">
      <c r="B191" s="60" t="s">
        <v>3806</v>
      </c>
      <c r="C191" s="506" t="s">
        <v>1610</v>
      </c>
      <c r="D191" s="166" t="s">
        <v>242</v>
      </c>
      <c r="E191" s="173"/>
      <c r="F191" s="174"/>
      <c r="G191" s="165"/>
    </row>
    <row r="192" spans="2:7" s="167" customFormat="1" ht="15" customHeight="1" outlineLevel="2" x14ac:dyDescent="0.2">
      <c r="B192" s="60" t="s">
        <v>3807</v>
      </c>
      <c r="C192" s="506" t="s">
        <v>1611</v>
      </c>
      <c r="D192" s="166" t="s">
        <v>242</v>
      </c>
      <c r="E192" s="173"/>
      <c r="F192" s="174"/>
      <c r="G192" s="165"/>
    </row>
    <row r="193" spans="2:7" s="167" customFormat="1" ht="15" customHeight="1" outlineLevel="2" x14ac:dyDescent="0.2">
      <c r="B193" s="60" t="s">
        <v>3808</v>
      </c>
      <c r="C193" s="506" t="s">
        <v>1612</v>
      </c>
      <c r="D193" s="166" t="s">
        <v>242</v>
      </c>
      <c r="E193" s="173"/>
      <c r="F193" s="174"/>
      <c r="G193" s="165"/>
    </row>
    <row r="194" spans="2:7" s="167" customFormat="1" ht="15" customHeight="1" outlineLevel="2" x14ac:dyDescent="0.2">
      <c r="B194" s="60" t="s">
        <v>3809</v>
      </c>
      <c r="C194" s="506" t="s">
        <v>1613</v>
      </c>
      <c r="D194" s="166" t="s">
        <v>242</v>
      </c>
      <c r="E194" s="173"/>
      <c r="F194" s="174"/>
      <c r="G194" s="165"/>
    </row>
    <row r="195" spans="2:7" s="167" customFormat="1" ht="15" customHeight="1" outlineLevel="2" x14ac:dyDescent="0.2">
      <c r="B195" s="60" t="s">
        <v>3810</v>
      </c>
      <c r="C195" s="506" t="s">
        <v>1614</v>
      </c>
      <c r="D195" s="166" t="s">
        <v>242</v>
      </c>
      <c r="E195" s="173"/>
      <c r="F195" s="174"/>
      <c r="G195" s="165"/>
    </row>
    <row r="196" spans="2:7" s="167" customFormat="1" ht="15" customHeight="1" outlineLevel="2" x14ac:dyDescent="0.2">
      <c r="B196" s="60" t="s">
        <v>3811</v>
      </c>
      <c r="C196" s="506" t="s">
        <v>1615</v>
      </c>
      <c r="D196" s="166" t="s">
        <v>242</v>
      </c>
      <c r="E196" s="173"/>
      <c r="F196" s="174"/>
      <c r="G196" s="165"/>
    </row>
    <row r="197" spans="2:7" s="167" customFormat="1" ht="15" customHeight="1" outlineLevel="2" x14ac:dyDescent="0.2">
      <c r="B197" s="60" t="s">
        <v>3812</v>
      </c>
      <c r="C197" s="506" t="s">
        <v>1616</v>
      </c>
      <c r="D197" s="166" t="s">
        <v>242</v>
      </c>
      <c r="E197" s="173"/>
      <c r="F197" s="174"/>
      <c r="G197" s="165"/>
    </row>
    <row r="198" spans="2:7" s="167" customFormat="1" ht="15" customHeight="1" outlineLevel="2" x14ac:dyDescent="0.2">
      <c r="B198" s="60" t="s">
        <v>3813</v>
      </c>
      <c r="C198" s="506" t="s">
        <v>1617</v>
      </c>
      <c r="D198" s="166" t="s">
        <v>242</v>
      </c>
      <c r="E198" s="173"/>
      <c r="F198" s="174"/>
      <c r="G198" s="165"/>
    </row>
    <row r="199" spans="2:7" s="167" customFormat="1" ht="15" customHeight="1" outlineLevel="2" x14ac:dyDescent="0.2">
      <c r="B199" s="60" t="s">
        <v>3814</v>
      </c>
      <c r="C199" s="506" t="s">
        <v>1618</v>
      </c>
      <c r="D199" s="166" t="s">
        <v>242</v>
      </c>
      <c r="E199" s="173"/>
      <c r="F199" s="174"/>
      <c r="G199" s="165"/>
    </row>
    <row r="200" spans="2:7" s="167" customFormat="1" ht="15" customHeight="1" outlineLevel="2" x14ac:dyDescent="0.2">
      <c r="B200" s="60" t="s">
        <v>3815</v>
      </c>
      <c r="C200" s="506" t="s">
        <v>1619</v>
      </c>
      <c r="D200" s="166" t="s">
        <v>242</v>
      </c>
      <c r="E200" s="173"/>
      <c r="F200" s="174"/>
      <c r="G200" s="165"/>
    </row>
    <row r="201" spans="2:7" s="167" customFormat="1" ht="15" customHeight="1" outlineLevel="2" x14ac:dyDescent="0.2">
      <c r="B201" s="60" t="s">
        <v>3816</v>
      </c>
      <c r="C201" s="506" t="s">
        <v>1620</v>
      </c>
      <c r="D201" s="166" t="s">
        <v>242</v>
      </c>
      <c r="E201" s="173"/>
      <c r="F201" s="174"/>
      <c r="G201" s="165"/>
    </row>
    <row r="202" spans="2:7" s="167" customFormat="1" ht="15" customHeight="1" outlineLevel="2" x14ac:dyDescent="0.2">
      <c r="B202" s="60" t="s">
        <v>3817</v>
      </c>
      <c r="C202" s="506" t="s">
        <v>1621</v>
      </c>
      <c r="D202" s="166" t="s">
        <v>242</v>
      </c>
      <c r="E202" s="173"/>
      <c r="F202" s="174"/>
      <c r="G202" s="165"/>
    </row>
    <row r="203" spans="2:7" s="167" customFormat="1" ht="15" customHeight="1" outlineLevel="2" x14ac:dyDescent="0.2">
      <c r="B203" s="60" t="s">
        <v>3818</v>
      </c>
      <c r="C203" s="506" t="s">
        <v>1622</v>
      </c>
      <c r="D203" s="166" t="s">
        <v>242</v>
      </c>
      <c r="E203" s="173"/>
      <c r="F203" s="174"/>
      <c r="G203" s="165"/>
    </row>
    <row r="204" spans="2:7" s="167" customFormat="1" ht="15" customHeight="1" outlineLevel="2" x14ac:dyDescent="0.2">
      <c r="B204" s="60" t="s">
        <v>3819</v>
      </c>
      <c r="C204" s="506" t="s">
        <v>1623</v>
      </c>
      <c r="D204" s="166" t="s">
        <v>242</v>
      </c>
      <c r="E204" s="173"/>
      <c r="F204" s="174"/>
      <c r="G204" s="165"/>
    </row>
    <row r="205" spans="2:7" s="142" customFormat="1" ht="15" customHeight="1" x14ac:dyDescent="0.2">
      <c r="B205" s="60" t="s">
        <v>3820</v>
      </c>
      <c r="C205" s="397">
        <v>3</v>
      </c>
      <c r="D205" s="94" t="s">
        <v>245</v>
      </c>
      <c r="E205" s="635">
        <f>SUM(E206:E255)</f>
        <v>0</v>
      </c>
      <c r="F205" s="638">
        <f>SUM(F206:F255)</f>
        <v>0</v>
      </c>
      <c r="G205" s="132"/>
    </row>
    <row r="206" spans="2:7" s="134" customFormat="1" ht="15" customHeight="1" outlineLevel="1" x14ac:dyDescent="0.2">
      <c r="B206" s="60" t="s">
        <v>3821</v>
      </c>
      <c r="C206" s="584">
        <v>3.1</v>
      </c>
      <c r="D206" s="162" t="s">
        <v>246</v>
      </c>
      <c r="E206" s="636"/>
      <c r="F206" s="637"/>
      <c r="G206" s="138"/>
    </row>
    <row r="207" spans="2:7" s="134" customFormat="1" ht="15" customHeight="1" outlineLevel="1" x14ac:dyDescent="0.2">
      <c r="B207" s="60" t="s">
        <v>3822</v>
      </c>
      <c r="C207" s="584">
        <v>3.2</v>
      </c>
      <c r="D207" s="162" t="s">
        <v>246</v>
      </c>
      <c r="E207" s="636"/>
      <c r="F207" s="637"/>
      <c r="G207" s="138"/>
    </row>
    <row r="208" spans="2:7" s="134" customFormat="1" ht="15" customHeight="1" outlineLevel="1" x14ac:dyDescent="0.2">
      <c r="B208" s="60" t="s">
        <v>3823</v>
      </c>
      <c r="C208" s="584">
        <v>3.3</v>
      </c>
      <c r="D208" s="162" t="s">
        <v>246</v>
      </c>
      <c r="E208" s="636"/>
      <c r="F208" s="637"/>
      <c r="G208" s="138"/>
    </row>
    <row r="209" spans="2:7" s="134" customFormat="1" ht="15" customHeight="1" outlineLevel="1" x14ac:dyDescent="0.2">
      <c r="B209" s="60" t="s">
        <v>3824</v>
      </c>
      <c r="C209" s="584">
        <v>3.4</v>
      </c>
      <c r="D209" s="162" t="s">
        <v>246</v>
      </c>
      <c r="E209" s="636"/>
      <c r="F209" s="637"/>
      <c r="G209" s="138"/>
    </row>
    <row r="210" spans="2:7" s="134" customFormat="1" ht="15" customHeight="1" outlineLevel="1" x14ac:dyDescent="0.2">
      <c r="B210" s="60" t="s">
        <v>3825</v>
      </c>
      <c r="C210" s="584">
        <v>3.5</v>
      </c>
      <c r="D210" s="162" t="s">
        <v>246</v>
      </c>
      <c r="E210" s="636"/>
      <c r="F210" s="637"/>
      <c r="G210" s="138"/>
    </row>
    <row r="211" spans="2:7" s="134" customFormat="1" ht="15" customHeight="1" outlineLevel="1" x14ac:dyDescent="0.2">
      <c r="B211" s="60" t="s">
        <v>3826</v>
      </c>
      <c r="C211" s="584">
        <v>3.6</v>
      </c>
      <c r="D211" s="162" t="s">
        <v>246</v>
      </c>
      <c r="E211" s="636"/>
      <c r="F211" s="637"/>
      <c r="G211" s="138"/>
    </row>
    <row r="212" spans="2:7" s="134" customFormat="1" ht="15" customHeight="1" outlineLevel="1" x14ac:dyDescent="0.2">
      <c r="B212" s="60" t="s">
        <v>3827</v>
      </c>
      <c r="C212" s="584">
        <v>3.7</v>
      </c>
      <c r="D212" s="162" t="s">
        <v>246</v>
      </c>
      <c r="E212" s="636"/>
      <c r="F212" s="637"/>
      <c r="G212" s="138"/>
    </row>
    <row r="213" spans="2:7" s="134" customFormat="1" ht="15" customHeight="1" outlineLevel="1" x14ac:dyDescent="0.2">
      <c r="B213" s="60" t="s">
        <v>3828</v>
      </c>
      <c r="C213" s="584">
        <v>3.8</v>
      </c>
      <c r="D213" s="162" t="s">
        <v>246</v>
      </c>
      <c r="E213" s="636"/>
      <c r="F213" s="637"/>
      <c r="G213" s="138"/>
    </row>
    <row r="214" spans="2:7" s="134" customFormat="1" ht="15" customHeight="1" outlineLevel="1" x14ac:dyDescent="0.2">
      <c r="B214" s="60" t="s">
        <v>3829</v>
      </c>
      <c r="C214" s="584">
        <v>3.9</v>
      </c>
      <c r="D214" s="162" t="s">
        <v>246</v>
      </c>
      <c r="E214" s="636"/>
      <c r="F214" s="637"/>
      <c r="G214" s="138"/>
    </row>
    <row r="215" spans="2:7" s="134" customFormat="1" ht="15" customHeight="1" outlineLevel="1" x14ac:dyDescent="0.2">
      <c r="B215" s="60" t="s">
        <v>3830</v>
      </c>
      <c r="C215" s="585">
        <v>3.1</v>
      </c>
      <c r="D215" s="162" t="s">
        <v>246</v>
      </c>
      <c r="E215" s="636"/>
      <c r="F215" s="637"/>
      <c r="G215" s="138"/>
    </row>
    <row r="216" spans="2:7" s="134" customFormat="1" ht="15" customHeight="1" outlineLevel="1" x14ac:dyDescent="0.2">
      <c r="B216" s="60" t="s">
        <v>3831</v>
      </c>
      <c r="C216" s="585">
        <v>3.11</v>
      </c>
      <c r="D216" s="162" t="s">
        <v>246</v>
      </c>
      <c r="E216" s="636"/>
      <c r="F216" s="637"/>
      <c r="G216" s="138"/>
    </row>
    <row r="217" spans="2:7" s="134" customFormat="1" ht="15" customHeight="1" outlineLevel="1" x14ac:dyDescent="0.2">
      <c r="B217" s="60" t="s">
        <v>3832</v>
      </c>
      <c r="C217" s="585">
        <v>3.12</v>
      </c>
      <c r="D217" s="162" t="s">
        <v>246</v>
      </c>
      <c r="E217" s="636"/>
      <c r="F217" s="637"/>
      <c r="G217" s="138"/>
    </row>
    <row r="218" spans="2:7" s="134" customFormat="1" ht="15" customHeight="1" outlineLevel="1" x14ac:dyDescent="0.2">
      <c r="B218" s="60" t="s">
        <v>3833</v>
      </c>
      <c r="C218" s="585">
        <v>3.13</v>
      </c>
      <c r="D218" s="162" t="s">
        <v>246</v>
      </c>
      <c r="E218" s="636"/>
      <c r="F218" s="637"/>
      <c r="G218" s="138"/>
    </row>
    <row r="219" spans="2:7" s="134" customFormat="1" ht="15" customHeight="1" outlineLevel="1" x14ac:dyDescent="0.2">
      <c r="B219" s="60" t="s">
        <v>3834</v>
      </c>
      <c r="C219" s="585">
        <v>3.14</v>
      </c>
      <c r="D219" s="162" t="s">
        <v>246</v>
      </c>
      <c r="E219" s="636"/>
      <c r="F219" s="637"/>
      <c r="G219" s="138"/>
    </row>
    <row r="220" spans="2:7" s="134" customFormat="1" ht="15" customHeight="1" outlineLevel="1" x14ac:dyDescent="0.2">
      <c r="B220" s="60" t="s">
        <v>3835</v>
      </c>
      <c r="C220" s="585">
        <v>3.15</v>
      </c>
      <c r="D220" s="162" t="s">
        <v>246</v>
      </c>
      <c r="E220" s="636"/>
      <c r="F220" s="637"/>
      <c r="G220" s="138"/>
    </row>
    <row r="221" spans="2:7" s="134" customFormat="1" ht="15" customHeight="1" outlineLevel="1" x14ac:dyDescent="0.2">
      <c r="B221" s="60" t="s">
        <v>3836</v>
      </c>
      <c r="C221" s="585">
        <v>3.16</v>
      </c>
      <c r="D221" s="162" t="s">
        <v>246</v>
      </c>
      <c r="E221" s="636"/>
      <c r="F221" s="637"/>
      <c r="G221" s="138"/>
    </row>
    <row r="222" spans="2:7" s="134" customFormat="1" ht="15" customHeight="1" outlineLevel="1" x14ac:dyDescent="0.2">
      <c r="B222" s="60" t="s">
        <v>3837</v>
      </c>
      <c r="C222" s="585">
        <v>3.17</v>
      </c>
      <c r="D222" s="162" t="s">
        <v>246</v>
      </c>
      <c r="E222" s="636"/>
      <c r="F222" s="637"/>
      <c r="G222" s="138"/>
    </row>
    <row r="223" spans="2:7" s="134" customFormat="1" ht="15" customHeight="1" outlineLevel="1" x14ac:dyDescent="0.2">
      <c r="B223" s="60" t="s">
        <v>3838</v>
      </c>
      <c r="C223" s="585">
        <v>3.18</v>
      </c>
      <c r="D223" s="162" t="s">
        <v>246</v>
      </c>
      <c r="E223" s="636"/>
      <c r="F223" s="637"/>
      <c r="G223" s="138"/>
    </row>
    <row r="224" spans="2:7" s="134" customFormat="1" ht="15" customHeight="1" outlineLevel="1" x14ac:dyDescent="0.2">
      <c r="B224" s="60" t="s">
        <v>3839</v>
      </c>
      <c r="C224" s="585">
        <v>3.19</v>
      </c>
      <c r="D224" s="162" t="s">
        <v>246</v>
      </c>
      <c r="E224" s="636"/>
      <c r="F224" s="637"/>
      <c r="G224" s="138"/>
    </row>
    <row r="225" spans="2:7" s="134" customFormat="1" ht="15" customHeight="1" outlineLevel="1" x14ac:dyDescent="0.2">
      <c r="B225" s="60" t="s">
        <v>3840</v>
      </c>
      <c r="C225" s="585">
        <v>3.2</v>
      </c>
      <c r="D225" s="162" t="s">
        <v>246</v>
      </c>
      <c r="E225" s="636"/>
      <c r="F225" s="637"/>
      <c r="G225" s="138"/>
    </row>
    <row r="226" spans="2:7" s="134" customFormat="1" ht="15" customHeight="1" outlineLevel="1" x14ac:dyDescent="0.2">
      <c r="B226" s="60" t="s">
        <v>3841</v>
      </c>
      <c r="C226" s="585">
        <v>3.21</v>
      </c>
      <c r="D226" s="162" t="s">
        <v>246</v>
      </c>
      <c r="E226" s="636"/>
      <c r="F226" s="637"/>
      <c r="G226" s="138"/>
    </row>
    <row r="227" spans="2:7" s="134" customFormat="1" ht="15" customHeight="1" outlineLevel="1" x14ac:dyDescent="0.2">
      <c r="B227" s="60" t="s">
        <v>3842</v>
      </c>
      <c r="C227" s="585">
        <v>3.22</v>
      </c>
      <c r="D227" s="162" t="s">
        <v>246</v>
      </c>
      <c r="E227" s="636"/>
      <c r="F227" s="637"/>
      <c r="G227" s="138"/>
    </row>
    <row r="228" spans="2:7" s="134" customFormat="1" ht="15" customHeight="1" outlineLevel="1" x14ac:dyDescent="0.2">
      <c r="B228" s="60" t="s">
        <v>3843</v>
      </c>
      <c r="C228" s="585">
        <v>3.23</v>
      </c>
      <c r="D228" s="162" t="s">
        <v>246</v>
      </c>
      <c r="E228" s="636"/>
      <c r="F228" s="637"/>
      <c r="G228" s="138"/>
    </row>
    <row r="229" spans="2:7" s="134" customFormat="1" ht="15" customHeight="1" outlineLevel="1" x14ac:dyDescent="0.2">
      <c r="B229" s="60" t="s">
        <v>3844</v>
      </c>
      <c r="C229" s="585">
        <v>3.24</v>
      </c>
      <c r="D229" s="162" t="s">
        <v>246</v>
      </c>
      <c r="E229" s="636"/>
      <c r="F229" s="637"/>
      <c r="G229" s="138"/>
    </row>
    <row r="230" spans="2:7" s="134" customFormat="1" ht="15" customHeight="1" outlineLevel="1" x14ac:dyDescent="0.2">
      <c r="B230" s="60" t="s">
        <v>3845</v>
      </c>
      <c r="C230" s="585">
        <v>3.25</v>
      </c>
      <c r="D230" s="162" t="s">
        <v>246</v>
      </c>
      <c r="E230" s="636"/>
      <c r="F230" s="637"/>
      <c r="G230" s="138"/>
    </row>
    <row r="231" spans="2:7" s="134" customFormat="1" ht="15" customHeight="1" outlineLevel="1" x14ac:dyDescent="0.2">
      <c r="B231" s="60" t="s">
        <v>3846</v>
      </c>
      <c r="C231" s="585">
        <v>3.26</v>
      </c>
      <c r="D231" s="162" t="s">
        <v>246</v>
      </c>
      <c r="E231" s="636"/>
      <c r="F231" s="637"/>
      <c r="G231" s="138"/>
    </row>
    <row r="232" spans="2:7" s="134" customFormat="1" ht="15" customHeight="1" outlineLevel="1" x14ac:dyDescent="0.2">
      <c r="B232" s="60" t="s">
        <v>3847</v>
      </c>
      <c r="C232" s="585">
        <v>3.27</v>
      </c>
      <c r="D232" s="162" t="s">
        <v>246</v>
      </c>
      <c r="E232" s="636"/>
      <c r="F232" s="637"/>
      <c r="G232" s="138"/>
    </row>
    <row r="233" spans="2:7" s="134" customFormat="1" ht="15" customHeight="1" outlineLevel="1" x14ac:dyDescent="0.2">
      <c r="B233" s="60" t="s">
        <v>3848</v>
      </c>
      <c r="C233" s="585">
        <v>3.28</v>
      </c>
      <c r="D233" s="162" t="s">
        <v>246</v>
      </c>
      <c r="E233" s="636"/>
      <c r="F233" s="637"/>
      <c r="G233" s="138"/>
    </row>
    <row r="234" spans="2:7" s="134" customFormat="1" ht="15" customHeight="1" outlineLevel="1" x14ac:dyDescent="0.2">
      <c r="B234" s="60" t="s">
        <v>3849</v>
      </c>
      <c r="C234" s="585">
        <v>3.29</v>
      </c>
      <c r="D234" s="162" t="s">
        <v>246</v>
      </c>
      <c r="E234" s="636"/>
      <c r="F234" s="637"/>
      <c r="G234" s="138"/>
    </row>
    <row r="235" spans="2:7" s="134" customFormat="1" ht="15" customHeight="1" outlineLevel="1" x14ac:dyDescent="0.2">
      <c r="B235" s="60" t="s">
        <v>3850</v>
      </c>
      <c r="C235" s="585">
        <v>3.3</v>
      </c>
      <c r="D235" s="162" t="s">
        <v>246</v>
      </c>
      <c r="E235" s="636"/>
      <c r="F235" s="637"/>
      <c r="G235" s="138"/>
    </row>
    <row r="236" spans="2:7" s="134" customFormat="1" ht="15" customHeight="1" outlineLevel="1" x14ac:dyDescent="0.2">
      <c r="B236" s="60" t="s">
        <v>3851</v>
      </c>
      <c r="C236" s="585">
        <v>3.31</v>
      </c>
      <c r="D236" s="162" t="s">
        <v>246</v>
      </c>
      <c r="E236" s="636"/>
      <c r="F236" s="637"/>
      <c r="G236" s="138"/>
    </row>
    <row r="237" spans="2:7" s="134" customFormat="1" ht="15" customHeight="1" outlineLevel="1" x14ac:dyDescent="0.2">
      <c r="B237" s="60" t="s">
        <v>3852</v>
      </c>
      <c r="C237" s="585">
        <v>3.3199999999999901</v>
      </c>
      <c r="D237" s="162" t="s">
        <v>246</v>
      </c>
      <c r="E237" s="636"/>
      <c r="F237" s="637"/>
      <c r="G237" s="138"/>
    </row>
    <row r="238" spans="2:7" s="134" customFormat="1" ht="15" customHeight="1" outlineLevel="1" x14ac:dyDescent="0.2">
      <c r="B238" s="60" t="s">
        <v>3853</v>
      </c>
      <c r="C238" s="585">
        <v>3.33</v>
      </c>
      <c r="D238" s="162" t="s">
        <v>246</v>
      </c>
      <c r="E238" s="636"/>
      <c r="F238" s="637"/>
      <c r="G238" s="138"/>
    </row>
    <row r="239" spans="2:7" s="134" customFormat="1" ht="15" customHeight="1" outlineLevel="1" x14ac:dyDescent="0.2">
      <c r="B239" s="60" t="s">
        <v>3854</v>
      </c>
      <c r="C239" s="585">
        <v>3.3399999999999901</v>
      </c>
      <c r="D239" s="162" t="s">
        <v>246</v>
      </c>
      <c r="E239" s="636"/>
      <c r="F239" s="637"/>
      <c r="G239" s="138"/>
    </row>
    <row r="240" spans="2:7" s="134" customFormat="1" ht="15" customHeight="1" outlineLevel="1" x14ac:dyDescent="0.2">
      <c r="B240" s="60" t="s">
        <v>3855</v>
      </c>
      <c r="C240" s="585">
        <v>3.35</v>
      </c>
      <c r="D240" s="162" t="s">
        <v>246</v>
      </c>
      <c r="E240" s="636"/>
      <c r="F240" s="637"/>
      <c r="G240" s="138"/>
    </row>
    <row r="241" spans="2:7" s="134" customFormat="1" ht="15" customHeight="1" outlineLevel="1" x14ac:dyDescent="0.2">
      <c r="B241" s="60" t="s">
        <v>3856</v>
      </c>
      <c r="C241" s="585">
        <v>3.3599999999999901</v>
      </c>
      <c r="D241" s="162" t="s">
        <v>246</v>
      </c>
      <c r="E241" s="636"/>
      <c r="F241" s="637"/>
      <c r="G241" s="138"/>
    </row>
    <row r="242" spans="2:7" s="134" customFormat="1" ht="15" customHeight="1" outlineLevel="1" x14ac:dyDescent="0.2">
      <c r="B242" s="60" t="s">
        <v>3857</v>
      </c>
      <c r="C242" s="585">
        <v>3.3699999999999899</v>
      </c>
      <c r="D242" s="162" t="s">
        <v>246</v>
      </c>
      <c r="E242" s="636"/>
      <c r="F242" s="637"/>
      <c r="G242" s="138"/>
    </row>
    <row r="243" spans="2:7" s="134" customFormat="1" ht="15" customHeight="1" outlineLevel="1" x14ac:dyDescent="0.2">
      <c r="B243" s="60" t="s">
        <v>3858</v>
      </c>
      <c r="C243" s="585">
        <v>3.3799999999999901</v>
      </c>
      <c r="D243" s="162" t="s">
        <v>246</v>
      </c>
      <c r="E243" s="636"/>
      <c r="F243" s="637"/>
      <c r="G243" s="138"/>
    </row>
    <row r="244" spans="2:7" s="134" customFormat="1" ht="15" customHeight="1" outlineLevel="1" x14ac:dyDescent="0.2">
      <c r="B244" s="60" t="s">
        <v>3859</v>
      </c>
      <c r="C244" s="585">
        <v>3.3899999999999899</v>
      </c>
      <c r="D244" s="162" t="s">
        <v>246</v>
      </c>
      <c r="E244" s="636"/>
      <c r="F244" s="637"/>
      <c r="G244" s="138"/>
    </row>
    <row r="245" spans="2:7" s="134" customFormat="1" ht="15" customHeight="1" outlineLevel="1" x14ac:dyDescent="0.2">
      <c r="B245" s="60" t="s">
        <v>3860</v>
      </c>
      <c r="C245" s="585">
        <v>3.3999999999999901</v>
      </c>
      <c r="D245" s="162" t="s">
        <v>246</v>
      </c>
      <c r="E245" s="636"/>
      <c r="F245" s="637"/>
      <c r="G245" s="138"/>
    </row>
    <row r="246" spans="2:7" s="134" customFormat="1" ht="15" customHeight="1" outlineLevel="1" x14ac:dyDescent="0.2">
      <c r="B246" s="60" t="s">
        <v>3861</v>
      </c>
      <c r="C246" s="585">
        <v>3.4099999999999899</v>
      </c>
      <c r="D246" s="162" t="s">
        <v>246</v>
      </c>
      <c r="E246" s="636"/>
      <c r="F246" s="637"/>
      <c r="G246" s="138"/>
    </row>
    <row r="247" spans="2:7" s="134" customFormat="1" ht="15" customHeight="1" outlineLevel="1" x14ac:dyDescent="0.2">
      <c r="B247" s="60" t="s">
        <v>3862</v>
      </c>
      <c r="C247" s="585">
        <v>3.4199999999999902</v>
      </c>
      <c r="D247" s="162" t="s">
        <v>246</v>
      </c>
      <c r="E247" s="636"/>
      <c r="F247" s="637"/>
      <c r="G247" s="138"/>
    </row>
    <row r="248" spans="2:7" s="134" customFormat="1" ht="15" customHeight="1" outlineLevel="1" x14ac:dyDescent="0.2">
      <c r="B248" s="60" t="s">
        <v>3863</v>
      </c>
      <c r="C248" s="585">
        <v>3.4299999999999899</v>
      </c>
      <c r="D248" s="162" t="s">
        <v>246</v>
      </c>
      <c r="E248" s="636"/>
      <c r="F248" s="637"/>
      <c r="G248" s="138"/>
    </row>
    <row r="249" spans="2:7" s="134" customFormat="1" ht="15" customHeight="1" outlineLevel="1" x14ac:dyDescent="0.2">
      <c r="B249" s="60" t="s">
        <v>3864</v>
      </c>
      <c r="C249" s="585">
        <v>3.4399999999999902</v>
      </c>
      <c r="D249" s="162" t="s">
        <v>246</v>
      </c>
      <c r="E249" s="636"/>
      <c r="F249" s="637"/>
      <c r="G249" s="138"/>
    </row>
    <row r="250" spans="2:7" s="134" customFormat="1" ht="15" customHeight="1" outlineLevel="1" x14ac:dyDescent="0.2">
      <c r="B250" s="60" t="s">
        <v>3865</v>
      </c>
      <c r="C250" s="585">
        <v>3.44999999999999</v>
      </c>
      <c r="D250" s="162" t="s">
        <v>246</v>
      </c>
      <c r="E250" s="636"/>
      <c r="F250" s="637"/>
      <c r="G250" s="138"/>
    </row>
    <row r="251" spans="2:7" s="134" customFormat="1" ht="15" customHeight="1" outlineLevel="1" x14ac:dyDescent="0.2">
      <c r="B251" s="60" t="s">
        <v>3866</v>
      </c>
      <c r="C251" s="585">
        <v>3.4599999999999902</v>
      </c>
      <c r="D251" s="162" t="s">
        <v>246</v>
      </c>
      <c r="E251" s="636"/>
      <c r="F251" s="637"/>
      <c r="G251" s="138"/>
    </row>
    <row r="252" spans="2:7" s="134" customFormat="1" ht="15" customHeight="1" outlineLevel="1" x14ac:dyDescent="0.2">
      <c r="B252" s="60" t="s">
        <v>3867</v>
      </c>
      <c r="C252" s="585">
        <v>3.46999999999999</v>
      </c>
      <c r="D252" s="162" t="s">
        <v>246</v>
      </c>
      <c r="E252" s="636"/>
      <c r="F252" s="637"/>
      <c r="G252" s="138"/>
    </row>
    <row r="253" spans="2:7" s="134" customFormat="1" ht="15" customHeight="1" outlineLevel="1" x14ac:dyDescent="0.2">
      <c r="B253" s="60" t="s">
        <v>3868</v>
      </c>
      <c r="C253" s="585">
        <v>3.4799999999999902</v>
      </c>
      <c r="D253" s="162" t="s">
        <v>246</v>
      </c>
      <c r="E253" s="636"/>
      <c r="F253" s="637"/>
      <c r="G253" s="138"/>
    </row>
    <row r="254" spans="2:7" s="134" customFormat="1" ht="15" customHeight="1" outlineLevel="1" x14ac:dyDescent="0.2">
      <c r="B254" s="60" t="s">
        <v>3869</v>
      </c>
      <c r="C254" s="585">
        <v>3.48999999999999</v>
      </c>
      <c r="D254" s="162" t="s">
        <v>246</v>
      </c>
      <c r="E254" s="636"/>
      <c r="F254" s="637"/>
      <c r="G254" s="138"/>
    </row>
    <row r="255" spans="2:7" s="134" customFormat="1" ht="15" customHeight="1" outlineLevel="1" x14ac:dyDescent="0.2">
      <c r="B255" s="60" t="s">
        <v>3870</v>
      </c>
      <c r="C255" s="585">
        <v>3.4999999999999898</v>
      </c>
      <c r="D255" s="162" t="s">
        <v>246</v>
      </c>
      <c r="E255" s="636"/>
      <c r="F255" s="637"/>
      <c r="G255" s="138"/>
    </row>
    <row r="256" spans="2:7" s="142" customFormat="1" ht="15" customHeight="1" x14ac:dyDescent="0.2">
      <c r="B256" s="60" t="s">
        <v>3871</v>
      </c>
      <c r="C256" s="397">
        <v>4</v>
      </c>
      <c r="D256" s="94" t="s">
        <v>248</v>
      </c>
      <c r="E256" s="635">
        <f>SUM(E257:E306)</f>
        <v>0</v>
      </c>
      <c r="F256" s="638">
        <f>SUM(F257:F306)</f>
        <v>0</v>
      </c>
      <c r="G256" s="132"/>
    </row>
    <row r="257" spans="2:7" s="134" customFormat="1" ht="15" customHeight="1" outlineLevel="1" x14ac:dyDescent="0.2">
      <c r="B257" s="60" t="s">
        <v>3872</v>
      </c>
      <c r="C257" s="499">
        <v>4.0999999999999996</v>
      </c>
      <c r="D257" s="147" t="s">
        <v>246</v>
      </c>
      <c r="E257" s="91"/>
      <c r="F257" s="92"/>
      <c r="G257" s="138"/>
    </row>
    <row r="258" spans="2:7" s="134" customFormat="1" ht="15" customHeight="1" outlineLevel="1" x14ac:dyDescent="0.2">
      <c r="B258" s="60" t="s">
        <v>3873</v>
      </c>
      <c r="C258" s="499">
        <v>4.2</v>
      </c>
      <c r="D258" s="147" t="s">
        <v>246</v>
      </c>
      <c r="E258" s="91"/>
      <c r="F258" s="92"/>
      <c r="G258" s="138"/>
    </row>
    <row r="259" spans="2:7" s="134" customFormat="1" ht="15" customHeight="1" outlineLevel="1" x14ac:dyDescent="0.2">
      <c r="B259" s="60" t="s">
        <v>3874</v>
      </c>
      <c r="C259" s="499">
        <v>4.3</v>
      </c>
      <c r="D259" s="147" t="s">
        <v>246</v>
      </c>
      <c r="E259" s="91"/>
      <c r="F259" s="92"/>
      <c r="G259" s="138"/>
    </row>
    <row r="260" spans="2:7" s="134" customFormat="1" ht="15" customHeight="1" outlineLevel="1" x14ac:dyDescent="0.2">
      <c r="B260" s="60" t="s">
        <v>3875</v>
      </c>
      <c r="C260" s="499">
        <v>4.4000000000000004</v>
      </c>
      <c r="D260" s="147" t="s">
        <v>246</v>
      </c>
      <c r="E260" s="91"/>
      <c r="F260" s="92"/>
      <c r="G260" s="138"/>
    </row>
    <row r="261" spans="2:7" s="134" customFormat="1" ht="15" customHeight="1" outlineLevel="1" x14ac:dyDescent="0.2">
      <c r="B261" s="60" t="s">
        <v>3876</v>
      </c>
      <c r="C261" s="499">
        <v>4.5</v>
      </c>
      <c r="D261" s="147" t="s">
        <v>246</v>
      </c>
      <c r="E261" s="91"/>
      <c r="F261" s="92"/>
      <c r="G261" s="138"/>
    </row>
    <row r="262" spans="2:7" s="134" customFormat="1" ht="15" customHeight="1" outlineLevel="1" x14ac:dyDescent="0.2">
      <c r="B262" s="60" t="s">
        <v>3877</v>
      </c>
      <c r="C262" s="499">
        <v>4.5999999999999996</v>
      </c>
      <c r="D262" s="147" t="s">
        <v>246</v>
      </c>
      <c r="E262" s="91"/>
      <c r="F262" s="92"/>
      <c r="G262" s="138"/>
    </row>
    <row r="263" spans="2:7" s="134" customFormat="1" ht="15" customHeight="1" outlineLevel="1" x14ac:dyDescent="0.2">
      <c r="B263" s="60" t="s">
        <v>3878</v>
      </c>
      <c r="C263" s="499">
        <v>4.7</v>
      </c>
      <c r="D263" s="147" t="s">
        <v>246</v>
      </c>
      <c r="E263" s="91"/>
      <c r="F263" s="92"/>
      <c r="G263" s="138"/>
    </row>
    <row r="264" spans="2:7" s="134" customFormat="1" ht="15" customHeight="1" outlineLevel="1" x14ac:dyDescent="0.2">
      <c r="B264" s="60" t="s">
        <v>3879</v>
      </c>
      <c r="C264" s="499">
        <v>4.8</v>
      </c>
      <c r="D264" s="147" t="s">
        <v>246</v>
      </c>
      <c r="E264" s="91"/>
      <c r="F264" s="92"/>
      <c r="G264" s="138"/>
    </row>
    <row r="265" spans="2:7" s="134" customFormat="1" ht="15" customHeight="1" outlineLevel="1" x14ac:dyDescent="0.2">
      <c r="B265" s="60" t="s">
        <v>3880</v>
      </c>
      <c r="C265" s="499">
        <v>4.9000000000000004</v>
      </c>
      <c r="D265" s="147" t="s">
        <v>246</v>
      </c>
      <c r="E265" s="91"/>
      <c r="F265" s="92"/>
      <c r="G265" s="138"/>
    </row>
    <row r="266" spans="2:7" s="134" customFormat="1" ht="15" customHeight="1" outlineLevel="1" x14ac:dyDescent="0.2">
      <c r="B266" s="60" t="s">
        <v>3881</v>
      </c>
      <c r="C266" s="585">
        <v>4.0999999999999996</v>
      </c>
      <c r="D266" s="147" t="s">
        <v>246</v>
      </c>
      <c r="E266" s="91"/>
      <c r="F266" s="92"/>
      <c r="G266" s="138"/>
    </row>
    <row r="267" spans="2:7" s="134" customFormat="1" ht="15" customHeight="1" outlineLevel="1" x14ac:dyDescent="0.2">
      <c r="B267" s="60" t="s">
        <v>3882</v>
      </c>
      <c r="C267" s="585">
        <v>4.1100000000000003</v>
      </c>
      <c r="D267" s="147" t="s">
        <v>246</v>
      </c>
      <c r="E267" s="91"/>
      <c r="F267" s="92"/>
      <c r="G267" s="138"/>
    </row>
    <row r="268" spans="2:7" s="134" customFormat="1" ht="15" customHeight="1" outlineLevel="1" x14ac:dyDescent="0.2">
      <c r="B268" s="60" t="s">
        <v>3883</v>
      </c>
      <c r="C268" s="585">
        <v>4.12</v>
      </c>
      <c r="D268" s="147" t="s">
        <v>246</v>
      </c>
      <c r="E268" s="91"/>
      <c r="F268" s="92"/>
      <c r="G268" s="138"/>
    </row>
    <row r="269" spans="2:7" s="134" customFormat="1" ht="15" customHeight="1" outlineLevel="1" x14ac:dyDescent="0.2">
      <c r="B269" s="60" t="s">
        <v>3884</v>
      </c>
      <c r="C269" s="585">
        <v>4.13</v>
      </c>
      <c r="D269" s="147" t="s">
        <v>246</v>
      </c>
      <c r="E269" s="91"/>
      <c r="F269" s="92"/>
      <c r="G269" s="138"/>
    </row>
    <row r="270" spans="2:7" s="134" customFormat="1" ht="15" customHeight="1" outlineLevel="1" x14ac:dyDescent="0.2">
      <c r="B270" s="60" t="s">
        <v>3885</v>
      </c>
      <c r="C270" s="585">
        <v>4.1399999999999997</v>
      </c>
      <c r="D270" s="147" t="s">
        <v>246</v>
      </c>
      <c r="E270" s="91"/>
      <c r="F270" s="92"/>
      <c r="G270" s="138"/>
    </row>
    <row r="271" spans="2:7" s="134" customFormat="1" ht="15" customHeight="1" outlineLevel="1" x14ac:dyDescent="0.2">
      <c r="B271" s="60" t="s">
        <v>3886</v>
      </c>
      <c r="C271" s="585">
        <v>4.1500000000000004</v>
      </c>
      <c r="D271" s="147" t="s">
        <v>246</v>
      </c>
      <c r="E271" s="91"/>
      <c r="F271" s="92"/>
      <c r="G271" s="138"/>
    </row>
    <row r="272" spans="2:7" s="134" customFormat="1" ht="15" customHeight="1" outlineLevel="1" x14ac:dyDescent="0.2">
      <c r="B272" s="60" t="s">
        <v>3887</v>
      </c>
      <c r="C272" s="585">
        <v>4.16</v>
      </c>
      <c r="D272" s="147" t="s">
        <v>246</v>
      </c>
      <c r="E272" s="91"/>
      <c r="F272" s="92"/>
      <c r="G272" s="138"/>
    </row>
    <row r="273" spans="2:7" s="134" customFormat="1" ht="15" customHeight="1" outlineLevel="1" x14ac:dyDescent="0.2">
      <c r="B273" s="60" t="s">
        <v>3888</v>
      </c>
      <c r="C273" s="585">
        <v>4.17</v>
      </c>
      <c r="D273" s="147" t="s">
        <v>246</v>
      </c>
      <c r="E273" s="91"/>
      <c r="F273" s="92"/>
      <c r="G273" s="138"/>
    </row>
    <row r="274" spans="2:7" s="134" customFormat="1" ht="15" customHeight="1" outlineLevel="1" x14ac:dyDescent="0.2">
      <c r="B274" s="60" t="s">
        <v>3889</v>
      </c>
      <c r="C274" s="585">
        <v>4.1800000000000104</v>
      </c>
      <c r="D274" s="147" t="s">
        <v>246</v>
      </c>
      <c r="E274" s="91"/>
      <c r="F274" s="92"/>
      <c r="G274" s="138"/>
    </row>
    <row r="275" spans="2:7" s="134" customFormat="1" ht="15" customHeight="1" outlineLevel="1" x14ac:dyDescent="0.2">
      <c r="B275" s="60" t="s">
        <v>3890</v>
      </c>
      <c r="C275" s="585">
        <v>4.1900000000000102</v>
      </c>
      <c r="D275" s="147" t="s">
        <v>246</v>
      </c>
      <c r="E275" s="91"/>
      <c r="F275" s="92"/>
      <c r="G275" s="138"/>
    </row>
    <row r="276" spans="2:7" s="134" customFormat="1" ht="15" customHeight="1" outlineLevel="1" x14ac:dyDescent="0.2">
      <c r="B276" s="60" t="s">
        <v>3891</v>
      </c>
      <c r="C276" s="585">
        <v>4.2000000000000099</v>
      </c>
      <c r="D276" s="147" t="s">
        <v>246</v>
      </c>
      <c r="E276" s="91"/>
      <c r="F276" s="92"/>
      <c r="G276" s="138"/>
    </row>
    <row r="277" spans="2:7" s="134" customFormat="1" ht="15" customHeight="1" outlineLevel="1" x14ac:dyDescent="0.2">
      <c r="B277" s="60" t="s">
        <v>3892</v>
      </c>
      <c r="C277" s="585">
        <v>4.2100000000000097</v>
      </c>
      <c r="D277" s="147" t="s">
        <v>246</v>
      </c>
      <c r="E277" s="91"/>
      <c r="F277" s="92"/>
      <c r="G277" s="138"/>
    </row>
    <row r="278" spans="2:7" s="134" customFormat="1" ht="15" customHeight="1" outlineLevel="1" x14ac:dyDescent="0.2">
      <c r="B278" s="60" t="s">
        <v>3893</v>
      </c>
      <c r="C278" s="585">
        <v>4.2200000000000104</v>
      </c>
      <c r="D278" s="147" t="s">
        <v>246</v>
      </c>
      <c r="E278" s="91"/>
      <c r="F278" s="92"/>
      <c r="G278" s="138"/>
    </row>
    <row r="279" spans="2:7" s="134" customFormat="1" ht="15" customHeight="1" outlineLevel="1" x14ac:dyDescent="0.2">
      <c r="B279" s="60" t="s">
        <v>3894</v>
      </c>
      <c r="C279" s="585">
        <v>4.2300000000000102</v>
      </c>
      <c r="D279" s="147" t="s">
        <v>246</v>
      </c>
      <c r="E279" s="91"/>
      <c r="F279" s="92"/>
      <c r="G279" s="138"/>
    </row>
    <row r="280" spans="2:7" s="134" customFormat="1" ht="15" customHeight="1" outlineLevel="1" x14ac:dyDescent="0.2">
      <c r="B280" s="60" t="s">
        <v>3895</v>
      </c>
      <c r="C280" s="585">
        <v>4.24000000000001</v>
      </c>
      <c r="D280" s="147" t="s">
        <v>246</v>
      </c>
      <c r="E280" s="91"/>
      <c r="F280" s="92"/>
      <c r="G280" s="138"/>
    </row>
    <row r="281" spans="2:7" s="134" customFormat="1" ht="15" customHeight="1" outlineLevel="1" x14ac:dyDescent="0.2">
      <c r="B281" s="60" t="s">
        <v>3896</v>
      </c>
      <c r="C281" s="585">
        <v>4.2500000000000098</v>
      </c>
      <c r="D281" s="147" t="s">
        <v>246</v>
      </c>
      <c r="E281" s="91"/>
      <c r="F281" s="92"/>
      <c r="G281" s="138"/>
    </row>
    <row r="282" spans="2:7" s="134" customFormat="1" ht="15" customHeight="1" outlineLevel="1" x14ac:dyDescent="0.2">
      <c r="B282" s="60" t="s">
        <v>3897</v>
      </c>
      <c r="C282" s="585">
        <v>4.2600000000000096</v>
      </c>
      <c r="D282" s="147" t="s">
        <v>246</v>
      </c>
      <c r="E282" s="91"/>
      <c r="F282" s="92"/>
      <c r="G282" s="138"/>
    </row>
    <row r="283" spans="2:7" s="134" customFormat="1" ht="15" customHeight="1" outlineLevel="1" x14ac:dyDescent="0.2">
      <c r="B283" s="60" t="s">
        <v>3898</v>
      </c>
      <c r="C283" s="585">
        <v>4.2700000000000102</v>
      </c>
      <c r="D283" s="147" t="s">
        <v>246</v>
      </c>
      <c r="E283" s="91"/>
      <c r="F283" s="92"/>
      <c r="G283" s="138"/>
    </row>
    <row r="284" spans="2:7" s="134" customFormat="1" ht="15" customHeight="1" outlineLevel="1" x14ac:dyDescent="0.2">
      <c r="B284" s="60" t="s">
        <v>3899</v>
      </c>
      <c r="C284" s="585">
        <v>4.28000000000001</v>
      </c>
      <c r="D284" s="147" t="s">
        <v>246</v>
      </c>
      <c r="E284" s="91"/>
      <c r="F284" s="92"/>
      <c r="G284" s="138"/>
    </row>
    <row r="285" spans="2:7" s="134" customFormat="1" ht="15" customHeight="1" outlineLevel="1" x14ac:dyDescent="0.2">
      <c r="B285" s="60" t="s">
        <v>3900</v>
      </c>
      <c r="C285" s="585">
        <v>4.2900000000000098</v>
      </c>
      <c r="D285" s="147" t="s">
        <v>246</v>
      </c>
      <c r="E285" s="91"/>
      <c r="F285" s="92"/>
      <c r="G285" s="138"/>
    </row>
    <row r="286" spans="2:7" s="134" customFormat="1" ht="15" customHeight="1" outlineLevel="1" x14ac:dyDescent="0.2">
      <c r="B286" s="60" t="s">
        <v>3901</v>
      </c>
      <c r="C286" s="585">
        <v>4.3000000000000096</v>
      </c>
      <c r="D286" s="147" t="s">
        <v>246</v>
      </c>
      <c r="E286" s="91"/>
      <c r="F286" s="92"/>
      <c r="G286" s="138"/>
    </row>
    <row r="287" spans="2:7" s="134" customFormat="1" ht="15" customHeight="1" outlineLevel="1" x14ac:dyDescent="0.2">
      <c r="B287" s="60" t="s">
        <v>3902</v>
      </c>
      <c r="C287" s="585">
        <v>4.3100000000000103</v>
      </c>
      <c r="D287" s="147" t="s">
        <v>246</v>
      </c>
      <c r="E287" s="91"/>
      <c r="F287" s="92"/>
      <c r="G287" s="138"/>
    </row>
    <row r="288" spans="2:7" s="134" customFormat="1" ht="15" customHeight="1" outlineLevel="1" x14ac:dyDescent="0.2">
      <c r="B288" s="60" t="s">
        <v>3903</v>
      </c>
      <c r="C288" s="585">
        <v>4.3200000000000101</v>
      </c>
      <c r="D288" s="147" t="s">
        <v>246</v>
      </c>
      <c r="E288" s="91"/>
      <c r="F288" s="92"/>
      <c r="G288" s="138"/>
    </row>
    <row r="289" spans="2:7" s="134" customFormat="1" ht="15" customHeight="1" outlineLevel="1" x14ac:dyDescent="0.2">
      <c r="B289" s="60" t="s">
        <v>3904</v>
      </c>
      <c r="C289" s="585">
        <v>4.3300000000000196</v>
      </c>
      <c r="D289" s="147" t="s">
        <v>246</v>
      </c>
      <c r="E289" s="91"/>
      <c r="F289" s="92"/>
      <c r="G289" s="138"/>
    </row>
    <row r="290" spans="2:7" s="134" customFormat="1" ht="15" customHeight="1" outlineLevel="1" x14ac:dyDescent="0.2">
      <c r="B290" s="60" t="s">
        <v>3905</v>
      </c>
      <c r="C290" s="585">
        <v>4.3400000000000203</v>
      </c>
      <c r="D290" s="147" t="s">
        <v>246</v>
      </c>
      <c r="E290" s="91"/>
      <c r="F290" s="92"/>
      <c r="G290" s="138"/>
    </row>
    <row r="291" spans="2:7" s="134" customFormat="1" ht="15" customHeight="1" outlineLevel="1" x14ac:dyDescent="0.2">
      <c r="B291" s="60" t="s">
        <v>3906</v>
      </c>
      <c r="C291" s="585">
        <v>4.3500000000000201</v>
      </c>
      <c r="D291" s="147" t="s">
        <v>246</v>
      </c>
      <c r="E291" s="91"/>
      <c r="F291" s="92"/>
      <c r="G291" s="138"/>
    </row>
    <row r="292" spans="2:7" s="134" customFormat="1" ht="15" customHeight="1" outlineLevel="1" x14ac:dyDescent="0.2">
      <c r="B292" s="60" t="s">
        <v>3907</v>
      </c>
      <c r="C292" s="585">
        <v>4.3600000000000199</v>
      </c>
      <c r="D292" s="147" t="s">
        <v>246</v>
      </c>
      <c r="E292" s="91"/>
      <c r="F292" s="92"/>
      <c r="G292" s="138"/>
    </row>
    <row r="293" spans="2:7" s="134" customFormat="1" ht="15" customHeight="1" outlineLevel="1" x14ac:dyDescent="0.2">
      <c r="B293" s="60" t="s">
        <v>3908</v>
      </c>
      <c r="C293" s="585">
        <v>4.3700000000000196</v>
      </c>
      <c r="D293" s="147" t="s">
        <v>246</v>
      </c>
      <c r="E293" s="91"/>
      <c r="F293" s="92"/>
      <c r="G293" s="138"/>
    </row>
    <row r="294" spans="2:7" s="134" customFormat="1" ht="15" customHeight="1" outlineLevel="1" x14ac:dyDescent="0.2">
      <c r="B294" s="60" t="s">
        <v>3909</v>
      </c>
      <c r="C294" s="585">
        <v>4.3800000000000203</v>
      </c>
      <c r="D294" s="147" t="s">
        <v>246</v>
      </c>
      <c r="E294" s="91"/>
      <c r="F294" s="92"/>
      <c r="G294" s="138"/>
    </row>
    <row r="295" spans="2:7" s="134" customFormat="1" ht="15" customHeight="1" outlineLevel="1" x14ac:dyDescent="0.2">
      <c r="B295" s="60" t="s">
        <v>3910</v>
      </c>
      <c r="C295" s="585">
        <v>4.3900000000000201</v>
      </c>
      <c r="D295" s="147" t="s">
        <v>246</v>
      </c>
      <c r="E295" s="91"/>
      <c r="F295" s="92"/>
      <c r="G295" s="138"/>
    </row>
    <row r="296" spans="2:7" s="134" customFormat="1" ht="15" customHeight="1" outlineLevel="1" x14ac:dyDescent="0.2">
      <c r="B296" s="60" t="s">
        <v>3911</v>
      </c>
      <c r="C296" s="585">
        <v>4.4000000000000199</v>
      </c>
      <c r="D296" s="147" t="s">
        <v>246</v>
      </c>
      <c r="E296" s="91"/>
      <c r="F296" s="92"/>
      <c r="G296" s="138"/>
    </row>
    <row r="297" spans="2:7" s="134" customFormat="1" ht="15" customHeight="1" outlineLevel="1" x14ac:dyDescent="0.2">
      <c r="B297" s="60" t="s">
        <v>3912</v>
      </c>
      <c r="C297" s="585">
        <v>4.4100000000000197</v>
      </c>
      <c r="D297" s="147" t="s">
        <v>246</v>
      </c>
      <c r="E297" s="91"/>
      <c r="F297" s="92"/>
      <c r="G297" s="138"/>
    </row>
    <row r="298" spans="2:7" s="134" customFormat="1" ht="15" customHeight="1" outlineLevel="1" x14ac:dyDescent="0.2">
      <c r="B298" s="60" t="s">
        <v>3913</v>
      </c>
      <c r="C298" s="585">
        <v>4.4200000000000204</v>
      </c>
      <c r="D298" s="147" t="s">
        <v>246</v>
      </c>
      <c r="E298" s="91"/>
      <c r="F298" s="92"/>
      <c r="G298" s="138"/>
    </row>
    <row r="299" spans="2:7" s="134" customFormat="1" ht="15" customHeight="1" outlineLevel="1" x14ac:dyDescent="0.2">
      <c r="B299" s="60" t="s">
        <v>3914</v>
      </c>
      <c r="C299" s="585">
        <v>4.4300000000000201</v>
      </c>
      <c r="D299" s="147" t="s">
        <v>246</v>
      </c>
      <c r="E299" s="91"/>
      <c r="F299" s="92"/>
      <c r="G299" s="138"/>
    </row>
    <row r="300" spans="2:7" s="134" customFormat="1" ht="15" customHeight="1" outlineLevel="1" x14ac:dyDescent="0.2">
      <c r="B300" s="60" t="s">
        <v>3915</v>
      </c>
      <c r="C300" s="585">
        <v>4.4400000000000199</v>
      </c>
      <c r="D300" s="147" t="s">
        <v>246</v>
      </c>
      <c r="E300" s="91"/>
      <c r="F300" s="92"/>
      <c r="G300" s="138"/>
    </row>
    <row r="301" spans="2:7" s="134" customFormat="1" ht="15" customHeight="1" outlineLevel="1" x14ac:dyDescent="0.2">
      <c r="B301" s="60" t="s">
        <v>3916</v>
      </c>
      <c r="C301" s="585">
        <v>4.4500000000000197</v>
      </c>
      <c r="D301" s="147" t="s">
        <v>246</v>
      </c>
      <c r="E301" s="91"/>
      <c r="F301" s="92"/>
      <c r="G301" s="138"/>
    </row>
    <row r="302" spans="2:7" s="134" customFormat="1" ht="15" customHeight="1" outlineLevel="1" x14ac:dyDescent="0.2">
      <c r="B302" s="60" t="s">
        <v>3917</v>
      </c>
      <c r="C302" s="585">
        <v>4.4600000000000204</v>
      </c>
      <c r="D302" s="147" t="s">
        <v>246</v>
      </c>
      <c r="E302" s="91"/>
      <c r="F302" s="92"/>
      <c r="G302" s="138"/>
    </row>
    <row r="303" spans="2:7" s="134" customFormat="1" ht="15" customHeight="1" outlineLevel="1" x14ac:dyDescent="0.2">
      <c r="B303" s="60" t="s">
        <v>3918</v>
      </c>
      <c r="C303" s="585">
        <v>4.4700000000000202</v>
      </c>
      <c r="D303" s="147" t="s">
        <v>246</v>
      </c>
      <c r="E303" s="91"/>
      <c r="F303" s="92"/>
      <c r="G303" s="138"/>
    </row>
    <row r="304" spans="2:7" s="134" customFormat="1" ht="15" customHeight="1" outlineLevel="1" x14ac:dyDescent="0.2">
      <c r="B304" s="60" t="s">
        <v>3919</v>
      </c>
      <c r="C304" s="585">
        <v>4.4800000000000297</v>
      </c>
      <c r="D304" s="147" t="s">
        <v>246</v>
      </c>
      <c r="E304" s="91"/>
      <c r="F304" s="92"/>
      <c r="G304" s="138"/>
    </row>
    <row r="305" spans="2:7" s="134" customFormat="1" ht="15" customHeight="1" outlineLevel="1" x14ac:dyDescent="0.2">
      <c r="B305" s="60" t="s">
        <v>3920</v>
      </c>
      <c r="C305" s="585">
        <v>4.4900000000000304</v>
      </c>
      <c r="D305" s="147" t="s">
        <v>246</v>
      </c>
      <c r="E305" s="91"/>
      <c r="F305" s="92"/>
      <c r="G305" s="138"/>
    </row>
    <row r="306" spans="2:7" s="134" customFormat="1" ht="15" customHeight="1" outlineLevel="1" x14ac:dyDescent="0.2">
      <c r="B306" s="60" t="s">
        <v>3921</v>
      </c>
      <c r="C306" s="585">
        <v>4.5000000000000302</v>
      </c>
      <c r="D306" s="147" t="s">
        <v>246</v>
      </c>
      <c r="E306" s="91"/>
      <c r="F306" s="92"/>
      <c r="G306" s="138"/>
    </row>
    <row r="307" spans="2:7" s="142" customFormat="1" ht="15" customHeight="1" thickBot="1" x14ac:dyDescent="0.25">
      <c r="B307" s="491" t="s">
        <v>3922</v>
      </c>
      <c r="C307" s="891" t="s">
        <v>2846</v>
      </c>
      <c r="D307" s="892"/>
      <c r="E307" s="241">
        <f>E77+E141+E205+E256</f>
        <v>0</v>
      </c>
      <c r="F307" s="242">
        <f>F77+F141+F205+F256</f>
        <v>0</v>
      </c>
      <c r="G307" s="143"/>
    </row>
    <row r="308" spans="2:7" s="134" customFormat="1" ht="15" customHeight="1" x14ac:dyDescent="0.2">
      <c r="G308" s="138"/>
    </row>
    <row r="309" spans="2:7" s="134" customFormat="1" ht="15" customHeight="1" x14ac:dyDescent="0.2">
      <c r="G309" s="138"/>
    </row>
    <row r="310" spans="2:7" s="134" customFormat="1" x14ac:dyDescent="0.3">
      <c r="C310" s="782"/>
      <c r="D310" s="782"/>
      <c r="E310" s="782"/>
      <c r="F310" s="782"/>
    </row>
    <row r="311" spans="2:7" s="134" customFormat="1" x14ac:dyDescent="0.2">
      <c r="C311" s="785"/>
      <c r="D311" s="785"/>
      <c r="E311" s="785"/>
      <c r="F311" s="785"/>
    </row>
    <row r="312" spans="2:7" s="134" customFormat="1" x14ac:dyDescent="0.3">
      <c r="C312" s="782"/>
      <c r="D312" s="782"/>
      <c r="E312" s="782"/>
      <c r="F312" s="782"/>
    </row>
    <row r="313" spans="2:7" s="134" customFormat="1" x14ac:dyDescent="0.2">
      <c r="C313" s="785"/>
      <c r="D313" s="785"/>
      <c r="E313" s="785"/>
      <c r="F313" s="785"/>
    </row>
    <row r="314" spans="2:7" s="134" customFormat="1" x14ac:dyDescent="0.3">
      <c r="C314" s="782"/>
      <c r="D314" s="782"/>
      <c r="E314" s="782"/>
      <c r="F314" s="782"/>
    </row>
    <row r="315" spans="2:7" s="134" customFormat="1" x14ac:dyDescent="0.2">
      <c r="C315" s="785"/>
      <c r="D315" s="785"/>
      <c r="E315" s="785"/>
      <c r="F315" s="785"/>
    </row>
  </sheetData>
  <mergeCells count="15">
    <mergeCell ref="C314:F314"/>
    <mergeCell ref="C315:F315"/>
    <mergeCell ref="E1:F1"/>
    <mergeCell ref="E5:F5"/>
    <mergeCell ref="C73:D73"/>
    <mergeCell ref="C75:F75"/>
    <mergeCell ref="C8:F8"/>
    <mergeCell ref="B2:F2"/>
    <mergeCell ref="B1:C1"/>
    <mergeCell ref="D4:F4"/>
    <mergeCell ref="C307:D307"/>
    <mergeCell ref="C310:F310"/>
    <mergeCell ref="C311:F311"/>
    <mergeCell ref="C312:F312"/>
    <mergeCell ref="C313:F313"/>
  </mergeCells>
  <phoneticPr fontId="14" type="noConversion"/>
  <printOptions horizontalCentered="1"/>
  <pageMargins left="0.17" right="0.17" top="0.26" bottom="0.2" header="0.17" footer="0.17"/>
  <pageSetup scale="86" orientation="portrait" horizontalDpi="300" verticalDpi="300" r:id="rId1"/>
  <ignoredErrors>
    <ignoredError sqref="B10:B307"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B1:F49"/>
  <sheetViews>
    <sheetView showGridLines="0" zoomScale="90" zoomScaleNormal="90" workbookViewId="0">
      <pane ySplit="6" topLeftCell="A7" activePane="bottomLeft" state="frozen"/>
      <selection activeCell="C120" sqref="C120"/>
      <selection pane="bottomLeft" activeCell="I33" sqref="I33"/>
    </sheetView>
  </sheetViews>
  <sheetFormatPr defaultColWidth="9.140625" defaultRowHeight="15" x14ac:dyDescent="0.3"/>
  <cols>
    <col min="1" max="1" width="2" style="5" customWidth="1"/>
    <col min="2" max="2" width="11" style="5" customWidth="1"/>
    <col min="3" max="3" width="6" style="5" customWidth="1"/>
    <col min="4" max="4" width="59" style="5" customWidth="1"/>
    <col min="5" max="6" width="16.140625" style="5" customWidth="1"/>
    <col min="7" max="16384" width="9.140625" style="5"/>
  </cols>
  <sheetData>
    <row r="1" spans="2:6" s="4" customFormat="1" x14ac:dyDescent="0.3">
      <c r="B1" s="831" t="s">
        <v>315</v>
      </c>
      <c r="C1" s="831"/>
      <c r="D1" s="52"/>
      <c r="E1" s="791" t="s">
        <v>1241</v>
      </c>
      <c r="F1" s="791"/>
    </row>
    <row r="2" spans="2:6" x14ac:dyDescent="0.3">
      <c r="B2" s="874" t="s">
        <v>4688</v>
      </c>
      <c r="C2" s="874"/>
      <c r="D2" s="874"/>
      <c r="E2" s="874"/>
      <c r="F2" s="874"/>
    </row>
    <row r="3" spans="2:6" x14ac:dyDescent="0.3">
      <c r="C3" s="6"/>
      <c r="E3" s="10"/>
    </row>
    <row r="4" spans="2:6" s="187" customFormat="1" ht="18" x14ac:dyDescent="0.35">
      <c r="B4" s="286"/>
      <c r="C4" s="815" t="s">
        <v>139</v>
      </c>
      <c r="D4" s="815"/>
      <c r="E4" s="815"/>
      <c r="F4" s="815"/>
    </row>
    <row r="5" spans="2:6" ht="15.75" thickBot="1" x14ac:dyDescent="0.35">
      <c r="D5" s="14"/>
      <c r="E5" s="802" t="s">
        <v>323</v>
      </c>
      <c r="F5" s="802"/>
    </row>
    <row r="6" spans="2:6" s="80" customFormat="1" ht="45" customHeight="1" thickBot="1" x14ac:dyDescent="0.25">
      <c r="B6" s="481" t="s">
        <v>4627</v>
      </c>
      <c r="C6" s="492" t="s">
        <v>1211</v>
      </c>
      <c r="D6" s="492"/>
      <c r="E6" s="416" t="s">
        <v>322</v>
      </c>
      <c r="F6" s="417" t="s">
        <v>333</v>
      </c>
    </row>
    <row r="7" spans="2:6" s="4" customFormat="1" ht="9" customHeight="1" x14ac:dyDescent="0.3">
      <c r="C7" s="12"/>
      <c r="D7" s="79"/>
      <c r="E7" s="53"/>
      <c r="F7" s="53"/>
    </row>
    <row r="8" spans="2:6" s="4" customFormat="1" ht="15" customHeight="1" x14ac:dyDescent="0.3">
      <c r="C8" s="834" t="s">
        <v>74</v>
      </c>
      <c r="D8" s="834"/>
      <c r="E8" s="834"/>
      <c r="F8" s="834"/>
    </row>
    <row r="9" spans="2:6" s="4" customFormat="1" ht="9" customHeight="1" thickBot="1" x14ac:dyDescent="0.35">
      <c r="C9" s="12"/>
      <c r="D9" s="79"/>
      <c r="E9" s="53"/>
      <c r="F9" s="53"/>
    </row>
    <row r="10" spans="2:6" s="10" customFormat="1" x14ac:dyDescent="0.3">
      <c r="B10" s="418"/>
      <c r="C10" s="895" t="s">
        <v>75</v>
      </c>
      <c r="D10" s="895"/>
      <c r="E10" s="895"/>
      <c r="F10" s="896"/>
    </row>
    <row r="11" spans="2:6" x14ac:dyDescent="0.3">
      <c r="B11" s="60" t="s">
        <v>3628</v>
      </c>
      <c r="C11" s="902">
        <v>1</v>
      </c>
      <c r="D11" s="219" t="s">
        <v>104</v>
      </c>
      <c r="E11" s="71"/>
      <c r="F11" s="74"/>
    </row>
    <row r="12" spans="2:6" x14ac:dyDescent="0.3">
      <c r="B12" s="60" t="s">
        <v>3629</v>
      </c>
      <c r="C12" s="903"/>
      <c r="D12" s="219" t="s">
        <v>74</v>
      </c>
      <c r="E12" s="71"/>
      <c r="F12" s="74"/>
    </row>
    <row r="13" spans="2:6" x14ac:dyDescent="0.3">
      <c r="B13" s="60" t="s">
        <v>3630</v>
      </c>
      <c r="C13" s="904"/>
      <c r="D13" s="219" t="s">
        <v>70</v>
      </c>
      <c r="E13" s="71"/>
      <c r="F13" s="74"/>
    </row>
    <row r="14" spans="2:6" x14ac:dyDescent="0.3">
      <c r="B14" s="60"/>
      <c r="C14" s="897" t="s">
        <v>4646</v>
      </c>
      <c r="D14" s="898"/>
      <c r="E14" s="898"/>
      <c r="F14" s="899"/>
    </row>
    <row r="15" spans="2:6" x14ac:dyDescent="0.3">
      <c r="B15" s="60" t="s">
        <v>3631</v>
      </c>
      <c r="C15" s="902">
        <v>2</v>
      </c>
      <c r="D15" s="219" t="s">
        <v>104</v>
      </c>
      <c r="E15" s="71"/>
      <c r="F15" s="74"/>
    </row>
    <row r="16" spans="2:6" x14ac:dyDescent="0.3">
      <c r="B16" s="60" t="s">
        <v>3632</v>
      </c>
      <c r="C16" s="903"/>
      <c r="D16" s="219" t="s">
        <v>74</v>
      </c>
      <c r="E16" s="71"/>
      <c r="F16" s="74"/>
    </row>
    <row r="17" spans="2:6" x14ac:dyDescent="0.3">
      <c r="B17" s="60" t="s">
        <v>3633</v>
      </c>
      <c r="C17" s="904"/>
      <c r="D17" s="219" t="s">
        <v>70</v>
      </c>
      <c r="E17" s="71"/>
      <c r="F17" s="74"/>
    </row>
    <row r="18" spans="2:6" x14ac:dyDescent="0.3">
      <c r="B18" s="60"/>
      <c r="C18" s="900" t="s">
        <v>71</v>
      </c>
      <c r="D18" s="900"/>
      <c r="E18" s="900"/>
      <c r="F18" s="901"/>
    </row>
    <row r="19" spans="2:6" x14ac:dyDescent="0.3">
      <c r="B19" s="60" t="s">
        <v>3634</v>
      </c>
      <c r="C19" s="902">
        <v>3</v>
      </c>
      <c r="D19" s="219" t="s">
        <v>104</v>
      </c>
      <c r="E19" s="71"/>
      <c r="F19" s="74"/>
    </row>
    <row r="20" spans="2:6" x14ac:dyDescent="0.3">
      <c r="B20" s="60" t="s">
        <v>3635</v>
      </c>
      <c r="C20" s="903"/>
      <c r="D20" s="219" t="s">
        <v>74</v>
      </c>
      <c r="E20" s="71"/>
      <c r="F20" s="74"/>
    </row>
    <row r="21" spans="2:6" x14ac:dyDescent="0.3">
      <c r="B21" s="60" t="s">
        <v>3636</v>
      </c>
      <c r="C21" s="904"/>
      <c r="D21" s="219" t="s">
        <v>70</v>
      </c>
      <c r="E21" s="71"/>
      <c r="F21" s="74"/>
    </row>
    <row r="22" spans="2:6" s="6" customFormat="1" ht="15.75" thickBot="1" x14ac:dyDescent="0.35">
      <c r="B22" s="491" t="s">
        <v>3637</v>
      </c>
      <c r="C22" s="893" t="s">
        <v>76</v>
      </c>
      <c r="D22" s="894"/>
      <c r="E22" s="243">
        <f>E12+E16+E20</f>
        <v>0</v>
      </c>
      <c r="F22" s="244">
        <f>F12+F16+F20</f>
        <v>0</v>
      </c>
    </row>
    <row r="23" spans="2:6" ht="9" customHeight="1" x14ac:dyDescent="0.3">
      <c r="C23" s="26"/>
      <c r="D23" s="25"/>
      <c r="E23" s="218"/>
      <c r="F23" s="218"/>
    </row>
    <row r="24" spans="2:6" s="187" customFormat="1" ht="15" customHeight="1" x14ac:dyDescent="0.35">
      <c r="C24" s="834" t="s">
        <v>77</v>
      </c>
      <c r="D24" s="834"/>
      <c r="E24" s="834"/>
      <c r="F24" s="834"/>
    </row>
    <row r="25" spans="2:6" ht="9" customHeight="1" thickBot="1" x14ac:dyDescent="0.35">
      <c r="C25" s="26"/>
      <c r="D25" s="905"/>
      <c r="E25" s="905"/>
      <c r="F25" s="905"/>
    </row>
    <row r="26" spans="2:6" x14ac:dyDescent="0.3">
      <c r="B26" s="418" t="s">
        <v>3638</v>
      </c>
      <c r="C26" s="497">
        <v>1</v>
      </c>
      <c r="D26" s="586" t="s">
        <v>78</v>
      </c>
      <c r="E26" s="530"/>
      <c r="F26" s="531"/>
    </row>
    <row r="27" spans="2:6" x14ac:dyDescent="0.3">
      <c r="B27" s="60" t="s">
        <v>3639</v>
      </c>
      <c r="C27" s="425">
        <v>2</v>
      </c>
      <c r="D27" s="219" t="s">
        <v>60</v>
      </c>
      <c r="E27" s="71"/>
      <c r="F27" s="74"/>
    </row>
    <row r="28" spans="2:6" x14ac:dyDescent="0.3">
      <c r="B28" s="60" t="s">
        <v>3640</v>
      </c>
      <c r="C28" s="425">
        <v>3</v>
      </c>
      <c r="D28" s="219" t="s">
        <v>66</v>
      </c>
      <c r="E28" s="71"/>
      <c r="F28" s="74"/>
    </row>
    <row r="29" spans="2:6" x14ac:dyDescent="0.3">
      <c r="B29" s="60" t="s">
        <v>3641</v>
      </c>
      <c r="C29" s="425">
        <v>4</v>
      </c>
      <c r="D29" s="219" t="s">
        <v>59</v>
      </c>
      <c r="E29" s="71"/>
      <c r="F29" s="74"/>
    </row>
    <row r="30" spans="2:6" x14ac:dyDescent="0.3">
      <c r="B30" s="60" t="s">
        <v>3642</v>
      </c>
      <c r="C30" s="425">
        <v>5</v>
      </c>
      <c r="D30" s="219" t="s">
        <v>79</v>
      </c>
      <c r="E30" s="71"/>
      <c r="F30" s="74"/>
    </row>
    <row r="31" spans="2:6" x14ac:dyDescent="0.3">
      <c r="B31" s="60" t="s">
        <v>3643</v>
      </c>
      <c r="C31" s="425">
        <v>6</v>
      </c>
      <c r="D31" s="219" t="s">
        <v>72</v>
      </c>
      <c r="E31" s="71"/>
      <c r="F31" s="74"/>
    </row>
    <row r="32" spans="2:6" x14ac:dyDescent="0.3">
      <c r="B32" s="60" t="s">
        <v>3644</v>
      </c>
      <c r="C32" s="425">
        <v>7</v>
      </c>
      <c r="D32" s="219" t="s">
        <v>63</v>
      </c>
      <c r="E32" s="71"/>
      <c r="F32" s="74"/>
    </row>
    <row r="33" spans="2:6" x14ac:dyDescent="0.3">
      <c r="B33" s="60" t="s">
        <v>3645</v>
      </c>
      <c r="C33" s="425">
        <v>8</v>
      </c>
      <c r="D33" s="219" t="s">
        <v>64</v>
      </c>
      <c r="E33" s="71"/>
      <c r="F33" s="74"/>
    </row>
    <row r="34" spans="2:6" x14ac:dyDescent="0.3">
      <c r="B34" s="60" t="s">
        <v>3646</v>
      </c>
      <c r="C34" s="425">
        <v>9</v>
      </c>
      <c r="D34" s="219" t="s">
        <v>65</v>
      </c>
      <c r="E34" s="71"/>
      <c r="F34" s="74"/>
    </row>
    <row r="35" spans="2:6" x14ac:dyDescent="0.3">
      <c r="B35" s="60" t="s">
        <v>3647</v>
      </c>
      <c r="C35" s="425">
        <v>10</v>
      </c>
      <c r="D35" s="219" t="s">
        <v>61</v>
      </c>
      <c r="E35" s="71"/>
      <c r="F35" s="74"/>
    </row>
    <row r="36" spans="2:6" x14ac:dyDescent="0.3">
      <c r="B36" s="60" t="s">
        <v>3648</v>
      </c>
      <c r="C36" s="425">
        <v>11</v>
      </c>
      <c r="D36" s="219" t="s">
        <v>68</v>
      </c>
      <c r="E36" s="71"/>
      <c r="F36" s="74"/>
    </row>
    <row r="37" spans="2:6" x14ac:dyDescent="0.3">
      <c r="B37" s="60" t="s">
        <v>3649</v>
      </c>
      <c r="C37" s="425">
        <v>12</v>
      </c>
      <c r="D37" s="219" t="s">
        <v>67</v>
      </c>
      <c r="E37" s="71"/>
      <c r="F37" s="74"/>
    </row>
    <row r="38" spans="2:6" x14ac:dyDescent="0.3">
      <c r="B38" s="60" t="s">
        <v>3650</v>
      </c>
      <c r="C38" s="425">
        <v>13</v>
      </c>
      <c r="D38" s="219" t="s">
        <v>69</v>
      </c>
      <c r="E38" s="71"/>
      <c r="F38" s="74"/>
    </row>
    <row r="39" spans="2:6" x14ac:dyDescent="0.3">
      <c r="B39" s="60" t="s">
        <v>3651</v>
      </c>
      <c r="C39" s="425">
        <v>14</v>
      </c>
      <c r="D39" s="219" t="s">
        <v>62</v>
      </c>
      <c r="E39" s="71"/>
      <c r="F39" s="74"/>
    </row>
    <row r="40" spans="2:6" x14ac:dyDescent="0.3">
      <c r="B40" s="60" t="s">
        <v>3652</v>
      </c>
      <c r="C40" s="425">
        <v>15</v>
      </c>
      <c r="D40" s="219" t="s">
        <v>73</v>
      </c>
      <c r="E40" s="71"/>
      <c r="F40" s="74"/>
    </row>
    <row r="41" spans="2:6" s="6" customFormat="1" ht="29.25" customHeight="1" thickBot="1" x14ac:dyDescent="0.35">
      <c r="B41" s="491" t="s">
        <v>3653</v>
      </c>
      <c r="C41" s="906" t="s">
        <v>1195</v>
      </c>
      <c r="D41" s="907"/>
      <c r="E41" s="243">
        <f>SUM(E26:E40)</f>
        <v>0</v>
      </c>
      <c r="F41" s="244">
        <f>SUM(F26:F40)</f>
        <v>0</v>
      </c>
    </row>
    <row r="44" spans="2:6" x14ac:dyDescent="0.3">
      <c r="C44" s="782"/>
      <c r="D44" s="782"/>
      <c r="E44" s="782"/>
      <c r="F44" s="782"/>
    </row>
    <row r="45" spans="2:6" x14ac:dyDescent="0.3">
      <c r="C45" s="785"/>
      <c r="D45" s="785"/>
      <c r="E45" s="785"/>
      <c r="F45" s="785"/>
    </row>
    <row r="46" spans="2:6" x14ac:dyDescent="0.3">
      <c r="C46" s="782"/>
      <c r="D46" s="782"/>
      <c r="E46" s="782"/>
      <c r="F46" s="782"/>
    </row>
    <row r="47" spans="2:6" x14ac:dyDescent="0.3">
      <c r="C47" s="785"/>
      <c r="D47" s="785"/>
      <c r="E47" s="785"/>
      <c r="F47" s="785"/>
    </row>
    <row r="48" spans="2:6" x14ac:dyDescent="0.3">
      <c r="C48" s="782"/>
      <c r="D48" s="782"/>
      <c r="E48" s="782"/>
      <c r="F48" s="782"/>
    </row>
    <row r="49" spans="3:6" x14ac:dyDescent="0.3">
      <c r="C49" s="785"/>
      <c r="D49" s="785"/>
      <c r="E49" s="785"/>
      <c r="F49" s="785"/>
    </row>
  </sheetData>
  <customSheetViews>
    <customSheetView guid="{F18E25A1-ACAC-4BA2-9084-15C64EADD71F}" fitToPage="1">
      <selection activeCell="D54" sqref="D54"/>
      <pageMargins left="0.33" right="0.39" top="0.45" bottom="0.51" header="0.5" footer="0.5"/>
      <pageSetup paperSize="9" scale="95" fitToHeight="2" orientation="portrait" horizontalDpi="300" verticalDpi="300" r:id="rId1"/>
      <headerFooter alignWithMargins="0"/>
    </customSheetView>
    <customSheetView guid="{42441662-3193-455A-AAAC-E0697E2ED236}" showPageBreaks="1" fitToPage="1" topLeftCell="A31">
      <selection activeCell="D54" sqref="D54"/>
      <pageMargins left="0.33" right="0.39" top="0.45" bottom="0.51" header="0.5" footer="0.5"/>
      <pageSetup paperSize="9" scale="95" fitToHeight="2" orientation="portrait" horizontalDpi="300" verticalDpi="300" r:id="rId2"/>
      <headerFooter alignWithMargins="0"/>
    </customSheetView>
    <customSheetView guid="{AB1DC9E9-A3E4-4BE0-8A49-B02D340E9D12}" fitToPage="1" topLeftCell="A25">
      <selection activeCell="B5" sqref="B5"/>
      <pageMargins left="0.33" right="0.39" top="0.45" bottom="0.51" header="0.5" footer="0.5"/>
      <pageSetup paperSize="9" scale="95" fitToHeight="2" orientation="portrait" horizontalDpi="300" verticalDpi="300" r:id="rId3"/>
      <headerFooter alignWithMargins="0"/>
    </customSheetView>
    <customSheetView guid="{BC7A4191-54CC-4009-AB21-42ED557A5091}" showPageBreaks="1" fitToPage="1" showRuler="0" topLeftCell="A25">
      <selection activeCell="B1" sqref="B1:D1"/>
      <pageMargins left="0.33" right="0.39" top="0.45" bottom="0.51" header="0.5" footer="0.5"/>
      <pageSetup paperSize="9" scale="95" fitToHeight="2" orientation="portrait" horizontalDpi="300" verticalDpi="300" r:id="rId4"/>
      <headerFooter alignWithMargins="0"/>
    </customSheetView>
  </customSheetViews>
  <mergeCells count="22">
    <mergeCell ref="C49:F49"/>
    <mergeCell ref="E1:F1"/>
    <mergeCell ref="E5:F5"/>
    <mergeCell ref="C22:D22"/>
    <mergeCell ref="C10:F10"/>
    <mergeCell ref="C14:F14"/>
    <mergeCell ref="C18:F18"/>
    <mergeCell ref="C11:C13"/>
    <mergeCell ref="C15:C17"/>
    <mergeCell ref="C19:C21"/>
    <mergeCell ref="B1:C1"/>
    <mergeCell ref="D25:F25"/>
    <mergeCell ref="C24:F24"/>
    <mergeCell ref="B2:F2"/>
    <mergeCell ref="C8:F8"/>
    <mergeCell ref="C41:D41"/>
    <mergeCell ref="C48:F48"/>
    <mergeCell ref="C4:F4"/>
    <mergeCell ref="C44:F44"/>
    <mergeCell ref="C45:F45"/>
    <mergeCell ref="C46:F46"/>
    <mergeCell ref="C47:F47"/>
  </mergeCells>
  <phoneticPr fontId="3" type="noConversion"/>
  <printOptions horizontalCentered="1"/>
  <pageMargins left="0.2" right="0.2" top="0.26" bottom="0.2" header="0.17" footer="0.17"/>
  <pageSetup paperSize="9" scale="90" fitToHeight="2" orientation="portrait" horizontalDpi="300" verticalDpi="300" r:id="rId5"/>
  <headerFooter alignWithMargins="0"/>
  <ignoredErrors>
    <ignoredError sqref="B11:B41"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outlinePr summaryBelow="0" summaryRight="0"/>
    <pageSetUpPr fitToPage="1"/>
  </sheetPr>
  <dimension ref="B1:K132"/>
  <sheetViews>
    <sheetView showGridLines="0" zoomScale="90" zoomScaleNormal="90" workbookViewId="0">
      <pane ySplit="6" topLeftCell="A7" activePane="bottomLeft" state="frozen"/>
      <selection pane="bottomLeft" activeCell="K111" sqref="K111"/>
    </sheetView>
  </sheetViews>
  <sheetFormatPr defaultColWidth="9.140625" defaultRowHeight="15" outlineLevelRow="1" x14ac:dyDescent="0.3"/>
  <cols>
    <col min="1" max="1" width="2" style="5" customWidth="1"/>
    <col min="2" max="2" width="11" style="5" customWidth="1"/>
    <col min="3" max="3" width="6" style="5" customWidth="1"/>
    <col min="4" max="4" width="84.42578125" style="5" customWidth="1"/>
    <col min="5" max="6" width="15.5703125" style="5" customWidth="1"/>
    <col min="7" max="16384" width="9.140625" style="5"/>
  </cols>
  <sheetData>
    <row r="1" spans="2:11" s="30" customFormat="1" ht="15" customHeight="1" x14ac:dyDescent="0.2">
      <c r="B1" s="831" t="s">
        <v>315</v>
      </c>
      <c r="C1" s="831"/>
      <c r="D1" s="158"/>
      <c r="E1" s="832" t="s">
        <v>1242</v>
      </c>
      <c r="F1" s="832"/>
    </row>
    <row r="2" spans="2:11" s="134" customFormat="1" ht="15" customHeight="1" x14ac:dyDescent="0.2">
      <c r="B2" s="874" t="s">
        <v>4688</v>
      </c>
      <c r="C2" s="874"/>
      <c r="D2" s="874"/>
      <c r="E2" s="874"/>
      <c r="F2" s="874"/>
    </row>
    <row r="3" spans="2:11" s="134" customFormat="1" ht="15" customHeight="1" x14ac:dyDescent="0.2">
      <c r="C3" s="142"/>
      <c r="E3" s="79"/>
    </row>
    <row r="4" spans="2:11" s="51" customFormat="1" ht="15" customHeight="1" x14ac:dyDescent="0.2">
      <c r="B4" s="286"/>
      <c r="C4" s="871" t="s">
        <v>3343</v>
      </c>
      <c r="D4" s="871"/>
      <c r="E4" s="871"/>
      <c r="F4" s="871"/>
    </row>
    <row r="5" spans="2:11" s="134" customFormat="1" ht="15" customHeight="1" thickBot="1" x14ac:dyDescent="0.25">
      <c r="D5" s="145"/>
      <c r="E5" s="844" t="s">
        <v>323</v>
      </c>
      <c r="F5" s="844"/>
    </row>
    <row r="6" spans="2:11" s="80" customFormat="1" ht="45" customHeight="1" thickBot="1" x14ac:dyDescent="0.25">
      <c r="B6" s="481" t="s">
        <v>4627</v>
      </c>
      <c r="C6" s="492" t="s">
        <v>1211</v>
      </c>
      <c r="D6" s="492"/>
      <c r="E6" s="416" t="s">
        <v>322</v>
      </c>
      <c r="F6" s="417" t="s">
        <v>333</v>
      </c>
    </row>
    <row r="7" spans="2:11" s="30" customFormat="1" ht="9" customHeight="1" x14ac:dyDescent="0.2">
      <c r="C7" s="26"/>
      <c r="D7" s="79"/>
      <c r="E7" s="53"/>
      <c r="F7" s="53"/>
    </row>
    <row r="8" spans="2:11" s="30" customFormat="1" ht="15" customHeight="1" x14ac:dyDescent="0.2">
      <c r="C8" s="814" t="s">
        <v>55</v>
      </c>
      <c r="D8" s="814"/>
      <c r="E8" s="814"/>
      <c r="F8" s="814"/>
    </row>
    <row r="9" spans="2:11" s="30" customFormat="1" ht="9" customHeight="1" thickBot="1" x14ac:dyDescent="0.25">
      <c r="C9" s="26"/>
      <c r="D9" s="79"/>
      <c r="E9" s="53"/>
      <c r="F9" s="53"/>
    </row>
    <row r="10" spans="2:11" s="79" customFormat="1" ht="15" customHeight="1" x14ac:dyDescent="0.2">
      <c r="B10" s="418" t="s">
        <v>3628</v>
      </c>
      <c r="C10" s="497">
        <v>1</v>
      </c>
      <c r="D10" s="587" t="s">
        <v>56</v>
      </c>
      <c r="E10" s="660"/>
      <c r="F10" s="661"/>
      <c r="H10" s="30"/>
    </row>
    <row r="11" spans="2:11" s="79" customFormat="1" ht="15" customHeight="1" x14ac:dyDescent="0.2">
      <c r="B11" s="60" t="s">
        <v>3629</v>
      </c>
      <c r="C11" s="425">
        <v>2</v>
      </c>
      <c r="D11" s="223" t="s">
        <v>307</v>
      </c>
      <c r="E11" s="170"/>
      <c r="F11" s="171"/>
      <c r="H11" s="30"/>
    </row>
    <row r="12" spans="2:11" s="145" customFormat="1" ht="15" customHeight="1" thickBot="1" x14ac:dyDescent="0.25">
      <c r="B12" s="491" t="s">
        <v>3630</v>
      </c>
      <c r="C12" s="891" t="s">
        <v>1196</v>
      </c>
      <c r="D12" s="892"/>
      <c r="E12" s="662">
        <f>SUM(E10:E11)</f>
        <v>0</v>
      </c>
      <c r="F12" s="663">
        <f>SUM(F10:F11)</f>
        <v>0</v>
      </c>
      <c r="H12" s="132"/>
    </row>
    <row r="13" spans="2:11" s="138" customFormat="1" ht="9" customHeight="1" x14ac:dyDescent="0.2">
      <c r="C13" s="9"/>
      <c r="D13" s="220"/>
      <c r="E13" s="221"/>
      <c r="F13" s="221"/>
    </row>
    <row r="14" spans="2:11" s="224" customFormat="1" ht="15" customHeight="1" x14ac:dyDescent="0.2">
      <c r="C14" s="870" t="s">
        <v>2847</v>
      </c>
      <c r="D14" s="870"/>
      <c r="E14" s="870"/>
      <c r="F14" s="870"/>
    </row>
    <row r="15" spans="2:11" s="134" customFormat="1" ht="9" customHeight="1" thickBot="1" x14ac:dyDescent="0.25">
      <c r="C15" s="26"/>
      <c r="D15" s="220"/>
      <c r="E15" s="222"/>
      <c r="F15" s="222"/>
    </row>
    <row r="16" spans="2:11" s="134" customFormat="1" ht="15" customHeight="1" collapsed="1" x14ac:dyDescent="0.2">
      <c r="B16" s="418" t="s">
        <v>3631</v>
      </c>
      <c r="C16" s="497">
        <v>1</v>
      </c>
      <c r="D16" s="521" t="s">
        <v>3352</v>
      </c>
      <c r="E16" s="494">
        <f>SUM(E17:E36)</f>
        <v>0</v>
      </c>
      <c r="F16" s="495">
        <f>SUM(F17:F36)</f>
        <v>0</v>
      </c>
      <c r="H16" s="138"/>
      <c r="I16" s="138"/>
      <c r="J16" s="138"/>
      <c r="K16" s="138"/>
    </row>
    <row r="17" spans="2:6" s="167" customFormat="1" ht="15" hidden="1" customHeight="1" outlineLevel="1" x14ac:dyDescent="0.2">
      <c r="B17" s="60" t="s">
        <v>3632</v>
      </c>
      <c r="C17" s="506">
        <v>1.1000000000000001</v>
      </c>
      <c r="D17" s="151" t="s">
        <v>668</v>
      </c>
      <c r="E17" s="154"/>
      <c r="F17" s="175"/>
    </row>
    <row r="18" spans="2:6" s="167" customFormat="1" ht="15" hidden="1" customHeight="1" outlineLevel="1" x14ac:dyDescent="0.2">
      <c r="B18" s="60" t="s">
        <v>3633</v>
      </c>
      <c r="C18" s="506">
        <v>1.2</v>
      </c>
      <c r="D18" s="151" t="s">
        <v>668</v>
      </c>
      <c r="E18" s="154"/>
      <c r="F18" s="175"/>
    </row>
    <row r="19" spans="2:6" s="167" customFormat="1" ht="15" hidden="1" customHeight="1" outlineLevel="1" x14ac:dyDescent="0.2">
      <c r="B19" s="60" t="s">
        <v>3634</v>
      </c>
      <c r="C19" s="506">
        <v>1.3</v>
      </c>
      <c r="D19" s="151" t="s">
        <v>668</v>
      </c>
      <c r="E19" s="154"/>
      <c r="F19" s="175"/>
    </row>
    <row r="20" spans="2:6" s="167" customFormat="1" ht="15" hidden="1" customHeight="1" outlineLevel="1" x14ac:dyDescent="0.2">
      <c r="B20" s="60" t="s">
        <v>3635</v>
      </c>
      <c r="C20" s="506">
        <v>1.4</v>
      </c>
      <c r="D20" s="151" t="s">
        <v>668</v>
      </c>
      <c r="E20" s="154"/>
      <c r="F20" s="175"/>
    </row>
    <row r="21" spans="2:6" s="167" customFormat="1" ht="15" hidden="1" customHeight="1" outlineLevel="1" x14ac:dyDescent="0.2">
      <c r="B21" s="60" t="s">
        <v>3636</v>
      </c>
      <c r="C21" s="506">
        <v>1.5</v>
      </c>
      <c r="D21" s="151" t="s">
        <v>668</v>
      </c>
      <c r="E21" s="154"/>
      <c r="F21" s="175"/>
    </row>
    <row r="22" spans="2:6" s="167" customFormat="1" ht="15" hidden="1" customHeight="1" outlineLevel="1" x14ac:dyDescent="0.2">
      <c r="B22" s="60" t="s">
        <v>3637</v>
      </c>
      <c r="C22" s="506">
        <v>1.6</v>
      </c>
      <c r="D22" s="151" t="s">
        <v>668</v>
      </c>
      <c r="E22" s="154"/>
      <c r="F22" s="175"/>
    </row>
    <row r="23" spans="2:6" s="167" customFormat="1" ht="15" hidden="1" customHeight="1" outlineLevel="1" x14ac:dyDescent="0.2">
      <c r="B23" s="60" t="s">
        <v>3638</v>
      </c>
      <c r="C23" s="506">
        <v>1.7</v>
      </c>
      <c r="D23" s="151" t="s">
        <v>668</v>
      </c>
      <c r="E23" s="154"/>
      <c r="F23" s="175"/>
    </row>
    <row r="24" spans="2:6" s="167" customFormat="1" ht="15" hidden="1" customHeight="1" outlineLevel="1" x14ac:dyDescent="0.2">
      <c r="B24" s="60" t="s">
        <v>3639</v>
      </c>
      <c r="C24" s="506">
        <v>1.8</v>
      </c>
      <c r="D24" s="151" t="s">
        <v>668</v>
      </c>
      <c r="E24" s="154"/>
      <c r="F24" s="175"/>
    </row>
    <row r="25" spans="2:6" s="167" customFormat="1" ht="15" hidden="1" customHeight="1" outlineLevel="1" x14ac:dyDescent="0.2">
      <c r="B25" s="60" t="s">
        <v>3640</v>
      </c>
      <c r="C25" s="506">
        <v>1.9</v>
      </c>
      <c r="D25" s="151" t="s">
        <v>668</v>
      </c>
      <c r="E25" s="154"/>
      <c r="F25" s="175"/>
    </row>
    <row r="26" spans="2:6" s="167" customFormat="1" ht="15" hidden="1" customHeight="1" outlineLevel="1" x14ac:dyDescent="0.2">
      <c r="B26" s="60" t="s">
        <v>3641</v>
      </c>
      <c r="C26" s="549">
        <v>1.1000000000000001</v>
      </c>
      <c r="D26" s="151" t="s">
        <v>668</v>
      </c>
      <c r="E26" s="154"/>
      <c r="F26" s="175"/>
    </row>
    <row r="27" spans="2:6" s="167" customFormat="1" ht="15" hidden="1" customHeight="1" outlineLevel="1" x14ac:dyDescent="0.2">
      <c r="B27" s="60" t="s">
        <v>3642</v>
      </c>
      <c r="C27" s="506">
        <v>1.1100000000000001</v>
      </c>
      <c r="D27" s="151" t="s">
        <v>668</v>
      </c>
      <c r="E27" s="154"/>
      <c r="F27" s="175"/>
    </row>
    <row r="28" spans="2:6" s="167" customFormat="1" ht="15" hidden="1" customHeight="1" outlineLevel="1" x14ac:dyDescent="0.2">
      <c r="B28" s="60" t="s">
        <v>3643</v>
      </c>
      <c r="C28" s="506">
        <v>1.1200000000000001</v>
      </c>
      <c r="D28" s="151" t="s">
        <v>668</v>
      </c>
      <c r="E28" s="154"/>
      <c r="F28" s="175"/>
    </row>
    <row r="29" spans="2:6" s="167" customFormat="1" ht="15" hidden="1" customHeight="1" outlineLevel="1" x14ac:dyDescent="0.2">
      <c r="B29" s="60" t="s">
        <v>3644</v>
      </c>
      <c r="C29" s="506">
        <v>1.1299999999999999</v>
      </c>
      <c r="D29" s="151" t="s">
        <v>668</v>
      </c>
      <c r="E29" s="154"/>
      <c r="F29" s="175"/>
    </row>
    <row r="30" spans="2:6" s="167" customFormat="1" ht="15" hidden="1" customHeight="1" outlineLevel="1" x14ac:dyDescent="0.2">
      <c r="B30" s="60" t="s">
        <v>3645</v>
      </c>
      <c r="C30" s="506">
        <v>1.1399999999999999</v>
      </c>
      <c r="D30" s="151" t="s">
        <v>668</v>
      </c>
      <c r="E30" s="154"/>
      <c r="F30" s="175"/>
    </row>
    <row r="31" spans="2:6" s="167" customFormat="1" ht="15" hidden="1" customHeight="1" outlineLevel="1" x14ac:dyDescent="0.2">
      <c r="B31" s="60" t="s">
        <v>3646</v>
      </c>
      <c r="C31" s="506">
        <v>1.1499999999999999</v>
      </c>
      <c r="D31" s="151" t="s">
        <v>668</v>
      </c>
      <c r="E31" s="154"/>
      <c r="F31" s="175"/>
    </row>
    <row r="32" spans="2:6" s="167" customFormat="1" ht="15" hidden="1" customHeight="1" outlineLevel="1" x14ac:dyDescent="0.2">
      <c r="B32" s="60" t="s">
        <v>3647</v>
      </c>
      <c r="C32" s="506">
        <v>1.1599999999999999</v>
      </c>
      <c r="D32" s="151" t="s">
        <v>668</v>
      </c>
      <c r="E32" s="154"/>
      <c r="F32" s="175"/>
    </row>
    <row r="33" spans="2:6" s="167" customFormat="1" ht="15" hidden="1" customHeight="1" outlineLevel="1" x14ac:dyDescent="0.2">
      <c r="B33" s="60" t="s">
        <v>3648</v>
      </c>
      <c r="C33" s="506">
        <v>1.17</v>
      </c>
      <c r="D33" s="151" t="s">
        <v>668</v>
      </c>
      <c r="E33" s="154"/>
      <c r="F33" s="175"/>
    </row>
    <row r="34" spans="2:6" s="167" customFormat="1" ht="15" hidden="1" customHeight="1" outlineLevel="1" x14ac:dyDescent="0.2">
      <c r="B34" s="60" t="s">
        <v>3649</v>
      </c>
      <c r="C34" s="506">
        <v>1.18</v>
      </c>
      <c r="D34" s="151" t="s">
        <v>668</v>
      </c>
      <c r="E34" s="154"/>
      <c r="F34" s="175"/>
    </row>
    <row r="35" spans="2:6" s="167" customFormat="1" ht="15" hidden="1" customHeight="1" outlineLevel="1" x14ac:dyDescent="0.2">
      <c r="B35" s="60" t="s">
        <v>3650</v>
      </c>
      <c r="C35" s="506">
        <v>1.19</v>
      </c>
      <c r="D35" s="151" t="s">
        <v>668</v>
      </c>
      <c r="E35" s="154"/>
      <c r="F35" s="175"/>
    </row>
    <row r="36" spans="2:6" s="167" customFormat="1" ht="15" hidden="1" customHeight="1" outlineLevel="1" x14ac:dyDescent="0.2">
      <c r="B36" s="60" t="s">
        <v>3651</v>
      </c>
      <c r="C36" s="549">
        <v>1.2</v>
      </c>
      <c r="D36" s="151" t="s">
        <v>668</v>
      </c>
      <c r="E36" s="154"/>
      <c r="F36" s="175"/>
    </row>
    <row r="37" spans="2:6" s="134" customFormat="1" ht="15" customHeight="1" collapsed="1" x14ac:dyDescent="0.2">
      <c r="B37" s="60" t="s">
        <v>3652</v>
      </c>
      <c r="C37" s="425">
        <v>2</v>
      </c>
      <c r="D37" s="147" t="s">
        <v>3353</v>
      </c>
      <c r="E37" s="91">
        <f>SUM(E38:E57)</f>
        <v>0</v>
      </c>
      <c r="F37" s="92">
        <f>SUM(F38:F57)</f>
        <v>0</v>
      </c>
    </row>
    <row r="38" spans="2:6" s="167" customFormat="1" ht="15" hidden="1" customHeight="1" outlineLevel="1" x14ac:dyDescent="0.2">
      <c r="B38" s="60" t="s">
        <v>3653</v>
      </c>
      <c r="C38" s="506">
        <v>2.1</v>
      </c>
      <c r="D38" s="151" t="s">
        <v>668</v>
      </c>
      <c r="E38" s="154"/>
      <c r="F38" s="175"/>
    </row>
    <row r="39" spans="2:6" s="167" customFormat="1" ht="15" hidden="1" customHeight="1" outlineLevel="1" x14ac:dyDescent="0.2">
      <c r="B39" s="60" t="s">
        <v>3654</v>
      </c>
      <c r="C39" s="506">
        <v>2.2000000000000002</v>
      </c>
      <c r="D39" s="151" t="s">
        <v>668</v>
      </c>
      <c r="E39" s="154"/>
      <c r="F39" s="175"/>
    </row>
    <row r="40" spans="2:6" s="167" customFormat="1" ht="15" hidden="1" customHeight="1" outlineLevel="1" x14ac:dyDescent="0.2">
      <c r="B40" s="60" t="s">
        <v>3655</v>
      </c>
      <c r="C40" s="506">
        <v>2.2999999999999998</v>
      </c>
      <c r="D40" s="151" t="s">
        <v>668</v>
      </c>
      <c r="E40" s="154"/>
      <c r="F40" s="175"/>
    </row>
    <row r="41" spans="2:6" s="167" customFormat="1" ht="15" hidden="1" customHeight="1" outlineLevel="1" x14ac:dyDescent="0.2">
      <c r="B41" s="60" t="s">
        <v>3656</v>
      </c>
      <c r="C41" s="506">
        <v>2.4</v>
      </c>
      <c r="D41" s="151" t="s">
        <v>668</v>
      </c>
      <c r="E41" s="154"/>
      <c r="F41" s="175"/>
    </row>
    <row r="42" spans="2:6" s="167" customFormat="1" ht="15" hidden="1" customHeight="1" outlineLevel="1" x14ac:dyDescent="0.2">
      <c r="B42" s="60" t="s">
        <v>3657</v>
      </c>
      <c r="C42" s="506">
        <v>2.5</v>
      </c>
      <c r="D42" s="151" t="s">
        <v>668</v>
      </c>
      <c r="E42" s="154"/>
      <c r="F42" s="175"/>
    </row>
    <row r="43" spans="2:6" s="167" customFormat="1" ht="15" hidden="1" customHeight="1" outlineLevel="1" x14ac:dyDescent="0.2">
      <c r="B43" s="60" t="s">
        <v>3658</v>
      </c>
      <c r="C43" s="506">
        <v>2.6</v>
      </c>
      <c r="D43" s="151" t="s">
        <v>668</v>
      </c>
      <c r="E43" s="154"/>
      <c r="F43" s="175"/>
    </row>
    <row r="44" spans="2:6" s="167" customFormat="1" ht="15" hidden="1" customHeight="1" outlineLevel="1" x14ac:dyDescent="0.2">
      <c r="B44" s="60" t="s">
        <v>3659</v>
      </c>
      <c r="C44" s="506">
        <v>2.7</v>
      </c>
      <c r="D44" s="151" t="s">
        <v>668</v>
      </c>
      <c r="E44" s="154"/>
      <c r="F44" s="175"/>
    </row>
    <row r="45" spans="2:6" s="167" customFormat="1" ht="15" hidden="1" customHeight="1" outlineLevel="1" x14ac:dyDescent="0.2">
      <c r="B45" s="60" t="s">
        <v>3660</v>
      </c>
      <c r="C45" s="506">
        <v>2.8</v>
      </c>
      <c r="D45" s="151" t="s">
        <v>668</v>
      </c>
      <c r="E45" s="154"/>
      <c r="F45" s="175"/>
    </row>
    <row r="46" spans="2:6" s="167" customFormat="1" ht="15" hidden="1" customHeight="1" outlineLevel="1" x14ac:dyDescent="0.2">
      <c r="B46" s="60" t="s">
        <v>3661</v>
      </c>
      <c r="C46" s="506">
        <v>2.9</v>
      </c>
      <c r="D46" s="151" t="s">
        <v>668</v>
      </c>
      <c r="E46" s="154"/>
      <c r="F46" s="175"/>
    </row>
    <row r="47" spans="2:6" s="167" customFormat="1" ht="15" hidden="1" customHeight="1" outlineLevel="1" x14ac:dyDescent="0.2">
      <c r="B47" s="60" t="s">
        <v>3662</v>
      </c>
      <c r="C47" s="549">
        <v>2.1</v>
      </c>
      <c r="D47" s="151" t="s">
        <v>668</v>
      </c>
      <c r="E47" s="154"/>
      <c r="F47" s="175"/>
    </row>
    <row r="48" spans="2:6" s="167" customFormat="1" ht="15" hidden="1" customHeight="1" outlineLevel="1" x14ac:dyDescent="0.2">
      <c r="B48" s="60" t="s">
        <v>3663</v>
      </c>
      <c r="C48" s="506">
        <v>2.11</v>
      </c>
      <c r="D48" s="151" t="s">
        <v>668</v>
      </c>
      <c r="E48" s="154"/>
      <c r="F48" s="175"/>
    </row>
    <row r="49" spans="2:7" s="167" customFormat="1" ht="15" hidden="1" customHeight="1" outlineLevel="1" x14ac:dyDescent="0.2">
      <c r="B49" s="60" t="s">
        <v>3664</v>
      </c>
      <c r="C49" s="506">
        <v>2.12</v>
      </c>
      <c r="D49" s="151" t="s">
        <v>668</v>
      </c>
      <c r="E49" s="154"/>
      <c r="F49" s="175"/>
    </row>
    <row r="50" spans="2:7" s="167" customFormat="1" ht="15" hidden="1" customHeight="1" outlineLevel="1" x14ac:dyDescent="0.2">
      <c r="B50" s="60" t="s">
        <v>3665</v>
      </c>
      <c r="C50" s="506">
        <v>2.13</v>
      </c>
      <c r="D50" s="151" t="s">
        <v>668</v>
      </c>
      <c r="E50" s="154"/>
      <c r="F50" s="175"/>
    </row>
    <row r="51" spans="2:7" s="167" customFormat="1" ht="15" hidden="1" customHeight="1" outlineLevel="1" x14ac:dyDescent="0.2">
      <c r="B51" s="60" t="s">
        <v>3666</v>
      </c>
      <c r="C51" s="506">
        <v>2.14</v>
      </c>
      <c r="D51" s="151" t="s">
        <v>668</v>
      </c>
      <c r="E51" s="154"/>
      <c r="F51" s="175"/>
    </row>
    <row r="52" spans="2:7" s="167" customFormat="1" ht="15" hidden="1" customHeight="1" outlineLevel="1" x14ac:dyDescent="0.2">
      <c r="B52" s="60" t="s">
        <v>3667</v>
      </c>
      <c r="C52" s="506">
        <v>2.15</v>
      </c>
      <c r="D52" s="151" t="s">
        <v>668</v>
      </c>
      <c r="E52" s="154"/>
      <c r="F52" s="175"/>
    </row>
    <row r="53" spans="2:7" s="167" customFormat="1" ht="15" hidden="1" customHeight="1" outlineLevel="1" x14ac:dyDescent="0.2">
      <c r="B53" s="60" t="s">
        <v>3668</v>
      </c>
      <c r="C53" s="506">
        <v>2.16</v>
      </c>
      <c r="D53" s="151" t="s">
        <v>668</v>
      </c>
      <c r="E53" s="154"/>
      <c r="F53" s="175"/>
    </row>
    <row r="54" spans="2:7" s="167" customFormat="1" ht="15" hidden="1" customHeight="1" outlineLevel="1" x14ac:dyDescent="0.2">
      <c r="B54" s="60" t="s">
        <v>3669</v>
      </c>
      <c r="C54" s="506">
        <v>2.17</v>
      </c>
      <c r="D54" s="151" t="s">
        <v>668</v>
      </c>
      <c r="E54" s="154"/>
      <c r="F54" s="175"/>
    </row>
    <row r="55" spans="2:7" s="167" customFormat="1" ht="15" hidden="1" customHeight="1" outlineLevel="1" x14ac:dyDescent="0.2">
      <c r="B55" s="60" t="s">
        <v>3670</v>
      </c>
      <c r="C55" s="506">
        <v>2.1800000000000002</v>
      </c>
      <c r="D55" s="151" t="s">
        <v>668</v>
      </c>
      <c r="E55" s="154"/>
      <c r="F55" s="175"/>
    </row>
    <row r="56" spans="2:7" s="167" customFormat="1" ht="15" hidden="1" customHeight="1" outlineLevel="1" x14ac:dyDescent="0.2">
      <c r="B56" s="60" t="s">
        <v>3671</v>
      </c>
      <c r="C56" s="506">
        <v>2.19</v>
      </c>
      <c r="D56" s="151" t="s">
        <v>668</v>
      </c>
      <c r="E56" s="154"/>
      <c r="F56" s="175"/>
    </row>
    <row r="57" spans="2:7" s="167" customFormat="1" ht="15" hidden="1" customHeight="1" outlineLevel="1" x14ac:dyDescent="0.2">
      <c r="B57" s="60" t="s">
        <v>3672</v>
      </c>
      <c r="C57" s="549">
        <v>2.2000000000000002</v>
      </c>
      <c r="D57" s="151" t="s">
        <v>668</v>
      </c>
      <c r="E57" s="154"/>
      <c r="F57" s="175"/>
    </row>
    <row r="58" spans="2:7" s="134" customFormat="1" ht="15" customHeight="1" collapsed="1" x14ac:dyDescent="0.2">
      <c r="B58" s="60" t="s">
        <v>3673</v>
      </c>
      <c r="C58" s="425">
        <v>3</v>
      </c>
      <c r="D58" s="147" t="s">
        <v>3354</v>
      </c>
      <c r="E58" s="91">
        <f>SUM(E59:E78)</f>
        <v>0</v>
      </c>
      <c r="F58" s="92">
        <f>SUM(F59:F78)</f>
        <v>0</v>
      </c>
      <c r="G58" s="138"/>
    </row>
    <row r="59" spans="2:7" s="167" customFormat="1" ht="15" hidden="1" customHeight="1" outlineLevel="1" x14ac:dyDescent="0.2">
      <c r="B59" s="60" t="s">
        <v>3674</v>
      </c>
      <c r="C59" s="506">
        <v>3.1</v>
      </c>
      <c r="D59" s="151" t="s">
        <v>149</v>
      </c>
      <c r="E59" s="154"/>
      <c r="F59" s="175"/>
      <c r="G59" s="165"/>
    </row>
    <row r="60" spans="2:7" s="167" customFormat="1" ht="15" hidden="1" customHeight="1" outlineLevel="1" x14ac:dyDescent="0.2">
      <c r="B60" s="60" t="s">
        <v>3675</v>
      </c>
      <c r="C60" s="506">
        <v>3.2</v>
      </c>
      <c r="D60" s="151" t="s">
        <v>149</v>
      </c>
      <c r="E60" s="154"/>
      <c r="F60" s="175"/>
      <c r="G60" s="165"/>
    </row>
    <row r="61" spans="2:7" s="167" customFormat="1" ht="15" hidden="1" customHeight="1" outlineLevel="1" x14ac:dyDescent="0.2">
      <c r="B61" s="60" t="s">
        <v>3676</v>
      </c>
      <c r="C61" s="506">
        <v>3.3</v>
      </c>
      <c r="D61" s="151" t="s">
        <v>149</v>
      </c>
      <c r="E61" s="154"/>
      <c r="F61" s="175"/>
      <c r="G61" s="165"/>
    </row>
    <row r="62" spans="2:7" s="167" customFormat="1" ht="15" hidden="1" customHeight="1" outlineLevel="1" x14ac:dyDescent="0.2">
      <c r="B62" s="60" t="s">
        <v>3677</v>
      </c>
      <c r="C62" s="506">
        <v>3.4</v>
      </c>
      <c r="D62" s="151" t="s">
        <v>149</v>
      </c>
      <c r="E62" s="154"/>
      <c r="F62" s="175"/>
      <c r="G62" s="165"/>
    </row>
    <row r="63" spans="2:7" s="167" customFormat="1" ht="15" hidden="1" customHeight="1" outlineLevel="1" x14ac:dyDescent="0.2">
      <c r="B63" s="60" t="s">
        <v>3678</v>
      </c>
      <c r="C63" s="506">
        <v>3.5</v>
      </c>
      <c r="D63" s="151" t="s">
        <v>149</v>
      </c>
      <c r="E63" s="154"/>
      <c r="F63" s="175"/>
      <c r="G63" s="165"/>
    </row>
    <row r="64" spans="2:7" s="167" customFormat="1" ht="15" hidden="1" customHeight="1" outlineLevel="1" x14ac:dyDescent="0.2">
      <c r="B64" s="60" t="s">
        <v>3679</v>
      </c>
      <c r="C64" s="506">
        <v>3.6</v>
      </c>
      <c r="D64" s="151" t="s">
        <v>149</v>
      </c>
      <c r="E64" s="154"/>
      <c r="F64" s="175"/>
      <c r="G64" s="165"/>
    </row>
    <row r="65" spans="2:7" s="167" customFormat="1" ht="15" hidden="1" customHeight="1" outlineLevel="1" x14ac:dyDescent="0.2">
      <c r="B65" s="60" t="s">
        <v>3680</v>
      </c>
      <c r="C65" s="506">
        <v>3.7</v>
      </c>
      <c r="D65" s="151" t="s">
        <v>149</v>
      </c>
      <c r="E65" s="154"/>
      <c r="F65" s="175"/>
      <c r="G65" s="165"/>
    </row>
    <row r="66" spans="2:7" s="167" customFormat="1" ht="15" hidden="1" customHeight="1" outlineLevel="1" x14ac:dyDescent="0.2">
      <c r="B66" s="60" t="s">
        <v>3681</v>
      </c>
      <c r="C66" s="506">
        <v>3.8</v>
      </c>
      <c r="D66" s="151" t="s">
        <v>149</v>
      </c>
      <c r="E66" s="154"/>
      <c r="F66" s="175"/>
      <c r="G66" s="165"/>
    </row>
    <row r="67" spans="2:7" s="167" customFormat="1" ht="15" hidden="1" customHeight="1" outlineLevel="1" x14ac:dyDescent="0.2">
      <c r="B67" s="60" t="s">
        <v>3682</v>
      </c>
      <c r="C67" s="506">
        <v>3.9</v>
      </c>
      <c r="D67" s="151" t="s">
        <v>149</v>
      </c>
      <c r="E67" s="154"/>
      <c r="F67" s="175"/>
      <c r="G67" s="165"/>
    </row>
    <row r="68" spans="2:7" s="167" customFormat="1" ht="15" hidden="1" customHeight="1" outlineLevel="1" x14ac:dyDescent="0.2">
      <c r="B68" s="60" t="s">
        <v>3683</v>
      </c>
      <c r="C68" s="549">
        <v>3.1</v>
      </c>
      <c r="D68" s="151" t="s">
        <v>149</v>
      </c>
      <c r="E68" s="154"/>
      <c r="F68" s="175"/>
      <c r="G68" s="165"/>
    </row>
    <row r="69" spans="2:7" s="167" customFormat="1" ht="15" hidden="1" customHeight="1" outlineLevel="1" x14ac:dyDescent="0.2">
      <c r="B69" s="60" t="s">
        <v>3684</v>
      </c>
      <c r="C69" s="506">
        <v>3.11</v>
      </c>
      <c r="D69" s="151" t="s">
        <v>149</v>
      </c>
      <c r="E69" s="154"/>
      <c r="F69" s="175"/>
      <c r="G69" s="165"/>
    </row>
    <row r="70" spans="2:7" s="167" customFormat="1" ht="15" hidden="1" customHeight="1" outlineLevel="1" x14ac:dyDescent="0.2">
      <c r="B70" s="60" t="s">
        <v>3685</v>
      </c>
      <c r="C70" s="506">
        <v>3.12</v>
      </c>
      <c r="D70" s="151" t="s">
        <v>149</v>
      </c>
      <c r="E70" s="154"/>
      <c r="F70" s="175"/>
      <c r="G70" s="165"/>
    </row>
    <row r="71" spans="2:7" s="167" customFormat="1" ht="15" hidden="1" customHeight="1" outlineLevel="1" x14ac:dyDescent="0.2">
      <c r="B71" s="60" t="s">
        <v>3686</v>
      </c>
      <c r="C71" s="506">
        <v>3.13</v>
      </c>
      <c r="D71" s="151" t="s">
        <v>149</v>
      </c>
      <c r="E71" s="154"/>
      <c r="F71" s="175"/>
      <c r="G71" s="165"/>
    </row>
    <row r="72" spans="2:7" s="167" customFormat="1" ht="15" hidden="1" customHeight="1" outlineLevel="1" x14ac:dyDescent="0.2">
      <c r="B72" s="60" t="s">
        <v>3687</v>
      </c>
      <c r="C72" s="506">
        <v>3.14</v>
      </c>
      <c r="D72" s="151" t="s">
        <v>149</v>
      </c>
      <c r="E72" s="154"/>
      <c r="F72" s="175"/>
      <c r="G72" s="165"/>
    </row>
    <row r="73" spans="2:7" s="167" customFormat="1" ht="15" hidden="1" customHeight="1" outlineLevel="1" x14ac:dyDescent="0.2">
      <c r="B73" s="60" t="s">
        <v>3688</v>
      </c>
      <c r="C73" s="506">
        <v>3.15</v>
      </c>
      <c r="D73" s="151" t="s">
        <v>149</v>
      </c>
      <c r="E73" s="154"/>
      <c r="F73" s="175"/>
      <c r="G73" s="165"/>
    </row>
    <row r="74" spans="2:7" s="167" customFormat="1" ht="15" hidden="1" customHeight="1" outlineLevel="1" x14ac:dyDescent="0.2">
      <c r="B74" s="60" t="s">
        <v>3689</v>
      </c>
      <c r="C74" s="506">
        <v>3.16</v>
      </c>
      <c r="D74" s="151" t="s">
        <v>149</v>
      </c>
      <c r="E74" s="154"/>
      <c r="F74" s="175"/>
      <c r="G74" s="165"/>
    </row>
    <row r="75" spans="2:7" s="167" customFormat="1" ht="15" hidden="1" customHeight="1" outlineLevel="1" x14ac:dyDescent="0.2">
      <c r="B75" s="60" t="s">
        <v>3690</v>
      </c>
      <c r="C75" s="506">
        <v>3.17</v>
      </c>
      <c r="D75" s="151" t="s">
        <v>149</v>
      </c>
      <c r="E75" s="154"/>
      <c r="F75" s="175"/>
      <c r="G75" s="165"/>
    </row>
    <row r="76" spans="2:7" s="167" customFormat="1" ht="15" hidden="1" customHeight="1" outlineLevel="1" x14ac:dyDescent="0.2">
      <c r="B76" s="60" t="s">
        <v>3691</v>
      </c>
      <c r="C76" s="506">
        <v>3.18</v>
      </c>
      <c r="D76" s="151" t="s">
        <v>149</v>
      </c>
      <c r="E76" s="154"/>
      <c r="F76" s="175"/>
      <c r="G76" s="165"/>
    </row>
    <row r="77" spans="2:7" s="167" customFormat="1" ht="15" hidden="1" customHeight="1" outlineLevel="1" x14ac:dyDescent="0.2">
      <c r="B77" s="60" t="s">
        <v>3692</v>
      </c>
      <c r="C77" s="506">
        <v>3.19</v>
      </c>
      <c r="D77" s="151" t="s">
        <v>149</v>
      </c>
      <c r="E77" s="154"/>
      <c r="F77" s="175"/>
      <c r="G77" s="165"/>
    </row>
    <row r="78" spans="2:7" s="167" customFormat="1" ht="15" hidden="1" customHeight="1" outlineLevel="1" x14ac:dyDescent="0.2">
      <c r="B78" s="60" t="s">
        <v>3693</v>
      </c>
      <c r="C78" s="549">
        <v>3.2</v>
      </c>
      <c r="D78" s="151" t="s">
        <v>149</v>
      </c>
      <c r="E78" s="154"/>
      <c r="F78" s="175"/>
      <c r="G78" s="165"/>
    </row>
    <row r="79" spans="2:7" s="134" customFormat="1" ht="15" customHeight="1" collapsed="1" x14ac:dyDescent="0.2">
      <c r="B79" s="60" t="s">
        <v>3694</v>
      </c>
      <c r="C79" s="425">
        <v>4</v>
      </c>
      <c r="D79" s="147" t="s">
        <v>3355</v>
      </c>
      <c r="E79" s="91">
        <f>SUM(E80:E99)</f>
        <v>0</v>
      </c>
      <c r="F79" s="92">
        <f>SUM(F80:F99)</f>
        <v>0</v>
      </c>
      <c r="G79" s="138"/>
    </row>
    <row r="80" spans="2:7" s="167" customFormat="1" ht="15" hidden="1" customHeight="1" outlineLevel="1" x14ac:dyDescent="0.2">
      <c r="B80" s="60" t="s">
        <v>3695</v>
      </c>
      <c r="C80" s="506">
        <v>4.0999999999999996</v>
      </c>
      <c r="D80" s="151" t="s">
        <v>149</v>
      </c>
      <c r="E80" s="154"/>
      <c r="F80" s="175"/>
      <c r="G80" s="165"/>
    </row>
    <row r="81" spans="2:7" s="167" customFormat="1" ht="15" hidden="1" customHeight="1" outlineLevel="1" x14ac:dyDescent="0.2">
      <c r="B81" s="60" t="s">
        <v>3696</v>
      </c>
      <c r="C81" s="506">
        <v>4.2</v>
      </c>
      <c r="D81" s="151" t="s">
        <v>149</v>
      </c>
      <c r="E81" s="154"/>
      <c r="F81" s="175"/>
      <c r="G81" s="165"/>
    </row>
    <row r="82" spans="2:7" s="167" customFormat="1" ht="15" hidden="1" customHeight="1" outlineLevel="1" x14ac:dyDescent="0.2">
      <c r="B82" s="60" t="s">
        <v>3697</v>
      </c>
      <c r="C82" s="506">
        <v>4.3</v>
      </c>
      <c r="D82" s="151" t="s">
        <v>149</v>
      </c>
      <c r="E82" s="154"/>
      <c r="F82" s="175"/>
      <c r="G82" s="165"/>
    </row>
    <row r="83" spans="2:7" s="167" customFormat="1" ht="15" hidden="1" customHeight="1" outlineLevel="1" x14ac:dyDescent="0.2">
      <c r="B83" s="60" t="s">
        <v>3698</v>
      </c>
      <c r="C83" s="506">
        <v>4.4000000000000004</v>
      </c>
      <c r="D83" s="151" t="s">
        <v>149</v>
      </c>
      <c r="E83" s="154"/>
      <c r="F83" s="175"/>
      <c r="G83" s="165"/>
    </row>
    <row r="84" spans="2:7" s="167" customFormat="1" ht="15" hidden="1" customHeight="1" outlineLevel="1" x14ac:dyDescent="0.2">
      <c r="B84" s="60" t="s">
        <v>3699</v>
      </c>
      <c r="C84" s="506">
        <v>4.5</v>
      </c>
      <c r="D84" s="151" t="s">
        <v>149</v>
      </c>
      <c r="E84" s="154"/>
      <c r="F84" s="175"/>
      <c r="G84" s="165"/>
    </row>
    <row r="85" spans="2:7" s="167" customFormat="1" ht="15" hidden="1" customHeight="1" outlineLevel="1" x14ac:dyDescent="0.2">
      <c r="B85" s="60" t="s">
        <v>3700</v>
      </c>
      <c r="C85" s="506">
        <v>4.5999999999999996</v>
      </c>
      <c r="D85" s="151" t="s">
        <v>149</v>
      </c>
      <c r="E85" s="154"/>
      <c r="F85" s="175"/>
      <c r="G85" s="165"/>
    </row>
    <row r="86" spans="2:7" s="167" customFormat="1" ht="15" hidden="1" customHeight="1" outlineLevel="1" x14ac:dyDescent="0.2">
      <c r="B86" s="60" t="s">
        <v>3701</v>
      </c>
      <c r="C86" s="506">
        <v>4.7</v>
      </c>
      <c r="D86" s="151" t="s">
        <v>149</v>
      </c>
      <c r="E86" s="154"/>
      <c r="F86" s="175"/>
      <c r="G86" s="165"/>
    </row>
    <row r="87" spans="2:7" s="167" customFormat="1" ht="15" hidden="1" customHeight="1" outlineLevel="1" x14ac:dyDescent="0.2">
      <c r="B87" s="60" t="s">
        <v>3702</v>
      </c>
      <c r="C87" s="506">
        <v>4.8</v>
      </c>
      <c r="D87" s="151" t="s">
        <v>149</v>
      </c>
      <c r="E87" s="154"/>
      <c r="F87" s="175"/>
      <c r="G87" s="165"/>
    </row>
    <row r="88" spans="2:7" s="167" customFormat="1" ht="15" hidden="1" customHeight="1" outlineLevel="1" x14ac:dyDescent="0.2">
      <c r="B88" s="60" t="s">
        <v>3703</v>
      </c>
      <c r="C88" s="506">
        <v>4.9000000000000004</v>
      </c>
      <c r="D88" s="151" t="s">
        <v>149</v>
      </c>
      <c r="E88" s="154"/>
      <c r="F88" s="175"/>
      <c r="G88" s="165"/>
    </row>
    <row r="89" spans="2:7" s="167" customFormat="1" ht="15" hidden="1" customHeight="1" outlineLevel="1" x14ac:dyDescent="0.2">
      <c r="B89" s="60" t="s">
        <v>3704</v>
      </c>
      <c r="C89" s="549">
        <v>4.0999999999999996</v>
      </c>
      <c r="D89" s="151" t="s">
        <v>149</v>
      </c>
      <c r="E89" s="154"/>
      <c r="F89" s="175"/>
      <c r="G89" s="165"/>
    </row>
    <row r="90" spans="2:7" s="167" customFormat="1" ht="15" hidden="1" customHeight="1" outlineLevel="1" x14ac:dyDescent="0.2">
      <c r="B90" s="60" t="s">
        <v>3705</v>
      </c>
      <c r="C90" s="506">
        <v>4.1100000000000003</v>
      </c>
      <c r="D90" s="151" t="s">
        <v>149</v>
      </c>
      <c r="E90" s="154"/>
      <c r="F90" s="175"/>
      <c r="G90" s="165"/>
    </row>
    <row r="91" spans="2:7" s="167" customFormat="1" ht="15" hidden="1" customHeight="1" outlineLevel="1" x14ac:dyDescent="0.2">
      <c r="B91" s="60" t="s">
        <v>3706</v>
      </c>
      <c r="C91" s="506">
        <v>4.12</v>
      </c>
      <c r="D91" s="151" t="s">
        <v>149</v>
      </c>
      <c r="E91" s="154"/>
      <c r="F91" s="175"/>
      <c r="G91" s="165"/>
    </row>
    <row r="92" spans="2:7" s="167" customFormat="1" ht="15" hidden="1" customHeight="1" outlineLevel="1" x14ac:dyDescent="0.2">
      <c r="B92" s="60" t="s">
        <v>3707</v>
      </c>
      <c r="C92" s="506">
        <v>4.13</v>
      </c>
      <c r="D92" s="151" t="s">
        <v>149</v>
      </c>
      <c r="E92" s="154"/>
      <c r="F92" s="175"/>
      <c r="G92" s="165"/>
    </row>
    <row r="93" spans="2:7" s="167" customFormat="1" ht="15" hidden="1" customHeight="1" outlineLevel="1" x14ac:dyDescent="0.2">
      <c r="B93" s="60" t="s">
        <v>3708</v>
      </c>
      <c r="C93" s="506">
        <v>4.1399999999999997</v>
      </c>
      <c r="D93" s="151" t="s">
        <v>149</v>
      </c>
      <c r="E93" s="154"/>
      <c r="F93" s="175"/>
      <c r="G93" s="165"/>
    </row>
    <row r="94" spans="2:7" s="167" customFormat="1" ht="15" hidden="1" customHeight="1" outlineLevel="1" x14ac:dyDescent="0.2">
      <c r="B94" s="60" t="s">
        <v>3709</v>
      </c>
      <c r="C94" s="506">
        <v>4.1500000000000004</v>
      </c>
      <c r="D94" s="151" t="s">
        <v>149</v>
      </c>
      <c r="E94" s="154"/>
      <c r="F94" s="175"/>
      <c r="G94" s="165"/>
    </row>
    <row r="95" spans="2:7" s="167" customFormat="1" ht="15" hidden="1" customHeight="1" outlineLevel="1" x14ac:dyDescent="0.2">
      <c r="B95" s="60" t="s">
        <v>3710</v>
      </c>
      <c r="C95" s="506">
        <v>4.16</v>
      </c>
      <c r="D95" s="151" t="s">
        <v>149</v>
      </c>
      <c r="E95" s="154"/>
      <c r="F95" s="175"/>
      <c r="G95" s="165"/>
    </row>
    <row r="96" spans="2:7" s="167" customFormat="1" ht="15" hidden="1" customHeight="1" outlineLevel="1" x14ac:dyDescent="0.2">
      <c r="B96" s="60" t="s">
        <v>3711</v>
      </c>
      <c r="C96" s="506">
        <v>4.17</v>
      </c>
      <c r="D96" s="151" t="s">
        <v>149</v>
      </c>
      <c r="E96" s="154"/>
      <c r="F96" s="175"/>
      <c r="G96" s="165"/>
    </row>
    <row r="97" spans="2:9" s="167" customFormat="1" ht="15" hidden="1" customHeight="1" outlineLevel="1" x14ac:dyDescent="0.2">
      <c r="B97" s="60" t="s">
        <v>3712</v>
      </c>
      <c r="C97" s="506">
        <v>4.18</v>
      </c>
      <c r="D97" s="151" t="s">
        <v>149</v>
      </c>
      <c r="E97" s="154"/>
      <c r="F97" s="175"/>
      <c r="G97" s="165"/>
    </row>
    <row r="98" spans="2:9" s="167" customFormat="1" ht="15" hidden="1" customHeight="1" outlineLevel="1" x14ac:dyDescent="0.2">
      <c r="B98" s="60" t="s">
        <v>3713</v>
      </c>
      <c r="C98" s="506">
        <v>4.1900000000000004</v>
      </c>
      <c r="D98" s="151" t="s">
        <v>149</v>
      </c>
      <c r="E98" s="154"/>
      <c r="F98" s="175"/>
      <c r="G98" s="165"/>
    </row>
    <row r="99" spans="2:9" s="167" customFormat="1" ht="15" hidden="1" customHeight="1" outlineLevel="1" x14ac:dyDescent="0.2">
      <c r="B99" s="60" t="s">
        <v>3714</v>
      </c>
      <c r="C99" s="549">
        <v>4.2</v>
      </c>
      <c r="D99" s="151" t="s">
        <v>149</v>
      </c>
      <c r="E99" s="154"/>
      <c r="F99" s="175"/>
      <c r="G99" s="165"/>
    </row>
    <row r="100" spans="2:9" s="134" customFormat="1" ht="15" customHeight="1" collapsed="1" x14ac:dyDescent="0.2">
      <c r="B100" s="60" t="s">
        <v>3715</v>
      </c>
      <c r="C100" s="499">
        <v>5</v>
      </c>
      <c r="D100" s="131" t="s">
        <v>4692</v>
      </c>
      <c r="E100" s="91">
        <f>SUM(E101:E110)</f>
        <v>0</v>
      </c>
      <c r="F100" s="92">
        <f>SUM(F101:F110)</f>
        <v>0</v>
      </c>
      <c r="G100" s="138"/>
    </row>
    <row r="101" spans="2:9" s="167" customFormat="1" ht="15" hidden="1" customHeight="1" outlineLevel="1" x14ac:dyDescent="0.2">
      <c r="B101" s="60" t="s">
        <v>3716</v>
      </c>
      <c r="C101" s="506">
        <v>5.0999999999999996</v>
      </c>
      <c r="D101" s="151" t="s">
        <v>153</v>
      </c>
      <c r="E101" s="154"/>
      <c r="F101" s="175"/>
      <c r="G101" s="165"/>
    </row>
    <row r="102" spans="2:9" s="167" customFormat="1" ht="15" hidden="1" customHeight="1" outlineLevel="1" x14ac:dyDescent="0.2">
      <c r="B102" s="60" t="s">
        <v>3717</v>
      </c>
      <c r="C102" s="506">
        <v>5.2</v>
      </c>
      <c r="D102" s="151" t="s">
        <v>153</v>
      </c>
      <c r="E102" s="154"/>
      <c r="F102" s="175"/>
      <c r="G102" s="165"/>
    </row>
    <row r="103" spans="2:9" s="167" customFormat="1" ht="15" hidden="1" customHeight="1" outlineLevel="1" x14ac:dyDescent="0.2">
      <c r="B103" s="60" t="s">
        <v>3718</v>
      </c>
      <c r="C103" s="506">
        <v>5.3</v>
      </c>
      <c r="D103" s="151" t="s">
        <v>153</v>
      </c>
      <c r="E103" s="154"/>
      <c r="F103" s="175"/>
      <c r="G103" s="165"/>
    </row>
    <row r="104" spans="2:9" s="167" customFormat="1" ht="15" hidden="1" customHeight="1" outlineLevel="1" x14ac:dyDescent="0.2">
      <c r="B104" s="60" t="s">
        <v>3719</v>
      </c>
      <c r="C104" s="506">
        <v>5.4</v>
      </c>
      <c r="D104" s="151" t="s">
        <v>153</v>
      </c>
      <c r="E104" s="154"/>
      <c r="F104" s="175"/>
      <c r="G104" s="165"/>
    </row>
    <row r="105" spans="2:9" s="167" customFormat="1" ht="15" hidden="1" customHeight="1" outlineLevel="1" x14ac:dyDescent="0.2">
      <c r="B105" s="60" t="s">
        <v>3720</v>
      </c>
      <c r="C105" s="506">
        <v>5.5</v>
      </c>
      <c r="D105" s="151" t="s">
        <v>153</v>
      </c>
      <c r="E105" s="154"/>
      <c r="F105" s="175"/>
      <c r="G105" s="165"/>
    </row>
    <row r="106" spans="2:9" s="167" customFormat="1" ht="15" hidden="1" customHeight="1" outlineLevel="1" x14ac:dyDescent="0.2">
      <c r="B106" s="60" t="s">
        <v>3721</v>
      </c>
      <c r="C106" s="506">
        <v>5.6</v>
      </c>
      <c r="D106" s="151" t="s">
        <v>153</v>
      </c>
      <c r="E106" s="154"/>
      <c r="F106" s="175"/>
      <c r="G106" s="165"/>
    </row>
    <row r="107" spans="2:9" s="167" customFormat="1" ht="15" hidden="1" customHeight="1" outlineLevel="1" x14ac:dyDescent="0.2">
      <c r="B107" s="60" t="s">
        <v>3722</v>
      </c>
      <c r="C107" s="506">
        <v>5.7</v>
      </c>
      <c r="D107" s="151" t="s">
        <v>153</v>
      </c>
      <c r="E107" s="154"/>
      <c r="F107" s="175"/>
      <c r="G107" s="165"/>
    </row>
    <row r="108" spans="2:9" s="167" customFormat="1" ht="15" hidden="1" customHeight="1" outlineLevel="1" x14ac:dyDescent="0.2">
      <c r="B108" s="60" t="s">
        <v>3723</v>
      </c>
      <c r="C108" s="506">
        <v>5.8</v>
      </c>
      <c r="D108" s="151" t="s">
        <v>153</v>
      </c>
      <c r="E108" s="154"/>
      <c r="F108" s="175"/>
      <c r="G108" s="165"/>
    </row>
    <row r="109" spans="2:9" s="167" customFormat="1" ht="15" hidden="1" customHeight="1" outlineLevel="1" x14ac:dyDescent="0.2">
      <c r="B109" s="60" t="s">
        <v>3724</v>
      </c>
      <c r="C109" s="506">
        <v>5.9</v>
      </c>
      <c r="D109" s="151" t="s">
        <v>153</v>
      </c>
      <c r="E109" s="154"/>
      <c r="F109" s="175"/>
      <c r="G109" s="165"/>
    </row>
    <row r="110" spans="2:9" s="167" customFormat="1" ht="15" hidden="1" customHeight="1" outlineLevel="1" x14ac:dyDescent="0.2">
      <c r="B110" s="60" t="s">
        <v>3725</v>
      </c>
      <c r="C110" s="549">
        <v>5.0999999999999996</v>
      </c>
      <c r="D110" s="151" t="s">
        <v>153</v>
      </c>
      <c r="E110" s="154"/>
      <c r="F110" s="175"/>
      <c r="G110" s="165"/>
    </row>
    <row r="111" spans="2:9" s="142" customFormat="1" ht="15" customHeight="1" thickBot="1" x14ac:dyDescent="0.25">
      <c r="B111" s="491" t="s">
        <v>3726</v>
      </c>
      <c r="C111" s="891" t="s">
        <v>1197</v>
      </c>
      <c r="D111" s="892"/>
      <c r="E111" s="241">
        <f>E16+E37+E58+E79+E100</f>
        <v>0</v>
      </c>
      <c r="F111" s="242">
        <f>F16+F37+F58+F79+F100</f>
        <v>0</v>
      </c>
      <c r="G111" s="143"/>
      <c r="H111" s="221"/>
      <c r="I111" s="143"/>
    </row>
    <row r="112" spans="2:9" s="138" customFormat="1" ht="9" customHeight="1" x14ac:dyDescent="0.2">
      <c r="C112" s="9"/>
      <c r="D112" s="220"/>
      <c r="E112" s="221"/>
      <c r="F112" s="221"/>
    </row>
    <row r="113" spans="2:6" s="225" customFormat="1" ht="15" customHeight="1" x14ac:dyDescent="0.35">
      <c r="C113" s="908" t="s">
        <v>3344</v>
      </c>
      <c r="D113" s="908"/>
      <c r="E113" s="908"/>
      <c r="F113" s="908"/>
    </row>
    <row r="114" spans="2:6" s="134" customFormat="1" ht="9" customHeight="1" thickBot="1" x14ac:dyDescent="0.25">
      <c r="C114" s="26"/>
      <c r="D114" s="220"/>
      <c r="E114" s="222"/>
      <c r="F114" s="222"/>
    </row>
    <row r="115" spans="2:6" s="134" customFormat="1" ht="15" customHeight="1" x14ac:dyDescent="0.2">
      <c r="B115" s="708" t="s">
        <v>3727</v>
      </c>
      <c r="C115" s="709">
        <v>1</v>
      </c>
      <c r="D115" s="710" t="s">
        <v>4690</v>
      </c>
      <c r="E115" s="711"/>
      <c r="F115" s="712"/>
    </row>
    <row r="116" spans="2:6" s="134" customFormat="1" ht="15" customHeight="1" x14ac:dyDescent="0.2">
      <c r="B116" s="713" t="s">
        <v>3728</v>
      </c>
      <c r="C116" s="714">
        <v>2</v>
      </c>
      <c r="D116" s="715" t="s">
        <v>4691</v>
      </c>
      <c r="E116" s="716"/>
      <c r="F116" s="717"/>
    </row>
    <row r="117" spans="2:6" s="134" customFormat="1" ht="15" customHeight="1" x14ac:dyDescent="0.2">
      <c r="B117" s="713" t="s">
        <v>3729</v>
      </c>
      <c r="C117" s="714">
        <v>3</v>
      </c>
      <c r="D117" s="715" t="s">
        <v>4694</v>
      </c>
      <c r="E117" s="716"/>
      <c r="F117" s="717"/>
    </row>
    <row r="118" spans="2:6" s="134" customFormat="1" ht="15" customHeight="1" x14ac:dyDescent="0.2">
      <c r="B118" s="713" t="s">
        <v>3730</v>
      </c>
      <c r="C118" s="714">
        <v>4</v>
      </c>
      <c r="D118" s="718" t="s">
        <v>4801</v>
      </c>
      <c r="E118" s="716">
        <f>E119+E120+E121</f>
        <v>0</v>
      </c>
      <c r="F118" s="717">
        <f>F119+F120+F121</f>
        <v>0</v>
      </c>
    </row>
    <row r="119" spans="2:6" s="134" customFormat="1" ht="15" customHeight="1" x14ac:dyDescent="0.2">
      <c r="B119" s="713" t="s">
        <v>3731</v>
      </c>
      <c r="C119" s="714">
        <v>4.0999999999999996</v>
      </c>
      <c r="D119" s="718" t="s">
        <v>4793</v>
      </c>
      <c r="E119" s="716"/>
      <c r="F119" s="717"/>
    </row>
    <row r="120" spans="2:6" s="134" customFormat="1" ht="15" customHeight="1" x14ac:dyDescent="0.2">
      <c r="B120" s="713" t="s">
        <v>3732</v>
      </c>
      <c r="C120" s="714">
        <v>4.2</v>
      </c>
      <c r="D120" s="718" t="s">
        <v>4794</v>
      </c>
      <c r="E120" s="716"/>
      <c r="F120" s="717"/>
    </row>
    <row r="121" spans="2:6" s="134" customFormat="1" ht="15" customHeight="1" x14ac:dyDescent="0.2">
      <c r="B121" s="713" t="s">
        <v>3733</v>
      </c>
      <c r="C121" s="714">
        <v>4.3</v>
      </c>
      <c r="D121" s="718" t="s">
        <v>4795</v>
      </c>
      <c r="E121" s="716"/>
      <c r="F121" s="717"/>
    </row>
    <row r="122" spans="2:6" s="134" customFormat="1" ht="15" customHeight="1" x14ac:dyDescent="0.2">
      <c r="B122" s="713" t="s">
        <v>3734</v>
      </c>
      <c r="C122" s="714">
        <v>5</v>
      </c>
      <c r="D122" s="718" t="s">
        <v>57</v>
      </c>
      <c r="E122" s="716"/>
      <c r="F122" s="717"/>
    </row>
    <row r="123" spans="2:6" s="134" customFormat="1" ht="15" customHeight="1" x14ac:dyDescent="0.2">
      <c r="B123" s="713" t="s">
        <v>3735</v>
      </c>
      <c r="C123" s="714">
        <v>6</v>
      </c>
      <c r="D123" s="718" t="s">
        <v>58</v>
      </c>
      <c r="E123" s="716"/>
      <c r="F123" s="717"/>
    </row>
    <row r="124" spans="2:6" s="142" customFormat="1" ht="15" customHeight="1" thickBot="1" x14ac:dyDescent="0.25">
      <c r="B124" s="719" t="s">
        <v>3736</v>
      </c>
      <c r="C124" s="909" t="s">
        <v>4796</v>
      </c>
      <c r="D124" s="910"/>
      <c r="E124" s="720">
        <f>E115+E116+E117+E118+E122-E123</f>
        <v>0</v>
      </c>
      <c r="F124" s="721">
        <f>F115+F116+F117+F118+F122-F123</f>
        <v>0</v>
      </c>
    </row>
    <row r="125" spans="2:6" s="134" customFormat="1" ht="15" customHeight="1" x14ac:dyDescent="0.2"/>
    <row r="126" spans="2:6" s="134" customFormat="1" ht="15" customHeight="1" x14ac:dyDescent="0.2"/>
    <row r="127" spans="2:6" s="134" customFormat="1" x14ac:dyDescent="0.3">
      <c r="C127" s="782"/>
      <c r="D127" s="782"/>
      <c r="E127" s="782"/>
      <c r="F127" s="782"/>
    </row>
    <row r="128" spans="2:6" s="134" customFormat="1" x14ac:dyDescent="0.2">
      <c r="C128" s="785"/>
      <c r="D128" s="785"/>
      <c r="E128" s="785"/>
      <c r="F128" s="785"/>
    </row>
    <row r="129" spans="3:6" s="134" customFormat="1" x14ac:dyDescent="0.3">
      <c r="C129" s="782"/>
      <c r="D129" s="782"/>
      <c r="E129" s="782"/>
      <c r="F129" s="782"/>
    </row>
    <row r="130" spans="3:6" s="134" customFormat="1" x14ac:dyDescent="0.2">
      <c r="C130" s="785"/>
      <c r="D130" s="785"/>
      <c r="E130" s="785"/>
      <c r="F130" s="785"/>
    </row>
    <row r="131" spans="3:6" s="134" customFormat="1" x14ac:dyDescent="0.3">
      <c r="C131" s="782"/>
      <c r="D131" s="782"/>
      <c r="E131" s="782"/>
      <c r="F131" s="782"/>
    </row>
    <row r="132" spans="3:6" x14ac:dyDescent="0.3">
      <c r="C132" s="785"/>
      <c r="D132" s="785"/>
      <c r="E132" s="785"/>
      <c r="F132" s="785"/>
    </row>
  </sheetData>
  <customSheetViews>
    <customSheetView guid="{F18E25A1-ACAC-4BA2-9084-15C64EADD71F}" fitToPage="1" topLeftCell="A24">
      <selection activeCell="H46" sqref="H46"/>
      <pageMargins left="0.33" right="0.39" top="0.4" bottom="0.38" header="0.5" footer="0.5"/>
      <pageSetup paperSize="9" scale="87" fitToHeight="2" orientation="portrait" horizontalDpi="300" verticalDpi="300" r:id="rId1"/>
      <headerFooter alignWithMargins="0"/>
    </customSheetView>
    <customSheetView guid="{42441662-3193-455A-AAAC-E0697E2ED236}" showPageBreaks="1" fitToPage="1" topLeftCell="A25">
      <selection activeCell="C44" sqref="C44"/>
      <pageMargins left="0.33" right="0.39" top="0.4" bottom="0.38" header="0.5" footer="0.5"/>
      <pageSetup paperSize="9" scale="87" fitToHeight="2" orientation="portrait" horizontalDpi="300" verticalDpi="300" r:id="rId2"/>
      <headerFooter alignWithMargins="0"/>
    </customSheetView>
    <customSheetView guid="{AB1DC9E9-A3E4-4BE0-8A49-B02D340E9D12}" fitToPage="1" topLeftCell="A40">
      <selection activeCell="B5" sqref="B5"/>
      <pageMargins left="0.33" right="0.39" top="0.4" bottom="0.38" header="0.5" footer="0.5"/>
      <pageSetup paperSize="9" scale="86" fitToHeight="2" orientation="portrait" horizontalDpi="300" verticalDpi="300" r:id="rId3"/>
      <headerFooter alignWithMargins="0"/>
    </customSheetView>
    <customSheetView guid="{BC7A4191-54CC-4009-AB21-42ED557A5091}" showPageBreaks="1" fitToPage="1" showRuler="0" topLeftCell="A40">
      <selection activeCell="B1" sqref="B1:D1"/>
      <pageMargins left="0.33" right="0.39" top="0.4" bottom="0.38" header="0.5" footer="0.5"/>
      <pageSetup paperSize="9" scale="86" fitToHeight="2" orientation="portrait" horizontalDpi="300" verticalDpi="300" r:id="rId4"/>
      <headerFooter alignWithMargins="0"/>
    </customSheetView>
  </customSheetViews>
  <mergeCells count="17">
    <mergeCell ref="C127:F127"/>
    <mergeCell ref="C111:D111"/>
    <mergeCell ref="C12:D12"/>
    <mergeCell ref="C8:F8"/>
    <mergeCell ref="C113:F113"/>
    <mergeCell ref="C124:D124"/>
    <mergeCell ref="B1:C1"/>
    <mergeCell ref="B2:F2"/>
    <mergeCell ref="E1:F1"/>
    <mergeCell ref="E5:F5"/>
    <mergeCell ref="C14:F14"/>
    <mergeCell ref="C4:F4"/>
    <mergeCell ref="C128:F128"/>
    <mergeCell ref="C129:F129"/>
    <mergeCell ref="C130:F130"/>
    <mergeCell ref="C131:F131"/>
    <mergeCell ref="C132:F132"/>
  </mergeCells>
  <phoneticPr fontId="3" type="noConversion"/>
  <printOptions horizontalCentered="1"/>
  <pageMargins left="0.2" right="0.2" top="0.26" bottom="0.2" header="0.17" footer="0.17"/>
  <pageSetup paperSize="9" scale="77" fitToHeight="2" orientation="portrait" horizontalDpi="300" verticalDpi="300" r:id="rId5"/>
  <headerFooter alignWithMargins="0"/>
  <ignoredErrors>
    <ignoredError sqref="B10:B114"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tabColor theme="1" tint="4.9989318521683403E-2"/>
  </sheetPr>
  <dimension ref="B1:J32"/>
  <sheetViews>
    <sheetView showGridLines="0" zoomScale="90" zoomScaleNormal="90" workbookViewId="0">
      <selection activeCell="P12" sqref="P12"/>
    </sheetView>
  </sheetViews>
  <sheetFormatPr defaultColWidth="9.140625" defaultRowHeight="15" x14ac:dyDescent="0.3"/>
  <cols>
    <col min="1" max="1" width="2" style="11" customWidth="1"/>
    <col min="2" max="2" width="9.28515625" style="11" customWidth="1"/>
    <col min="3" max="3" width="5.85546875" style="279" customWidth="1"/>
    <col min="4" max="4" width="49.42578125" style="11" customWidth="1"/>
    <col min="5" max="5" width="14.42578125" style="11" customWidth="1"/>
    <col min="6" max="7" width="15.42578125" style="11" customWidth="1"/>
    <col min="8" max="8" width="16" style="11" customWidth="1"/>
    <col min="9" max="9" width="16.140625" style="11" customWidth="1"/>
    <col min="10" max="10" width="11.140625" style="11" customWidth="1"/>
    <col min="11" max="16384" width="9.140625" style="11"/>
  </cols>
  <sheetData>
    <row r="1" spans="2:10" s="4" customFormat="1" ht="15" customHeight="1" x14ac:dyDescent="0.3">
      <c r="B1" s="788" t="s">
        <v>315</v>
      </c>
      <c r="C1" s="788"/>
      <c r="E1" s="275"/>
      <c r="F1" s="275"/>
      <c r="I1" s="791" t="s">
        <v>1232</v>
      </c>
      <c r="J1" s="791"/>
    </row>
    <row r="2" spans="2:10" ht="15" customHeight="1" x14ac:dyDescent="0.3">
      <c r="B2" s="788" t="s">
        <v>1209</v>
      </c>
      <c r="C2" s="788"/>
      <c r="D2" s="788"/>
      <c r="E2" s="788"/>
      <c r="F2" s="788"/>
      <c r="G2" s="788"/>
      <c r="H2" s="788"/>
      <c r="I2" s="788"/>
      <c r="J2" s="788"/>
    </row>
    <row r="3" spans="2:10" ht="15" customHeight="1" x14ac:dyDescent="0.3">
      <c r="C3" s="276"/>
      <c r="E3" s="4"/>
    </row>
    <row r="4" spans="2:10" s="278" customFormat="1" ht="15" customHeight="1" x14ac:dyDescent="0.35">
      <c r="B4" s="277"/>
      <c r="D4" s="786" t="s">
        <v>110</v>
      </c>
      <c r="E4" s="786"/>
      <c r="F4" s="786"/>
      <c r="G4" s="786"/>
      <c r="H4" s="786"/>
      <c r="I4" s="786"/>
      <c r="J4" s="786"/>
    </row>
    <row r="5" spans="2:10" ht="15" customHeight="1" thickBot="1" x14ac:dyDescent="0.35">
      <c r="I5" s="911" t="s">
        <v>323</v>
      </c>
      <c r="J5" s="911"/>
    </row>
    <row r="6" spans="2:10" s="232" customFormat="1" ht="62.25" customHeight="1" thickBot="1" x14ac:dyDescent="0.25">
      <c r="B6" s="400" t="s">
        <v>4627</v>
      </c>
      <c r="C6" s="555" t="s">
        <v>1211</v>
      </c>
      <c r="D6" s="532"/>
      <c r="E6" s="588" t="s">
        <v>308</v>
      </c>
      <c r="F6" s="588" t="s">
        <v>111</v>
      </c>
      <c r="G6" s="588" t="s">
        <v>112</v>
      </c>
      <c r="H6" s="588" t="s">
        <v>115</v>
      </c>
      <c r="I6" s="588" t="s">
        <v>113</v>
      </c>
      <c r="J6" s="589" t="s">
        <v>109</v>
      </c>
    </row>
    <row r="7" spans="2:10" ht="9" customHeight="1" thickBot="1" x14ac:dyDescent="0.35">
      <c r="C7" s="8"/>
      <c r="D7" s="4"/>
      <c r="E7" s="181"/>
      <c r="F7" s="181"/>
      <c r="G7" s="181"/>
      <c r="H7" s="181"/>
      <c r="I7" s="181"/>
      <c r="J7" s="181"/>
    </row>
    <row r="8" spans="2:10" s="143" customFormat="1" ht="15" customHeight="1" x14ac:dyDescent="0.2">
      <c r="B8" s="418" t="s">
        <v>3628</v>
      </c>
      <c r="C8" s="406">
        <v>1</v>
      </c>
      <c r="D8" s="590" t="s">
        <v>114</v>
      </c>
      <c r="E8" s="504"/>
      <c r="F8" s="504"/>
      <c r="G8" s="504"/>
      <c r="H8" s="504"/>
      <c r="I8" s="504"/>
      <c r="J8" s="409">
        <f t="shared" ref="J8:J24" si="0">SUM(E8:I8)</f>
        <v>0</v>
      </c>
    </row>
    <row r="9" spans="2:10" s="138" customFormat="1" ht="15" customHeight="1" x14ac:dyDescent="0.2">
      <c r="B9" s="60" t="s">
        <v>3629</v>
      </c>
      <c r="C9" s="499">
        <v>2</v>
      </c>
      <c r="D9" s="280" t="s">
        <v>3356</v>
      </c>
      <c r="E9" s="636"/>
      <c r="F9" s="636"/>
      <c r="G9" s="636"/>
      <c r="H9" s="636"/>
      <c r="I9" s="636"/>
      <c r="J9" s="260">
        <f t="shared" si="0"/>
        <v>0</v>
      </c>
    </row>
    <row r="10" spans="2:10" s="138" customFormat="1" ht="15" customHeight="1" x14ac:dyDescent="0.2">
      <c r="B10" s="60" t="s">
        <v>3630</v>
      </c>
      <c r="C10" s="499">
        <v>3</v>
      </c>
      <c r="D10" s="280" t="s">
        <v>329</v>
      </c>
      <c r="E10" s="636"/>
      <c r="F10" s="636"/>
      <c r="G10" s="636"/>
      <c r="H10" s="636"/>
      <c r="I10" s="636"/>
      <c r="J10" s="260">
        <f t="shared" si="0"/>
        <v>0</v>
      </c>
    </row>
    <row r="11" spans="2:10" s="138" customFormat="1" ht="15" customHeight="1" x14ac:dyDescent="0.2">
      <c r="B11" s="60" t="s">
        <v>3631</v>
      </c>
      <c r="C11" s="499">
        <v>4</v>
      </c>
      <c r="D11" s="280" t="s">
        <v>3357</v>
      </c>
      <c r="E11" s="636"/>
      <c r="F11" s="636"/>
      <c r="G11" s="636"/>
      <c r="H11" s="636"/>
      <c r="I11" s="636"/>
      <c r="J11" s="260">
        <f t="shared" si="0"/>
        <v>0</v>
      </c>
    </row>
    <row r="12" spans="2:10" s="138" customFormat="1" ht="15" customHeight="1" x14ac:dyDescent="0.2">
      <c r="B12" s="60" t="s">
        <v>3632</v>
      </c>
      <c r="C12" s="499">
        <v>5</v>
      </c>
      <c r="D12" s="280" t="s">
        <v>3358</v>
      </c>
      <c r="E12" s="636"/>
      <c r="F12" s="636"/>
      <c r="G12" s="636"/>
      <c r="H12" s="636"/>
      <c r="I12" s="636"/>
      <c r="J12" s="260">
        <f t="shared" si="0"/>
        <v>0</v>
      </c>
    </row>
    <row r="13" spans="2:10" s="138" customFormat="1" ht="15" customHeight="1" x14ac:dyDescent="0.2">
      <c r="B13" s="60" t="s">
        <v>3633</v>
      </c>
      <c r="C13" s="499">
        <v>6</v>
      </c>
      <c r="D13" s="280" t="s">
        <v>345</v>
      </c>
      <c r="E13" s="636"/>
      <c r="F13" s="636"/>
      <c r="G13" s="636"/>
      <c r="H13" s="636"/>
      <c r="I13" s="636"/>
      <c r="J13" s="260">
        <f t="shared" si="0"/>
        <v>0</v>
      </c>
    </row>
    <row r="14" spans="2:10" s="138" customFormat="1" ht="15" customHeight="1" x14ac:dyDescent="0.2">
      <c r="B14" s="60" t="s">
        <v>3634</v>
      </c>
      <c r="C14" s="499">
        <v>7</v>
      </c>
      <c r="D14" s="280" t="s">
        <v>3359</v>
      </c>
      <c r="E14" s="636"/>
      <c r="F14" s="636"/>
      <c r="G14" s="636"/>
      <c r="H14" s="636"/>
      <c r="I14" s="636"/>
      <c r="J14" s="260">
        <f t="shared" si="0"/>
        <v>0</v>
      </c>
    </row>
    <row r="15" spans="2:10" s="138" customFormat="1" ht="15" customHeight="1" x14ac:dyDescent="0.2">
      <c r="B15" s="60" t="s">
        <v>3635</v>
      </c>
      <c r="C15" s="499">
        <v>8</v>
      </c>
      <c r="D15" s="280" t="s">
        <v>3360</v>
      </c>
      <c r="E15" s="704"/>
      <c r="F15" s="704"/>
      <c r="G15" s="704"/>
      <c r="H15" s="704"/>
      <c r="I15" s="704"/>
      <c r="J15" s="260">
        <f t="shared" si="0"/>
        <v>0</v>
      </c>
    </row>
    <row r="16" spans="2:10" s="143" customFormat="1" ht="31.5" customHeight="1" x14ac:dyDescent="0.2">
      <c r="B16" s="60" t="s">
        <v>3636</v>
      </c>
      <c r="C16" s="591">
        <v>9</v>
      </c>
      <c r="D16" s="281" t="s">
        <v>4698</v>
      </c>
      <c r="E16" s="239">
        <f>E8+E9-E10+E11+E12+E13+E14-E15</f>
        <v>0</v>
      </c>
      <c r="F16" s="239">
        <f t="shared" ref="F16:I16" si="1">F8+F9-F10+F11+F12+F13+F14-F15</f>
        <v>0</v>
      </c>
      <c r="G16" s="239">
        <f t="shared" si="1"/>
        <v>0</v>
      </c>
      <c r="H16" s="239">
        <f t="shared" si="1"/>
        <v>0</v>
      </c>
      <c r="I16" s="239">
        <f t="shared" si="1"/>
        <v>0</v>
      </c>
      <c r="J16" s="240">
        <f t="shared" si="0"/>
        <v>0</v>
      </c>
    </row>
    <row r="17" spans="2:10" s="138" customFormat="1" ht="15" customHeight="1" x14ac:dyDescent="0.2">
      <c r="B17" s="60" t="s">
        <v>3637</v>
      </c>
      <c r="C17" s="499">
        <v>10</v>
      </c>
      <c r="D17" s="280" t="s">
        <v>3356</v>
      </c>
      <c r="E17" s="636"/>
      <c r="F17" s="636"/>
      <c r="G17" s="636"/>
      <c r="H17" s="636"/>
      <c r="I17" s="636"/>
      <c r="J17" s="260">
        <f t="shared" si="0"/>
        <v>0</v>
      </c>
    </row>
    <row r="18" spans="2:10" s="138" customFormat="1" ht="15" customHeight="1" x14ac:dyDescent="0.2">
      <c r="B18" s="60" t="s">
        <v>3638</v>
      </c>
      <c r="C18" s="499">
        <v>11</v>
      </c>
      <c r="D18" s="280" t="s">
        <v>329</v>
      </c>
      <c r="E18" s="636"/>
      <c r="F18" s="636"/>
      <c r="G18" s="636"/>
      <c r="H18" s="636"/>
      <c r="I18" s="636"/>
      <c r="J18" s="260">
        <f t="shared" si="0"/>
        <v>0</v>
      </c>
    </row>
    <row r="19" spans="2:10" s="138" customFormat="1" ht="15" customHeight="1" x14ac:dyDescent="0.2">
      <c r="B19" s="60" t="s">
        <v>3639</v>
      </c>
      <c r="C19" s="499">
        <v>12</v>
      </c>
      <c r="D19" s="280" t="s">
        <v>3357</v>
      </c>
      <c r="E19" s="636"/>
      <c r="F19" s="636"/>
      <c r="G19" s="636"/>
      <c r="H19" s="636"/>
      <c r="I19" s="636"/>
      <c r="J19" s="260">
        <f t="shared" si="0"/>
        <v>0</v>
      </c>
    </row>
    <row r="20" spans="2:10" s="138" customFormat="1" ht="15" customHeight="1" x14ac:dyDescent="0.2">
      <c r="B20" s="60" t="s">
        <v>3640</v>
      </c>
      <c r="C20" s="499">
        <v>13</v>
      </c>
      <c r="D20" s="280" t="s">
        <v>3358</v>
      </c>
      <c r="E20" s="636"/>
      <c r="F20" s="636"/>
      <c r="G20" s="636"/>
      <c r="H20" s="636"/>
      <c r="I20" s="636"/>
      <c r="J20" s="260">
        <f t="shared" si="0"/>
        <v>0</v>
      </c>
    </row>
    <row r="21" spans="2:10" s="138" customFormat="1" ht="15" customHeight="1" x14ac:dyDescent="0.2">
      <c r="B21" s="60" t="s">
        <v>3641</v>
      </c>
      <c r="C21" s="499">
        <v>14</v>
      </c>
      <c r="D21" s="280" t="s">
        <v>345</v>
      </c>
      <c r="E21" s="636"/>
      <c r="F21" s="636"/>
      <c r="G21" s="636"/>
      <c r="H21" s="636"/>
      <c r="I21" s="636"/>
      <c r="J21" s="260">
        <f t="shared" si="0"/>
        <v>0</v>
      </c>
    </row>
    <row r="22" spans="2:10" s="138" customFormat="1" ht="15" customHeight="1" x14ac:dyDescent="0.2">
      <c r="B22" s="60" t="s">
        <v>3642</v>
      </c>
      <c r="C22" s="499">
        <v>15</v>
      </c>
      <c r="D22" s="280" t="s">
        <v>3360</v>
      </c>
      <c r="E22" s="636"/>
      <c r="F22" s="636"/>
      <c r="G22" s="636"/>
      <c r="H22" s="636"/>
      <c r="I22" s="636"/>
      <c r="J22" s="260">
        <f t="shared" si="0"/>
        <v>0</v>
      </c>
    </row>
    <row r="23" spans="2:10" s="138" customFormat="1" ht="15" customHeight="1" x14ac:dyDescent="0.2">
      <c r="B23" s="60" t="s">
        <v>3643</v>
      </c>
      <c r="C23" s="499">
        <v>16</v>
      </c>
      <c r="D23" s="280" t="s">
        <v>3359</v>
      </c>
      <c r="E23" s="636"/>
      <c r="F23" s="636"/>
      <c r="G23" s="636"/>
      <c r="H23" s="636"/>
      <c r="I23" s="636"/>
      <c r="J23" s="260">
        <f t="shared" si="0"/>
        <v>0</v>
      </c>
    </row>
    <row r="24" spans="2:10" s="143" customFormat="1" ht="34.5" customHeight="1" thickBot="1" x14ac:dyDescent="0.25">
      <c r="B24" s="60" t="s">
        <v>3644</v>
      </c>
      <c r="C24" s="559">
        <v>17</v>
      </c>
      <c r="D24" s="282" t="s">
        <v>4699</v>
      </c>
      <c r="E24" s="241">
        <f>E16+E17-E18+E19+E20+E21-E22+E23</f>
        <v>0</v>
      </c>
      <c r="F24" s="241">
        <f>F16+F17-F18+F19+F20+F21-F22+F23</f>
        <v>0</v>
      </c>
      <c r="G24" s="241">
        <f>G16+G17-G18+G19+G20+G21-G22+G23</f>
        <v>0</v>
      </c>
      <c r="H24" s="241">
        <f>H16+H17-H18+H19+H20+H21-H22+H23</f>
        <v>0</v>
      </c>
      <c r="I24" s="241">
        <f>I16+I17-I18+I19+I20+I21-I22+I23</f>
        <v>0</v>
      </c>
      <c r="J24" s="242">
        <f t="shared" si="0"/>
        <v>0</v>
      </c>
    </row>
    <row r="27" spans="2:10" x14ac:dyDescent="0.3">
      <c r="C27" s="782"/>
      <c r="D27" s="782"/>
      <c r="E27" s="782"/>
      <c r="F27" s="782"/>
      <c r="G27" s="782"/>
      <c r="H27" s="33"/>
    </row>
    <row r="28" spans="2:10" x14ac:dyDescent="0.3">
      <c r="C28" s="845"/>
      <c r="D28" s="845"/>
      <c r="E28" s="845"/>
      <c r="F28" s="845"/>
      <c r="G28" s="845"/>
      <c r="H28" s="31"/>
    </row>
    <row r="29" spans="2:10" x14ac:dyDescent="0.3">
      <c r="C29" s="782"/>
      <c r="D29" s="782"/>
      <c r="E29" s="782"/>
      <c r="F29" s="782"/>
      <c r="G29" s="782"/>
      <c r="H29" s="33"/>
    </row>
    <row r="30" spans="2:10" x14ac:dyDescent="0.3">
      <c r="C30" s="845"/>
      <c r="D30" s="845"/>
      <c r="E30" s="845"/>
      <c r="F30" s="845"/>
      <c r="G30" s="845"/>
      <c r="H30" s="31"/>
    </row>
    <row r="31" spans="2:10" x14ac:dyDescent="0.3">
      <c r="C31" s="782"/>
      <c r="D31" s="782"/>
      <c r="E31" s="782"/>
      <c r="F31" s="782"/>
      <c r="G31" s="782"/>
      <c r="H31" s="33"/>
    </row>
    <row r="32" spans="2:10" x14ac:dyDescent="0.3">
      <c r="C32" s="845"/>
      <c r="D32" s="845"/>
      <c r="E32" s="845"/>
      <c r="F32" s="845"/>
      <c r="G32" s="845"/>
      <c r="H32" s="31"/>
    </row>
  </sheetData>
  <customSheetViews>
    <customSheetView guid="{F18E25A1-ACAC-4BA2-9084-15C64EADD71F}">
      <selection activeCell="E28" sqref="E28"/>
      <pageMargins left="0.38" right="0.33" top="0.5" bottom="0.5" header="0.25" footer="0.25"/>
      <pageSetup scale="95" orientation="landscape" r:id="rId1"/>
      <headerFooter alignWithMargins="0"/>
    </customSheetView>
    <customSheetView guid="{42441662-3193-455A-AAAC-E0697E2ED236}" showPageBreaks="1">
      <selection activeCell="E28" sqref="E28"/>
      <pageMargins left="0.38" right="0.33" top="0.5" bottom="0.5" header="0.25" footer="0.25"/>
      <pageSetup scale="95" orientation="landscape" r:id="rId2"/>
      <headerFooter alignWithMargins="0"/>
    </customSheetView>
    <customSheetView guid="{AB1DC9E9-A3E4-4BE0-8A49-B02D340E9D12}" topLeftCell="B4">
      <selection activeCell="B5" sqref="B5"/>
      <pageMargins left="0.38" right="0.33" top="0.5" bottom="0.5" header="0.25" footer="0.25"/>
      <pageSetup scale="95" orientation="landscape" r:id="rId3"/>
      <headerFooter alignWithMargins="0"/>
    </customSheetView>
    <customSheetView guid="{BC7A4191-54CC-4009-AB21-42ED557A5091}" showPageBreaks="1" showRuler="0" topLeftCell="A4">
      <selection activeCell="C10" sqref="C10"/>
      <pageMargins left="0.38" right="0.33" top="0.5" bottom="0.5" header="0.25" footer="0.25"/>
      <pageSetup scale="95" orientation="landscape" r:id="rId4"/>
      <headerFooter alignWithMargins="0"/>
    </customSheetView>
  </customSheetViews>
  <mergeCells count="11">
    <mergeCell ref="C32:G32"/>
    <mergeCell ref="B1:C1"/>
    <mergeCell ref="I5:J5"/>
    <mergeCell ref="I1:J1"/>
    <mergeCell ref="D4:J4"/>
    <mergeCell ref="B2:J2"/>
    <mergeCell ref="C27:G27"/>
    <mergeCell ref="C28:G28"/>
    <mergeCell ref="C29:G29"/>
    <mergeCell ref="C30:G30"/>
    <mergeCell ref="C31:G31"/>
  </mergeCells>
  <phoneticPr fontId="3" type="noConversion"/>
  <printOptions horizontalCentered="1"/>
  <pageMargins left="0.2" right="0.2" top="0.26" bottom="0.2" header="0.17" footer="0.17"/>
  <pageSetup scale="90" orientation="landscape" r:id="rId5"/>
  <headerFooter alignWithMargins="0"/>
  <ignoredErrors>
    <ignoredError sqref="B8:B14"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tint="4.9989318521683403E-2"/>
  </sheetPr>
  <dimension ref="B1:T380"/>
  <sheetViews>
    <sheetView showGridLines="0" zoomScale="90" zoomScaleNormal="90" workbookViewId="0">
      <selection activeCell="V12" sqref="V12"/>
    </sheetView>
  </sheetViews>
  <sheetFormatPr defaultColWidth="9.140625" defaultRowHeight="15" outlineLevelRow="1" x14ac:dyDescent="0.2"/>
  <cols>
    <col min="1" max="1" width="2" style="134" customWidth="1"/>
    <col min="2" max="2" width="7.7109375" style="134" customWidth="1"/>
    <col min="3" max="3" width="5.42578125" style="19" customWidth="1"/>
    <col min="4" max="4" width="57.5703125" style="134" customWidth="1"/>
    <col min="5" max="5" width="9.7109375" style="134" customWidth="1"/>
    <col min="6" max="6" width="13.5703125" style="134" customWidth="1"/>
    <col min="7" max="7" width="9.7109375" style="134" customWidth="1"/>
    <col min="8" max="8" width="13.7109375" style="134" customWidth="1"/>
    <col min="9" max="9" width="9.42578125" style="134" customWidth="1"/>
    <col min="10" max="10" width="13.5703125" style="134" customWidth="1"/>
    <col min="11" max="11" width="11.140625" style="134" customWidth="1"/>
    <col min="12" max="12" width="13.7109375" style="134" customWidth="1"/>
    <col min="13" max="13" width="9.5703125" style="134" customWidth="1"/>
    <col min="14" max="14" width="13.7109375" style="134" customWidth="1"/>
    <col min="15" max="15" width="9.5703125" style="134" customWidth="1"/>
    <col min="16" max="16" width="13.28515625" style="134" customWidth="1"/>
    <col min="17" max="17" width="9.5703125" style="134" customWidth="1"/>
    <col min="18" max="18" width="13.42578125" style="134" customWidth="1"/>
    <col min="19" max="19" width="11.140625" style="134" customWidth="1"/>
    <col min="20" max="20" width="13.5703125" style="134" customWidth="1"/>
    <col min="21" max="16384" width="9.140625" style="134"/>
  </cols>
  <sheetData>
    <row r="1" spans="2:20" s="30" customFormat="1" ht="15" customHeight="1" x14ac:dyDescent="0.2">
      <c r="B1" s="831" t="s">
        <v>315</v>
      </c>
      <c r="C1" s="831"/>
      <c r="D1" s="157"/>
      <c r="E1" s="134"/>
      <c r="S1" s="832" t="s">
        <v>1173</v>
      </c>
      <c r="T1" s="832"/>
    </row>
    <row r="2" spans="2:20" ht="15" customHeight="1" x14ac:dyDescent="0.2">
      <c r="B2" s="831" t="s">
        <v>4688</v>
      </c>
      <c r="C2" s="831"/>
      <c r="D2" s="831"/>
      <c r="E2" s="831"/>
      <c r="F2" s="831"/>
      <c r="G2" s="831"/>
      <c r="H2" s="831"/>
      <c r="I2" s="831"/>
      <c r="J2" s="831"/>
      <c r="K2" s="831"/>
      <c r="L2" s="831"/>
      <c r="M2" s="831"/>
      <c r="N2" s="831"/>
      <c r="O2" s="831"/>
      <c r="P2" s="831"/>
      <c r="Q2" s="831"/>
      <c r="R2" s="831"/>
      <c r="S2" s="831"/>
      <c r="T2" s="831"/>
    </row>
    <row r="3" spans="2:20" ht="15" customHeight="1" x14ac:dyDescent="0.2">
      <c r="D3" s="314"/>
    </row>
    <row r="4" spans="2:20" s="160" customFormat="1" ht="15" customHeight="1" x14ac:dyDescent="0.35">
      <c r="C4" s="852" t="s">
        <v>3329</v>
      </c>
      <c r="D4" s="852"/>
      <c r="E4" s="852"/>
      <c r="F4" s="852"/>
      <c r="G4" s="852"/>
      <c r="H4" s="852"/>
      <c r="I4" s="852"/>
      <c r="J4" s="852"/>
      <c r="K4" s="852"/>
      <c r="L4" s="852"/>
      <c r="M4" s="852"/>
      <c r="N4" s="852"/>
      <c r="O4" s="852"/>
      <c r="P4" s="852"/>
      <c r="Q4" s="852"/>
      <c r="R4" s="852"/>
      <c r="S4" s="852"/>
      <c r="T4" s="852"/>
    </row>
    <row r="5" spans="2:20" ht="15" customHeight="1" x14ac:dyDescent="0.2">
      <c r="E5" s="19"/>
      <c r="F5" s="19"/>
      <c r="G5" s="19"/>
      <c r="H5" s="19"/>
      <c r="I5" s="19"/>
      <c r="J5" s="19"/>
      <c r="K5" s="19"/>
      <c r="L5" s="19"/>
      <c r="M5" s="19"/>
      <c r="N5" s="19"/>
      <c r="O5" s="19"/>
      <c r="P5" s="19"/>
      <c r="Q5" s="19"/>
      <c r="R5" s="19"/>
      <c r="S5" s="19"/>
      <c r="T5" s="19"/>
    </row>
    <row r="6" spans="2:20" ht="15" customHeight="1" thickBot="1" x14ac:dyDescent="0.25">
      <c r="C6" s="954" t="s">
        <v>1142</v>
      </c>
      <c r="D6" s="954"/>
      <c r="E6" s="954"/>
      <c r="F6" s="954"/>
      <c r="G6" s="954"/>
      <c r="H6" s="954"/>
      <c r="I6" s="954"/>
      <c r="J6" s="954"/>
      <c r="K6" s="954"/>
      <c r="L6" s="954"/>
      <c r="M6" s="954"/>
      <c r="N6" s="954"/>
      <c r="O6" s="954"/>
      <c r="P6" s="954"/>
      <c r="Q6" s="954"/>
      <c r="R6" s="954"/>
      <c r="S6" s="986" t="s">
        <v>1172</v>
      </c>
      <c r="T6" s="986"/>
    </row>
    <row r="7" spans="2:20" s="226" customFormat="1" ht="18" customHeight="1" x14ac:dyDescent="0.2">
      <c r="B7" s="912" t="s">
        <v>4627</v>
      </c>
      <c r="C7" s="959" t="s">
        <v>1211</v>
      </c>
      <c r="D7" s="931" t="s">
        <v>95</v>
      </c>
      <c r="E7" s="955" t="s">
        <v>3330</v>
      </c>
      <c r="F7" s="956"/>
      <c r="G7" s="956"/>
      <c r="H7" s="956"/>
      <c r="I7" s="956"/>
      <c r="J7" s="956"/>
      <c r="K7" s="956"/>
      <c r="L7" s="957"/>
      <c r="M7" s="955" t="s">
        <v>3331</v>
      </c>
      <c r="N7" s="956"/>
      <c r="O7" s="956"/>
      <c r="P7" s="956"/>
      <c r="Q7" s="956"/>
      <c r="R7" s="956"/>
      <c r="S7" s="956"/>
      <c r="T7" s="958"/>
    </row>
    <row r="8" spans="2:20" s="226" customFormat="1" x14ac:dyDescent="0.2">
      <c r="B8" s="913"/>
      <c r="C8" s="960"/>
      <c r="D8" s="932"/>
      <c r="E8" s="973" t="s">
        <v>107</v>
      </c>
      <c r="F8" s="973"/>
      <c r="G8" s="973" t="s">
        <v>88</v>
      </c>
      <c r="H8" s="973"/>
      <c r="I8" s="978" t="s">
        <v>94</v>
      </c>
      <c r="J8" s="978"/>
      <c r="K8" s="979" t="s">
        <v>82</v>
      </c>
      <c r="L8" s="979"/>
      <c r="M8" s="973" t="s">
        <v>107</v>
      </c>
      <c r="N8" s="973"/>
      <c r="O8" s="973" t="s">
        <v>88</v>
      </c>
      <c r="P8" s="973"/>
      <c r="Q8" s="978" t="s">
        <v>94</v>
      </c>
      <c r="R8" s="978"/>
      <c r="S8" s="979" t="s">
        <v>235</v>
      </c>
      <c r="T8" s="980"/>
    </row>
    <row r="9" spans="2:20" s="226" customFormat="1" ht="30.75" customHeight="1" x14ac:dyDescent="0.2">
      <c r="B9" s="914"/>
      <c r="C9" s="961"/>
      <c r="D9" s="933"/>
      <c r="E9" s="331" t="s">
        <v>104</v>
      </c>
      <c r="F9" s="331" t="s">
        <v>101</v>
      </c>
      <c r="G9" s="331" t="s">
        <v>104</v>
      </c>
      <c r="H9" s="331" t="s">
        <v>101</v>
      </c>
      <c r="I9" s="331" t="s">
        <v>104</v>
      </c>
      <c r="J9" s="331" t="s">
        <v>101</v>
      </c>
      <c r="K9" s="332" t="s">
        <v>2848</v>
      </c>
      <c r="L9" s="332" t="s">
        <v>102</v>
      </c>
      <c r="M9" s="331" t="s">
        <v>104</v>
      </c>
      <c r="N9" s="331" t="s">
        <v>101</v>
      </c>
      <c r="O9" s="331" t="s">
        <v>104</v>
      </c>
      <c r="P9" s="331" t="s">
        <v>101</v>
      </c>
      <c r="Q9" s="331" t="s">
        <v>104</v>
      </c>
      <c r="R9" s="331" t="s">
        <v>101</v>
      </c>
      <c r="S9" s="332" t="s">
        <v>2849</v>
      </c>
      <c r="T9" s="333" t="s">
        <v>103</v>
      </c>
    </row>
    <row r="10" spans="2:20" s="334" customFormat="1" ht="12.75" customHeight="1" outlineLevel="1" x14ac:dyDescent="0.2">
      <c r="B10" s="592"/>
      <c r="C10" s="335"/>
      <c r="D10" s="336"/>
      <c r="E10" s="337" t="s">
        <v>401</v>
      </c>
      <c r="F10" s="337" t="s">
        <v>402</v>
      </c>
      <c r="G10" s="337" t="s">
        <v>403</v>
      </c>
      <c r="H10" s="337" t="s">
        <v>404</v>
      </c>
      <c r="I10" s="337" t="s">
        <v>405</v>
      </c>
      <c r="J10" s="337" t="s">
        <v>406</v>
      </c>
      <c r="K10" s="337" t="s">
        <v>407</v>
      </c>
      <c r="L10" s="337" t="s">
        <v>408</v>
      </c>
      <c r="M10" s="337" t="s">
        <v>416</v>
      </c>
      <c r="N10" s="337" t="s">
        <v>417</v>
      </c>
      <c r="O10" s="337" t="s">
        <v>418</v>
      </c>
      <c r="P10" s="337" t="s">
        <v>419</v>
      </c>
      <c r="Q10" s="337" t="s">
        <v>420</v>
      </c>
      <c r="R10" s="337" t="s">
        <v>421</v>
      </c>
      <c r="S10" s="337" t="s">
        <v>422</v>
      </c>
      <c r="T10" s="593" t="s">
        <v>423</v>
      </c>
    </row>
    <row r="11" spans="2:20" ht="13.5" customHeight="1" outlineLevel="1" x14ac:dyDescent="0.3">
      <c r="B11" s="60" t="s">
        <v>3628</v>
      </c>
      <c r="C11" s="604">
        <v>1</v>
      </c>
      <c r="D11" s="349" t="s">
        <v>83</v>
      </c>
      <c r="E11" s="678"/>
      <c r="F11" s="678"/>
      <c r="G11" s="678"/>
      <c r="H11" s="678"/>
      <c r="I11" s="678"/>
      <c r="J11" s="678"/>
      <c r="K11" s="239">
        <f>E11+G11+I11</f>
        <v>0</v>
      </c>
      <c r="L11" s="239">
        <f>F11+H11+J11</f>
        <v>0</v>
      </c>
      <c r="M11" s="678"/>
      <c r="N11" s="678"/>
      <c r="O11" s="678"/>
      <c r="P11" s="678"/>
      <c r="Q11" s="678"/>
      <c r="R11" s="678"/>
      <c r="S11" s="239">
        <f>M11+O11+Q11</f>
        <v>0</v>
      </c>
      <c r="T11" s="240">
        <f>N11+P11+R11</f>
        <v>0</v>
      </c>
    </row>
    <row r="12" spans="2:20" s="143" customFormat="1" ht="13.5" customHeight="1" outlineLevel="1" x14ac:dyDescent="0.3">
      <c r="B12" s="60" t="s">
        <v>3629</v>
      </c>
      <c r="C12" s="604">
        <v>2</v>
      </c>
      <c r="D12" s="349" t="s">
        <v>1202</v>
      </c>
      <c r="E12" s="635">
        <f t="shared" ref="E12:J12" si="0">SUM(E13:E14)</f>
        <v>0</v>
      </c>
      <c r="F12" s="635">
        <f t="shared" si="0"/>
        <v>0</v>
      </c>
      <c r="G12" s="635">
        <f t="shared" si="0"/>
        <v>0</v>
      </c>
      <c r="H12" s="635">
        <f t="shared" si="0"/>
        <v>0</v>
      </c>
      <c r="I12" s="635">
        <f t="shared" si="0"/>
        <v>0</v>
      </c>
      <c r="J12" s="635">
        <f t="shared" si="0"/>
        <v>0</v>
      </c>
      <c r="K12" s="239">
        <f>E12+G12+I12</f>
        <v>0</v>
      </c>
      <c r="L12" s="239">
        <f t="shared" ref="L12:L43" si="1">F12+H12+J12</f>
        <v>0</v>
      </c>
      <c r="M12" s="635">
        <f t="shared" ref="M12:R12" si="2">SUM(M13:M14)</f>
        <v>0</v>
      </c>
      <c r="N12" s="635">
        <f t="shared" si="2"/>
        <v>0</v>
      </c>
      <c r="O12" s="635">
        <f t="shared" si="2"/>
        <v>0</v>
      </c>
      <c r="P12" s="635">
        <f t="shared" si="2"/>
        <v>0</v>
      </c>
      <c r="Q12" s="635">
        <f t="shared" si="2"/>
        <v>0</v>
      </c>
      <c r="R12" s="635">
        <f t="shared" si="2"/>
        <v>0</v>
      </c>
      <c r="S12" s="239">
        <f t="shared" ref="S12:T44" si="3">M12+O12+Q12</f>
        <v>0</v>
      </c>
      <c r="T12" s="240">
        <f t="shared" si="3"/>
        <v>0</v>
      </c>
    </row>
    <row r="13" spans="2:20" ht="13.5" customHeight="1" outlineLevel="1" x14ac:dyDescent="0.3">
      <c r="B13" s="60" t="s">
        <v>3630</v>
      </c>
      <c r="C13" s="605">
        <v>3</v>
      </c>
      <c r="D13" s="356" t="s">
        <v>1200</v>
      </c>
      <c r="E13" s="636"/>
      <c r="F13" s="636"/>
      <c r="G13" s="636"/>
      <c r="H13" s="636"/>
      <c r="I13" s="636"/>
      <c r="J13" s="636"/>
      <c r="K13" s="259">
        <f t="shared" ref="K13:K44" si="4">E13+G13+I13</f>
        <v>0</v>
      </c>
      <c r="L13" s="259">
        <f t="shared" si="1"/>
        <v>0</v>
      </c>
      <c r="M13" s="636"/>
      <c r="N13" s="636"/>
      <c r="O13" s="636"/>
      <c r="P13" s="636"/>
      <c r="Q13" s="636"/>
      <c r="R13" s="636"/>
      <c r="S13" s="259">
        <f t="shared" si="3"/>
        <v>0</v>
      </c>
      <c r="T13" s="260">
        <f t="shared" si="3"/>
        <v>0</v>
      </c>
    </row>
    <row r="14" spans="2:20" ht="30" customHeight="1" outlineLevel="1" x14ac:dyDescent="0.2">
      <c r="B14" s="60" t="s">
        <v>3631</v>
      </c>
      <c r="C14" s="399">
        <v>4</v>
      </c>
      <c r="D14" s="350" t="s">
        <v>1201</v>
      </c>
      <c r="E14" s="636"/>
      <c r="F14" s="636"/>
      <c r="G14" s="636"/>
      <c r="H14" s="636"/>
      <c r="I14" s="636"/>
      <c r="J14" s="636"/>
      <c r="K14" s="259">
        <f t="shared" si="4"/>
        <v>0</v>
      </c>
      <c r="L14" s="259">
        <f t="shared" si="1"/>
        <v>0</v>
      </c>
      <c r="M14" s="636"/>
      <c r="N14" s="636"/>
      <c r="O14" s="636"/>
      <c r="P14" s="636"/>
      <c r="Q14" s="636"/>
      <c r="R14" s="636"/>
      <c r="S14" s="259">
        <f t="shared" si="3"/>
        <v>0</v>
      </c>
      <c r="T14" s="260">
        <f t="shared" si="3"/>
        <v>0</v>
      </c>
    </row>
    <row r="15" spans="2:20" s="143" customFormat="1" ht="13.5" customHeight="1" outlineLevel="1" x14ac:dyDescent="0.3">
      <c r="B15" s="60" t="s">
        <v>3632</v>
      </c>
      <c r="C15" s="606">
        <v>5</v>
      </c>
      <c r="D15" s="349" t="s">
        <v>51</v>
      </c>
      <c r="E15" s="635"/>
      <c r="F15" s="635"/>
      <c r="G15" s="635"/>
      <c r="H15" s="635"/>
      <c r="I15" s="635"/>
      <c r="J15" s="635"/>
      <c r="K15" s="239">
        <f t="shared" si="4"/>
        <v>0</v>
      </c>
      <c r="L15" s="239">
        <f t="shared" si="1"/>
        <v>0</v>
      </c>
      <c r="M15" s="635"/>
      <c r="N15" s="635"/>
      <c r="O15" s="635"/>
      <c r="P15" s="635"/>
      <c r="Q15" s="635"/>
      <c r="R15" s="635"/>
      <c r="S15" s="239">
        <f t="shared" si="3"/>
        <v>0</v>
      </c>
      <c r="T15" s="240">
        <f t="shared" si="3"/>
        <v>0</v>
      </c>
    </row>
    <row r="16" spans="2:20" s="143" customFormat="1" ht="30" customHeight="1" outlineLevel="1" x14ac:dyDescent="0.2">
      <c r="B16" s="60" t="s">
        <v>3633</v>
      </c>
      <c r="C16" s="604">
        <v>6</v>
      </c>
      <c r="D16" s="351" t="s">
        <v>1203</v>
      </c>
      <c r="E16" s="635">
        <f>SUM(E17:E18)</f>
        <v>0</v>
      </c>
      <c r="F16" s="635">
        <f>SUM(F17:F18)</f>
        <v>0</v>
      </c>
      <c r="G16" s="635">
        <f>SUM(G17:G18)</f>
        <v>0</v>
      </c>
      <c r="H16" s="635">
        <f t="shared" ref="H16:Q16" si="5">SUM(H17:H18)</f>
        <v>0</v>
      </c>
      <c r="I16" s="635">
        <f t="shared" si="5"/>
        <v>0</v>
      </c>
      <c r="J16" s="635">
        <f t="shared" si="5"/>
        <v>0</v>
      </c>
      <c r="K16" s="239">
        <f t="shared" si="4"/>
        <v>0</v>
      </c>
      <c r="L16" s="239">
        <f t="shared" si="1"/>
        <v>0</v>
      </c>
      <c r="M16" s="635">
        <f>SUM(M17:M18)</f>
        <v>0</v>
      </c>
      <c r="N16" s="635">
        <f t="shared" si="5"/>
        <v>0</v>
      </c>
      <c r="O16" s="635">
        <f t="shared" si="5"/>
        <v>0</v>
      </c>
      <c r="P16" s="635">
        <f t="shared" si="5"/>
        <v>0</v>
      </c>
      <c r="Q16" s="635">
        <f t="shared" si="5"/>
        <v>0</v>
      </c>
      <c r="R16" s="635">
        <f>SUM(R17:R18)</f>
        <v>0</v>
      </c>
      <c r="S16" s="239">
        <f>M16+O16+Q16</f>
        <v>0</v>
      </c>
      <c r="T16" s="240">
        <f t="shared" si="3"/>
        <v>0</v>
      </c>
    </row>
    <row r="17" spans="2:20" ht="30" customHeight="1" outlineLevel="1" x14ac:dyDescent="0.2">
      <c r="B17" s="60" t="s">
        <v>3634</v>
      </c>
      <c r="C17" s="605">
        <v>7</v>
      </c>
      <c r="D17" s="352" t="s">
        <v>3402</v>
      </c>
      <c r="E17" s="636"/>
      <c r="F17" s="636"/>
      <c r="G17" s="636"/>
      <c r="H17" s="636"/>
      <c r="I17" s="636"/>
      <c r="J17" s="636"/>
      <c r="K17" s="259">
        <f t="shared" si="4"/>
        <v>0</v>
      </c>
      <c r="L17" s="259">
        <f t="shared" si="1"/>
        <v>0</v>
      </c>
      <c r="M17" s="636"/>
      <c r="N17" s="636"/>
      <c r="O17" s="636"/>
      <c r="P17" s="636"/>
      <c r="Q17" s="636"/>
      <c r="R17" s="636"/>
      <c r="S17" s="259">
        <f t="shared" si="3"/>
        <v>0</v>
      </c>
      <c r="T17" s="260">
        <f t="shared" si="3"/>
        <v>0</v>
      </c>
    </row>
    <row r="18" spans="2:20" ht="15" customHeight="1" outlineLevel="1" x14ac:dyDescent="0.2">
      <c r="B18" s="60" t="s">
        <v>3635</v>
      </c>
      <c r="C18" s="399">
        <v>8</v>
      </c>
      <c r="D18" s="355" t="s">
        <v>44</v>
      </c>
      <c r="E18" s="636"/>
      <c r="F18" s="636"/>
      <c r="G18" s="636"/>
      <c r="H18" s="636"/>
      <c r="I18" s="636"/>
      <c r="J18" s="636"/>
      <c r="K18" s="259">
        <f t="shared" si="4"/>
        <v>0</v>
      </c>
      <c r="L18" s="259">
        <f t="shared" si="1"/>
        <v>0</v>
      </c>
      <c r="M18" s="636"/>
      <c r="N18" s="636"/>
      <c r="O18" s="636"/>
      <c r="P18" s="636"/>
      <c r="Q18" s="636"/>
      <c r="R18" s="636"/>
      <c r="S18" s="259">
        <f t="shared" si="3"/>
        <v>0</v>
      </c>
      <c r="T18" s="260">
        <f t="shared" si="3"/>
        <v>0</v>
      </c>
    </row>
    <row r="19" spans="2:20" s="143" customFormat="1" ht="45.75" customHeight="1" outlineLevel="1" x14ac:dyDescent="0.2">
      <c r="B19" s="60" t="s">
        <v>3636</v>
      </c>
      <c r="C19" s="606">
        <v>9</v>
      </c>
      <c r="D19" s="351" t="s">
        <v>1204</v>
      </c>
      <c r="E19" s="635">
        <f>SUM(E20:E22)</f>
        <v>0</v>
      </c>
      <c r="F19" s="635">
        <f t="shared" ref="F19:R19" si="6">SUM(F20:F22)</f>
        <v>0</v>
      </c>
      <c r="G19" s="635">
        <f t="shared" si="6"/>
        <v>0</v>
      </c>
      <c r="H19" s="635">
        <f t="shared" si="6"/>
        <v>0</v>
      </c>
      <c r="I19" s="635">
        <f t="shared" si="6"/>
        <v>0</v>
      </c>
      <c r="J19" s="635">
        <f t="shared" si="6"/>
        <v>0</v>
      </c>
      <c r="K19" s="239">
        <f t="shared" si="4"/>
        <v>0</v>
      </c>
      <c r="L19" s="239">
        <f t="shared" si="1"/>
        <v>0</v>
      </c>
      <c r="M19" s="635">
        <f>SUM(M20:M22)</f>
        <v>0</v>
      </c>
      <c r="N19" s="635">
        <f t="shared" si="6"/>
        <v>0</v>
      </c>
      <c r="O19" s="635">
        <f t="shared" si="6"/>
        <v>0</v>
      </c>
      <c r="P19" s="635">
        <f t="shared" si="6"/>
        <v>0</v>
      </c>
      <c r="Q19" s="635">
        <f t="shared" si="6"/>
        <v>0</v>
      </c>
      <c r="R19" s="635">
        <f t="shared" si="6"/>
        <v>0</v>
      </c>
      <c r="S19" s="239">
        <f t="shared" si="3"/>
        <v>0</v>
      </c>
      <c r="T19" s="240">
        <f t="shared" si="3"/>
        <v>0</v>
      </c>
    </row>
    <row r="20" spans="2:20" ht="30" customHeight="1" outlineLevel="1" x14ac:dyDescent="0.2">
      <c r="B20" s="60" t="s">
        <v>3637</v>
      </c>
      <c r="C20" s="399">
        <v>10</v>
      </c>
      <c r="D20" s="352" t="s">
        <v>1157</v>
      </c>
      <c r="E20" s="636"/>
      <c r="F20" s="636"/>
      <c r="G20" s="636"/>
      <c r="H20" s="636"/>
      <c r="I20" s="636"/>
      <c r="J20" s="636"/>
      <c r="K20" s="259">
        <f t="shared" si="4"/>
        <v>0</v>
      </c>
      <c r="L20" s="259">
        <f t="shared" si="1"/>
        <v>0</v>
      </c>
      <c r="M20" s="636"/>
      <c r="N20" s="636"/>
      <c r="O20" s="636"/>
      <c r="P20" s="636"/>
      <c r="Q20" s="636"/>
      <c r="R20" s="636"/>
      <c r="S20" s="259">
        <f t="shared" si="3"/>
        <v>0</v>
      </c>
      <c r="T20" s="260">
        <f t="shared" si="3"/>
        <v>0</v>
      </c>
    </row>
    <row r="21" spans="2:20" ht="30" customHeight="1" outlineLevel="1" x14ac:dyDescent="0.2">
      <c r="B21" s="60" t="s">
        <v>3638</v>
      </c>
      <c r="C21" s="605">
        <v>11</v>
      </c>
      <c r="D21" s="352" t="s">
        <v>45</v>
      </c>
      <c r="E21" s="636"/>
      <c r="F21" s="636"/>
      <c r="G21" s="636"/>
      <c r="H21" s="636"/>
      <c r="I21" s="636"/>
      <c r="J21" s="636"/>
      <c r="K21" s="259">
        <f t="shared" si="4"/>
        <v>0</v>
      </c>
      <c r="L21" s="259">
        <f t="shared" si="1"/>
        <v>0</v>
      </c>
      <c r="M21" s="636"/>
      <c r="N21" s="636"/>
      <c r="O21" s="636"/>
      <c r="P21" s="636"/>
      <c r="Q21" s="636"/>
      <c r="R21" s="636"/>
      <c r="S21" s="259">
        <f t="shared" si="3"/>
        <v>0</v>
      </c>
      <c r="T21" s="260">
        <f t="shared" si="3"/>
        <v>0</v>
      </c>
    </row>
    <row r="22" spans="2:20" ht="30" customHeight="1" outlineLevel="1" x14ac:dyDescent="0.2">
      <c r="B22" s="60" t="s">
        <v>3639</v>
      </c>
      <c r="C22" s="399">
        <v>12</v>
      </c>
      <c r="D22" s="352" t="s">
        <v>46</v>
      </c>
      <c r="E22" s="636"/>
      <c r="F22" s="636"/>
      <c r="G22" s="636"/>
      <c r="H22" s="636"/>
      <c r="I22" s="636"/>
      <c r="J22" s="636"/>
      <c r="K22" s="259">
        <f t="shared" si="4"/>
        <v>0</v>
      </c>
      <c r="L22" s="259">
        <f t="shared" si="1"/>
        <v>0</v>
      </c>
      <c r="M22" s="636"/>
      <c r="N22" s="636"/>
      <c r="O22" s="636"/>
      <c r="P22" s="636"/>
      <c r="Q22" s="636"/>
      <c r="R22" s="636"/>
      <c r="S22" s="259">
        <f t="shared" si="3"/>
        <v>0</v>
      </c>
      <c r="T22" s="260">
        <f t="shared" si="3"/>
        <v>0</v>
      </c>
    </row>
    <row r="23" spans="2:20" s="143" customFormat="1" ht="15" customHeight="1" outlineLevel="1" x14ac:dyDescent="0.2">
      <c r="B23" s="60" t="s">
        <v>3640</v>
      </c>
      <c r="C23" s="606">
        <v>13</v>
      </c>
      <c r="D23" s="353" t="s">
        <v>87</v>
      </c>
      <c r="E23" s="635"/>
      <c r="F23" s="635"/>
      <c r="G23" s="635"/>
      <c r="H23" s="635"/>
      <c r="I23" s="635"/>
      <c r="J23" s="635"/>
      <c r="K23" s="239">
        <f t="shared" si="4"/>
        <v>0</v>
      </c>
      <c r="L23" s="239">
        <f t="shared" si="1"/>
        <v>0</v>
      </c>
      <c r="M23" s="635"/>
      <c r="N23" s="635"/>
      <c r="O23" s="635"/>
      <c r="P23" s="635"/>
      <c r="Q23" s="635"/>
      <c r="R23" s="635"/>
      <c r="S23" s="239">
        <f t="shared" si="3"/>
        <v>0</v>
      </c>
      <c r="T23" s="240">
        <f t="shared" si="3"/>
        <v>0</v>
      </c>
    </row>
    <row r="24" spans="2:20" s="143" customFormat="1" ht="30" customHeight="1" outlineLevel="1" x14ac:dyDescent="0.2">
      <c r="B24" s="60" t="s">
        <v>3641</v>
      </c>
      <c r="C24" s="604">
        <v>14</v>
      </c>
      <c r="D24" s="351" t="s">
        <v>1143</v>
      </c>
      <c r="E24" s="635"/>
      <c r="F24" s="635"/>
      <c r="G24" s="635"/>
      <c r="H24" s="635"/>
      <c r="I24" s="635"/>
      <c r="J24" s="635"/>
      <c r="K24" s="239">
        <f t="shared" si="4"/>
        <v>0</v>
      </c>
      <c r="L24" s="239">
        <f t="shared" si="1"/>
        <v>0</v>
      </c>
      <c r="M24" s="635"/>
      <c r="N24" s="635"/>
      <c r="O24" s="635"/>
      <c r="P24" s="635"/>
      <c r="Q24" s="635"/>
      <c r="R24" s="635"/>
      <c r="S24" s="239">
        <f t="shared" si="3"/>
        <v>0</v>
      </c>
      <c r="T24" s="240">
        <f t="shared" si="3"/>
        <v>0</v>
      </c>
    </row>
    <row r="25" spans="2:20" s="143" customFormat="1" ht="31.5" customHeight="1" outlineLevel="1" x14ac:dyDescent="0.2">
      <c r="B25" s="60" t="s">
        <v>3642</v>
      </c>
      <c r="C25" s="606">
        <v>15</v>
      </c>
      <c r="D25" s="351" t="s">
        <v>53</v>
      </c>
      <c r="E25" s="635">
        <f t="shared" ref="E25:J25" si="7">SUM(E26:E27)</f>
        <v>0</v>
      </c>
      <c r="F25" s="635">
        <f t="shared" si="7"/>
        <v>0</v>
      </c>
      <c r="G25" s="635">
        <f t="shared" si="7"/>
        <v>0</v>
      </c>
      <c r="H25" s="635">
        <f t="shared" si="7"/>
        <v>0</v>
      </c>
      <c r="I25" s="635">
        <f t="shared" si="7"/>
        <v>0</v>
      </c>
      <c r="J25" s="635">
        <f t="shared" si="7"/>
        <v>0</v>
      </c>
      <c r="K25" s="239">
        <f t="shared" si="4"/>
        <v>0</v>
      </c>
      <c r="L25" s="239">
        <f t="shared" si="1"/>
        <v>0</v>
      </c>
      <c r="M25" s="635">
        <f t="shared" ref="M25:R25" si="8">SUM(M26:M27)</f>
        <v>0</v>
      </c>
      <c r="N25" s="635">
        <f t="shared" si="8"/>
        <v>0</v>
      </c>
      <c r="O25" s="635">
        <f t="shared" si="8"/>
        <v>0</v>
      </c>
      <c r="P25" s="635">
        <f t="shared" si="8"/>
        <v>0</v>
      </c>
      <c r="Q25" s="635">
        <f t="shared" si="8"/>
        <v>0</v>
      </c>
      <c r="R25" s="635">
        <f t="shared" si="8"/>
        <v>0</v>
      </c>
      <c r="S25" s="239">
        <f t="shared" si="3"/>
        <v>0</v>
      </c>
      <c r="T25" s="240">
        <f t="shared" si="3"/>
        <v>0</v>
      </c>
    </row>
    <row r="26" spans="2:20" ht="15" customHeight="1" outlineLevel="1" x14ac:dyDescent="0.2">
      <c r="B26" s="60" t="s">
        <v>3643</v>
      </c>
      <c r="C26" s="399">
        <v>16</v>
      </c>
      <c r="D26" s="350" t="s">
        <v>54</v>
      </c>
      <c r="E26" s="636"/>
      <c r="F26" s="636"/>
      <c r="G26" s="636"/>
      <c r="H26" s="636"/>
      <c r="I26" s="636"/>
      <c r="J26" s="636"/>
      <c r="K26" s="259">
        <f t="shared" si="4"/>
        <v>0</v>
      </c>
      <c r="L26" s="259">
        <f t="shared" si="1"/>
        <v>0</v>
      </c>
      <c r="M26" s="636"/>
      <c r="N26" s="636"/>
      <c r="O26" s="636"/>
      <c r="P26" s="636"/>
      <c r="Q26" s="636"/>
      <c r="R26" s="636"/>
      <c r="S26" s="259">
        <f t="shared" si="3"/>
        <v>0</v>
      </c>
      <c r="T26" s="260">
        <f t="shared" si="3"/>
        <v>0</v>
      </c>
    </row>
    <row r="27" spans="2:20" ht="30" customHeight="1" outlineLevel="1" x14ac:dyDescent="0.2">
      <c r="B27" s="60" t="s">
        <v>3644</v>
      </c>
      <c r="C27" s="605">
        <v>17</v>
      </c>
      <c r="D27" s="352" t="s">
        <v>1144</v>
      </c>
      <c r="E27" s="636"/>
      <c r="F27" s="636"/>
      <c r="G27" s="636"/>
      <c r="H27" s="636"/>
      <c r="I27" s="636"/>
      <c r="J27" s="636"/>
      <c r="K27" s="259">
        <f t="shared" si="4"/>
        <v>0</v>
      </c>
      <c r="L27" s="259">
        <f t="shared" si="1"/>
        <v>0</v>
      </c>
      <c r="M27" s="636"/>
      <c r="N27" s="636"/>
      <c r="O27" s="636"/>
      <c r="P27" s="636"/>
      <c r="Q27" s="636"/>
      <c r="R27" s="636"/>
      <c r="S27" s="259">
        <f t="shared" si="3"/>
        <v>0</v>
      </c>
      <c r="T27" s="260">
        <f t="shared" si="3"/>
        <v>0</v>
      </c>
    </row>
    <row r="28" spans="2:20" s="143" customFormat="1" ht="30" customHeight="1" outlineLevel="1" x14ac:dyDescent="0.2">
      <c r="B28" s="60" t="s">
        <v>3645</v>
      </c>
      <c r="C28" s="604">
        <v>18</v>
      </c>
      <c r="D28" s="351" t="s">
        <v>1158</v>
      </c>
      <c r="E28" s="635"/>
      <c r="F28" s="635"/>
      <c r="G28" s="635"/>
      <c r="H28" s="635"/>
      <c r="I28" s="635"/>
      <c r="J28" s="635"/>
      <c r="K28" s="239">
        <f t="shared" si="4"/>
        <v>0</v>
      </c>
      <c r="L28" s="239">
        <f t="shared" si="1"/>
        <v>0</v>
      </c>
      <c r="M28" s="635"/>
      <c r="N28" s="635"/>
      <c r="O28" s="635"/>
      <c r="P28" s="635"/>
      <c r="Q28" s="635"/>
      <c r="R28" s="635"/>
      <c r="S28" s="239">
        <f t="shared" si="3"/>
        <v>0</v>
      </c>
      <c r="T28" s="240">
        <f t="shared" si="3"/>
        <v>0</v>
      </c>
    </row>
    <row r="29" spans="2:20" s="143" customFormat="1" ht="32.25" customHeight="1" outlineLevel="1" x14ac:dyDescent="0.2">
      <c r="B29" s="60" t="s">
        <v>3646</v>
      </c>
      <c r="C29" s="606">
        <v>19</v>
      </c>
      <c r="D29" s="351" t="s">
        <v>3398</v>
      </c>
      <c r="E29" s="635">
        <f t="shared" ref="E29:J29" si="9">SUM(E30:E31)</f>
        <v>0</v>
      </c>
      <c r="F29" s="635">
        <f t="shared" si="9"/>
        <v>0</v>
      </c>
      <c r="G29" s="635">
        <f t="shared" si="9"/>
        <v>0</v>
      </c>
      <c r="H29" s="635">
        <f t="shared" si="9"/>
        <v>0</v>
      </c>
      <c r="I29" s="635">
        <f t="shared" si="9"/>
        <v>0</v>
      </c>
      <c r="J29" s="635">
        <f t="shared" si="9"/>
        <v>0</v>
      </c>
      <c r="K29" s="239">
        <f t="shared" si="4"/>
        <v>0</v>
      </c>
      <c r="L29" s="239">
        <f t="shared" si="1"/>
        <v>0</v>
      </c>
      <c r="M29" s="635">
        <f t="shared" ref="M29:R29" si="10">SUM(M30:M31)</f>
        <v>0</v>
      </c>
      <c r="N29" s="635">
        <f t="shared" si="10"/>
        <v>0</v>
      </c>
      <c r="O29" s="635">
        <f t="shared" si="10"/>
        <v>0</v>
      </c>
      <c r="P29" s="635">
        <f t="shared" si="10"/>
        <v>0</v>
      </c>
      <c r="Q29" s="635">
        <f t="shared" si="10"/>
        <v>0</v>
      </c>
      <c r="R29" s="635">
        <f t="shared" si="10"/>
        <v>0</v>
      </c>
      <c r="S29" s="239">
        <f t="shared" si="3"/>
        <v>0</v>
      </c>
      <c r="T29" s="240">
        <f t="shared" si="3"/>
        <v>0</v>
      </c>
    </row>
    <row r="30" spans="2:20" s="138" customFormat="1" ht="15" customHeight="1" outlineLevel="1" x14ac:dyDescent="0.2">
      <c r="B30" s="60" t="s">
        <v>3647</v>
      </c>
      <c r="C30" s="399">
        <v>20</v>
      </c>
      <c r="D30" s="352" t="s">
        <v>1160</v>
      </c>
      <c r="E30" s="636"/>
      <c r="F30" s="636"/>
      <c r="G30" s="636"/>
      <c r="H30" s="636"/>
      <c r="I30" s="636"/>
      <c r="J30" s="636"/>
      <c r="K30" s="259">
        <f t="shared" si="4"/>
        <v>0</v>
      </c>
      <c r="L30" s="259">
        <f t="shared" si="1"/>
        <v>0</v>
      </c>
      <c r="M30" s="636"/>
      <c r="N30" s="636"/>
      <c r="O30" s="636"/>
      <c r="P30" s="636"/>
      <c r="Q30" s="636"/>
      <c r="R30" s="636"/>
      <c r="S30" s="259">
        <f t="shared" si="3"/>
        <v>0</v>
      </c>
      <c r="T30" s="260">
        <f t="shared" si="3"/>
        <v>0</v>
      </c>
    </row>
    <row r="31" spans="2:20" s="138" customFormat="1" ht="30" customHeight="1" outlineLevel="1" x14ac:dyDescent="0.2">
      <c r="B31" s="60" t="s">
        <v>3648</v>
      </c>
      <c r="C31" s="605">
        <v>21</v>
      </c>
      <c r="D31" s="352" t="s">
        <v>1161</v>
      </c>
      <c r="E31" s="636"/>
      <c r="F31" s="636"/>
      <c r="G31" s="636"/>
      <c r="H31" s="636"/>
      <c r="I31" s="636"/>
      <c r="J31" s="636"/>
      <c r="K31" s="259">
        <f t="shared" si="4"/>
        <v>0</v>
      </c>
      <c r="L31" s="259">
        <f t="shared" si="1"/>
        <v>0</v>
      </c>
      <c r="M31" s="636"/>
      <c r="N31" s="636"/>
      <c r="O31" s="636"/>
      <c r="P31" s="636"/>
      <c r="Q31" s="636"/>
      <c r="R31" s="636"/>
      <c r="S31" s="259">
        <f t="shared" si="3"/>
        <v>0</v>
      </c>
      <c r="T31" s="260">
        <f t="shared" si="3"/>
        <v>0</v>
      </c>
    </row>
    <row r="32" spans="2:20" s="143" customFormat="1" ht="15" customHeight="1" outlineLevel="1" x14ac:dyDescent="0.2">
      <c r="B32" s="60" t="s">
        <v>3649</v>
      </c>
      <c r="C32" s="604">
        <v>22</v>
      </c>
      <c r="D32" s="351" t="s">
        <v>84</v>
      </c>
      <c r="E32" s="635"/>
      <c r="F32" s="635"/>
      <c r="G32" s="635"/>
      <c r="H32" s="635"/>
      <c r="I32" s="635"/>
      <c r="J32" s="635"/>
      <c r="K32" s="239">
        <f t="shared" si="4"/>
        <v>0</v>
      </c>
      <c r="L32" s="239">
        <f t="shared" si="1"/>
        <v>0</v>
      </c>
      <c r="M32" s="635"/>
      <c r="N32" s="635"/>
      <c r="O32" s="635"/>
      <c r="P32" s="635"/>
      <c r="Q32" s="635"/>
      <c r="R32" s="635"/>
      <c r="S32" s="239">
        <f t="shared" si="3"/>
        <v>0</v>
      </c>
      <c r="T32" s="240">
        <f>N32+P32+R32</f>
        <v>0</v>
      </c>
    </row>
    <row r="33" spans="2:20" s="143" customFormat="1" ht="30" customHeight="1" outlineLevel="1" x14ac:dyDescent="0.2">
      <c r="B33" s="60" t="s">
        <v>3650</v>
      </c>
      <c r="C33" s="606">
        <v>23</v>
      </c>
      <c r="D33" s="351" t="s">
        <v>4629</v>
      </c>
      <c r="E33" s="635"/>
      <c r="F33" s="635"/>
      <c r="G33" s="635"/>
      <c r="H33" s="635"/>
      <c r="I33" s="635"/>
      <c r="J33" s="635"/>
      <c r="K33" s="239">
        <f t="shared" si="4"/>
        <v>0</v>
      </c>
      <c r="L33" s="239">
        <f t="shared" si="1"/>
        <v>0</v>
      </c>
      <c r="M33" s="635"/>
      <c r="N33" s="635"/>
      <c r="O33" s="635"/>
      <c r="P33" s="635"/>
      <c r="Q33" s="635"/>
      <c r="R33" s="635"/>
      <c r="S33" s="239">
        <f t="shared" si="3"/>
        <v>0</v>
      </c>
      <c r="T33" s="240">
        <f t="shared" si="3"/>
        <v>0</v>
      </c>
    </row>
    <row r="34" spans="2:20" s="143" customFormat="1" ht="13.5" customHeight="1" outlineLevel="1" x14ac:dyDescent="0.3">
      <c r="B34" s="60" t="s">
        <v>3651</v>
      </c>
      <c r="C34" s="604">
        <v>24</v>
      </c>
      <c r="D34" s="349" t="s">
        <v>85</v>
      </c>
      <c r="E34" s="635"/>
      <c r="F34" s="635"/>
      <c r="G34" s="635"/>
      <c r="H34" s="635"/>
      <c r="I34" s="635"/>
      <c r="J34" s="635"/>
      <c r="K34" s="239">
        <f t="shared" si="4"/>
        <v>0</v>
      </c>
      <c r="L34" s="239">
        <f t="shared" si="1"/>
        <v>0</v>
      </c>
      <c r="M34" s="635"/>
      <c r="N34" s="635"/>
      <c r="O34" s="635"/>
      <c r="P34" s="635"/>
      <c r="Q34" s="635"/>
      <c r="R34" s="635"/>
      <c r="S34" s="239">
        <f t="shared" si="3"/>
        <v>0</v>
      </c>
      <c r="T34" s="240">
        <f t="shared" si="3"/>
        <v>0</v>
      </c>
    </row>
    <row r="35" spans="2:20" s="143" customFormat="1" ht="13.5" customHeight="1" outlineLevel="1" x14ac:dyDescent="0.3">
      <c r="B35" s="60" t="s">
        <v>3652</v>
      </c>
      <c r="C35" s="606">
        <v>25</v>
      </c>
      <c r="D35" s="349" t="s">
        <v>1146</v>
      </c>
      <c r="E35" s="635">
        <f t="shared" ref="E35:J35" si="11">SUM(E36:E38)</f>
        <v>0</v>
      </c>
      <c r="F35" s="635">
        <f t="shared" si="11"/>
        <v>0</v>
      </c>
      <c r="G35" s="635">
        <f t="shared" si="11"/>
        <v>0</v>
      </c>
      <c r="H35" s="635">
        <f t="shared" si="11"/>
        <v>0</v>
      </c>
      <c r="I35" s="635">
        <f t="shared" si="11"/>
        <v>0</v>
      </c>
      <c r="J35" s="635">
        <f t="shared" si="11"/>
        <v>0</v>
      </c>
      <c r="K35" s="239">
        <f t="shared" si="4"/>
        <v>0</v>
      </c>
      <c r="L35" s="239">
        <f t="shared" si="1"/>
        <v>0</v>
      </c>
      <c r="M35" s="635">
        <f t="shared" ref="M35:R35" si="12">SUM(M36:M38)</f>
        <v>0</v>
      </c>
      <c r="N35" s="635">
        <f t="shared" si="12"/>
        <v>0</v>
      </c>
      <c r="O35" s="635">
        <f t="shared" si="12"/>
        <v>0</v>
      </c>
      <c r="P35" s="635">
        <f t="shared" si="12"/>
        <v>0</v>
      </c>
      <c r="Q35" s="635">
        <f t="shared" si="12"/>
        <v>0</v>
      </c>
      <c r="R35" s="635">
        <f t="shared" si="12"/>
        <v>0</v>
      </c>
      <c r="S35" s="239">
        <f t="shared" si="3"/>
        <v>0</v>
      </c>
      <c r="T35" s="240">
        <f t="shared" si="3"/>
        <v>0</v>
      </c>
    </row>
    <row r="36" spans="2:20" s="138" customFormat="1" ht="30" customHeight="1" outlineLevel="1" x14ac:dyDescent="0.2">
      <c r="B36" s="60" t="s">
        <v>3653</v>
      </c>
      <c r="C36" s="399">
        <v>26</v>
      </c>
      <c r="D36" s="352" t="s">
        <v>41</v>
      </c>
      <c r="E36" s="636"/>
      <c r="F36" s="636"/>
      <c r="G36" s="636"/>
      <c r="H36" s="636"/>
      <c r="I36" s="636"/>
      <c r="J36" s="636"/>
      <c r="K36" s="259">
        <f t="shared" si="4"/>
        <v>0</v>
      </c>
      <c r="L36" s="259">
        <f t="shared" si="1"/>
        <v>0</v>
      </c>
      <c r="M36" s="636"/>
      <c r="N36" s="636"/>
      <c r="O36" s="636"/>
      <c r="P36" s="636"/>
      <c r="Q36" s="636"/>
      <c r="R36" s="636"/>
      <c r="S36" s="259">
        <f t="shared" si="3"/>
        <v>0</v>
      </c>
      <c r="T36" s="260">
        <f t="shared" si="3"/>
        <v>0</v>
      </c>
    </row>
    <row r="37" spans="2:20" s="138" customFormat="1" ht="13.5" customHeight="1" outlineLevel="1" x14ac:dyDescent="0.3">
      <c r="B37" s="60" t="s">
        <v>3654</v>
      </c>
      <c r="C37" s="605">
        <v>27</v>
      </c>
      <c r="D37" s="354" t="s">
        <v>47</v>
      </c>
      <c r="E37" s="636"/>
      <c r="F37" s="636"/>
      <c r="G37" s="636"/>
      <c r="H37" s="636"/>
      <c r="I37" s="636"/>
      <c r="J37" s="636"/>
      <c r="K37" s="259">
        <f t="shared" si="4"/>
        <v>0</v>
      </c>
      <c r="L37" s="259">
        <f t="shared" si="1"/>
        <v>0</v>
      </c>
      <c r="M37" s="636"/>
      <c r="N37" s="636"/>
      <c r="O37" s="636"/>
      <c r="P37" s="636"/>
      <c r="Q37" s="636"/>
      <c r="R37" s="636"/>
      <c r="S37" s="259">
        <f t="shared" si="3"/>
        <v>0</v>
      </c>
      <c r="T37" s="260">
        <f t="shared" si="3"/>
        <v>0</v>
      </c>
    </row>
    <row r="38" spans="2:20" s="138" customFormat="1" ht="13.5" customHeight="1" outlineLevel="1" x14ac:dyDescent="0.3">
      <c r="B38" s="60" t="s">
        <v>3655</v>
      </c>
      <c r="C38" s="399">
        <v>28</v>
      </c>
      <c r="D38" s="354" t="s">
        <v>48</v>
      </c>
      <c r="E38" s="636"/>
      <c r="F38" s="636"/>
      <c r="G38" s="636"/>
      <c r="H38" s="636"/>
      <c r="I38" s="636"/>
      <c r="J38" s="636"/>
      <c r="K38" s="259">
        <f t="shared" si="4"/>
        <v>0</v>
      </c>
      <c r="L38" s="259">
        <f t="shared" si="1"/>
        <v>0</v>
      </c>
      <c r="M38" s="636"/>
      <c r="N38" s="636"/>
      <c r="O38" s="636"/>
      <c r="P38" s="636"/>
      <c r="Q38" s="636"/>
      <c r="R38" s="636"/>
      <c r="S38" s="259">
        <f t="shared" si="3"/>
        <v>0</v>
      </c>
      <c r="T38" s="260">
        <f t="shared" si="3"/>
        <v>0</v>
      </c>
    </row>
    <row r="39" spans="2:20" s="143" customFormat="1" ht="13.5" customHeight="1" outlineLevel="1" x14ac:dyDescent="0.3">
      <c r="B39" s="60" t="s">
        <v>3656</v>
      </c>
      <c r="C39" s="606">
        <v>29</v>
      </c>
      <c r="D39" s="349" t="s">
        <v>86</v>
      </c>
      <c r="E39" s="635"/>
      <c r="F39" s="635"/>
      <c r="G39" s="635"/>
      <c r="H39" s="635"/>
      <c r="I39" s="635"/>
      <c r="J39" s="635"/>
      <c r="K39" s="239">
        <f t="shared" si="4"/>
        <v>0</v>
      </c>
      <c r="L39" s="239">
        <f t="shared" si="1"/>
        <v>0</v>
      </c>
      <c r="M39" s="635"/>
      <c r="N39" s="635"/>
      <c r="O39" s="635"/>
      <c r="P39" s="635"/>
      <c r="Q39" s="635"/>
      <c r="R39" s="635"/>
      <c r="S39" s="239">
        <f t="shared" si="3"/>
        <v>0</v>
      </c>
      <c r="T39" s="240">
        <f t="shared" si="3"/>
        <v>0</v>
      </c>
    </row>
    <row r="40" spans="2:20" s="143" customFormat="1" ht="45" customHeight="1" outlineLevel="1" x14ac:dyDescent="0.2">
      <c r="B40" s="60" t="s">
        <v>3657</v>
      </c>
      <c r="C40" s="604">
        <v>30</v>
      </c>
      <c r="D40" s="351" t="s">
        <v>4630</v>
      </c>
      <c r="E40" s="635">
        <f>SUM(E41:E43)</f>
        <v>0</v>
      </c>
      <c r="F40" s="635">
        <f>SUM(F41:F43)</f>
        <v>0</v>
      </c>
      <c r="G40" s="635">
        <f t="shared" ref="G40:R40" si="13">SUM(G41:G43)</f>
        <v>0</v>
      </c>
      <c r="H40" s="635">
        <f t="shared" si="13"/>
        <v>0</v>
      </c>
      <c r="I40" s="635">
        <f t="shared" si="13"/>
        <v>0</v>
      </c>
      <c r="J40" s="635">
        <f t="shared" si="13"/>
        <v>0</v>
      </c>
      <c r="K40" s="239">
        <f t="shared" si="4"/>
        <v>0</v>
      </c>
      <c r="L40" s="239">
        <f t="shared" si="1"/>
        <v>0</v>
      </c>
      <c r="M40" s="635">
        <f>SUM(M41:M43)</f>
        <v>0</v>
      </c>
      <c r="N40" s="635">
        <f t="shared" si="13"/>
        <v>0</v>
      </c>
      <c r="O40" s="635">
        <f t="shared" si="13"/>
        <v>0</v>
      </c>
      <c r="P40" s="635">
        <f t="shared" si="13"/>
        <v>0</v>
      </c>
      <c r="Q40" s="635">
        <f t="shared" si="13"/>
        <v>0</v>
      </c>
      <c r="R40" s="635">
        <f t="shared" si="13"/>
        <v>0</v>
      </c>
      <c r="S40" s="239">
        <f t="shared" si="3"/>
        <v>0</v>
      </c>
      <c r="T40" s="240">
        <f t="shared" si="3"/>
        <v>0</v>
      </c>
    </row>
    <row r="41" spans="2:20" ht="13.5" customHeight="1" outlineLevel="1" x14ac:dyDescent="0.3">
      <c r="B41" s="60" t="s">
        <v>3658</v>
      </c>
      <c r="C41" s="605">
        <v>31</v>
      </c>
      <c r="D41" s="354" t="s">
        <v>49</v>
      </c>
      <c r="E41" s="636"/>
      <c r="F41" s="636"/>
      <c r="G41" s="636"/>
      <c r="H41" s="636"/>
      <c r="I41" s="636"/>
      <c r="J41" s="636"/>
      <c r="K41" s="259">
        <f t="shared" si="4"/>
        <v>0</v>
      </c>
      <c r="L41" s="259">
        <f t="shared" si="1"/>
        <v>0</v>
      </c>
      <c r="M41" s="636"/>
      <c r="N41" s="636"/>
      <c r="O41" s="636"/>
      <c r="P41" s="636"/>
      <c r="Q41" s="636"/>
      <c r="R41" s="636"/>
      <c r="S41" s="259">
        <f t="shared" si="3"/>
        <v>0</v>
      </c>
      <c r="T41" s="260">
        <f t="shared" si="3"/>
        <v>0</v>
      </c>
    </row>
    <row r="42" spans="2:20" ht="13.5" customHeight="1" outlineLevel="1" x14ac:dyDescent="0.3">
      <c r="B42" s="60" t="s">
        <v>3659</v>
      </c>
      <c r="C42" s="399">
        <v>32</v>
      </c>
      <c r="D42" s="356" t="s">
        <v>50</v>
      </c>
      <c r="E42" s="636"/>
      <c r="F42" s="636"/>
      <c r="G42" s="636"/>
      <c r="H42" s="636"/>
      <c r="I42" s="636"/>
      <c r="J42" s="636"/>
      <c r="K42" s="259">
        <f t="shared" si="4"/>
        <v>0</v>
      </c>
      <c r="L42" s="259">
        <f t="shared" si="1"/>
        <v>0</v>
      </c>
      <c r="M42" s="636"/>
      <c r="N42" s="636"/>
      <c r="O42" s="636"/>
      <c r="P42" s="636"/>
      <c r="Q42" s="636"/>
      <c r="R42" s="636"/>
      <c r="S42" s="259">
        <f t="shared" si="3"/>
        <v>0</v>
      </c>
      <c r="T42" s="260">
        <f t="shared" si="3"/>
        <v>0</v>
      </c>
    </row>
    <row r="43" spans="2:20" ht="13.5" customHeight="1" outlineLevel="1" x14ac:dyDescent="0.3">
      <c r="B43" s="60" t="s">
        <v>3660</v>
      </c>
      <c r="C43" s="605">
        <v>33</v>
      </c>
      <c r="D43" s="354" t="s">
        <v>1159</v>
      </c>
      <c r="E43" s="636"/>
      <c r="F43" s="636"/>
      <c r="G43" s="636"/>
      <c r="H43" s="636"/>
      <c r="I43" s="636"/>
      <c r="J43" s="636"/>
      <c r="K43" s="259">
        <f t="shared" si="4"/>
        <v>0</v>
      </c>
      <c r="L43" s="259">
        <f t="shared" si="1"/>
        <v>0</v>
      </c>
      <c r="M43" s="636"/>
      <c r="N43" s="636"/>
      <c r="O43" s="636"/>
      <c r="P43" s="636"/>
      <c r="Q43" s="636"/>
      <c r="R43" s="636"/>
      <c r="S43" s="259">
        <f t="shared" si="3"/>
        <v>0</v>
      </c>
      <c r="T43" s="260">
        <f t="shared" si="3"/>
        <v>0</v>
      </c>
    </row>
    <row r="44" spans="2:20" s="143" customFormat="1" ht="13.5" customHeight="1" outlineLevel="1" x14ac:dyDescent="0.3">
      <c r="B44" s="601" t="s">
        <v>3661</v>
      </c>
      <c r="C44" s="604">
        <v>34</v>
      </c>
      <c r="D44" s="349" t="s">
        <v>52</v>
      </c>
      <c r="E44" s="635"/>
      <c r="F44" s="635"/>
      <c r="G44" s="635"/>
      <c r="H44" s="635"/>
      <c r="I44" s="635"/>
      <c r="J44" s="635"/>
      <c r="K44" s="239">
        <f t="shared" si="4"/>
        <v>0</v>
      </c>
      <c r="L44" s="239">
        <f>F44+H44+J44</f>
        <v>0</v>
      </c>
      <c r="M44" s="635"/>
      <c r="N44" s="635"/>
      <c r="O44" s="635"/>
      <c r="P44" s="635"/>
      <c r="Q44" s="635"/>
      <c r="R44" s="635"/>
      <c r="S44" s="239">
        <f t="shared" si="3"/>
        <v>0</v>
      </c>
      <c r="T44" s="240">
        <f>N44+P44+R44</f>
        <v>0</v>
      </c>
    </row>
    <row r="45" spans="2:20" s="142" customFormat="1" ht="29.25" customHeight="1" thickBot="1" x14ac:dyDescent="0.35">
      <c r="B45" s="491" t="s">
        <v>3662</v>
      </c>
      <c r="C45" s="971" t="s">
        <v>3401</v>
      </c>
      <c r="D45" s="972"/>
      <c r="E45" s="241">
        <f>E11+E12+E15+E16+E19+E23+E24+E25+E28+E29+E32+E33+E34+E35+E39+E40+E44</f>
        <v>0</v>
      </c>
      <c r="F45" s="241">
        <f t="shared" ref="F45:R45" si="14">F11+F12+F15+F16+F19+F23+F24+F25+F28+F29+F32+F33+F34+F35+F39+F40+F44</f>
        <v>0</v>
      </c>
      <c r="G45" s="241">
        <f t="shared" si="14"/>
        <v>0</v>
      </c>
      <c r="H45" s="241">
        <f t="shared" si="14"/>
        <v>0</v>
      </c>
      <c r="I45" s="241">
        <f t="shared" si="14"/>
        <v>0</v>
      </c>
      <c r="J45" s="241">
        <f t="shared" si="14"/>
        <v>0</v>
      </c>
      <c r="K45" s="241">
        <f t="shared" si="14"/>
        <v>0</v>
      </c>
      <c r="L45" s="241">
        <f t="shared" si="14"/>
        <v>0</v>
      </c>
      <c r="M45" s="241">
        <f>M11+M12+M15+M16+M19+M23+M24+M25+M28+M29+M32+M33+M34+M35+M39+M40+M44</f>
        <v>0</v>
      </c>
      <c r="N45" s="241">
        <f t="shared" si="14"/>
        <v>0</v>
      </c>
      <c r="O45" s="241">
        <f t="shared" si="14"/>
        <v>0</v>
      </c>
      <c r="P45" s="241">
        <f t="shared" si="14"/>
        <v>0</v>
      </c>
      <c r="Q45" s="241">
        <f t="shared" si="14"/>
        <v>0</v>
      </c>
      <c r="R45" s="241">
        <f t="shared" si="14"/>
        <v>0</v>
      </c>
      <c r="S45" s="241">
        <f>S11+S12+S15+S16+S19+S23+S24+S25+S28+S29+S32+S33+S34+S35+S39+S40+S44</f>
        <v>0</v>
      </c>
      <c r="T45" s="242">
        <f>T11+T12+T15+T16+T19+T23+T24+T25+T28+T29+T32+T33+T34+T35+T39+T40+T44</f>
        <v>0</v>
      </c>
    </row>
    <row r="46" spans="2:20" s="138" customFormat="1" ht="15" customHeight="1" x14ac:dyDescent="0.2">
      <c r="C46" s="315"/>
      <c r="D46" s="24"/>
      <c r="E46" s="330"/>
      <c r="F46" s="330"/>
      <c r="G46" s="330"/>
      <c r="H46" s="330"/>
      <c r="I46" s="330"/>
      <c r="J46" s="330"/>
      <c r="K46" s="330"/>
      <c r="L46" s="330"/>
      <c r="M46" s="330"/>
      <c r="N46" s="330"/>
      <c r="O46" s="330"/>
      <c r="P46" s="330"/>
      <c r="Q46" s="330"/>
      <c r="R46" s="330"/>
      <c r="S46" s="330"/>
      <c r="T46" s="330"/>
    </row>
    <row r="47" spans="2:20" s="138" customFormat="1" x14ac:dyDescent="0.3">
      <c r="C47" s="782"/>
      <c r="D47" s="782"/>
      <c r="E47" s="782"/>
      <c r="F47" s="782"/>
      <c r="G47" s="782"/>
      <c r="H47" s="782"/>
      <c r="I47" s="782"/>
      <c r="J47" s="782"/>
      <c r="K47" s="330"/>
      <c r="L47" s="330"/>
      <c r="M47" s="330"/>
      <c r="N47" s="330"/>
      <c r="O47" s="330"/>
      <c r="P47" s="330"/>
      <c r="Q47" s="330"/>
      <c r="R47" s="330"/>
      <c r="S47" s="330"/>
      <c r="T47" s="330"/>
    </row>
    <row r="48" spans="2:20" s="138" customFormat="1" ht="9" customHeight="1" x14ac:dyDescent="0.2">
      <c r="C48" s="845"/>
      <c r="D48" s="845"/>
      <c r="E48" s="845"/>
      <c r="F48" s="625"/>
      <c r="G48" s="625"/>
      <c r="H48" s="625"/>
      <c r="I48" s="633"/>
      <c r="J48" s="330"/>
      <c r="K48" s="330"/>
      <c r="L48" s="330"/>
      <c r="M48" s="330"/>
      <c r="N48" s="330"/>
      <c r="O48" s="330"/>
      <c r="P48" s="330"/>
      <c r="Q48" s="330"/>
      <c r="R48" s="330"/>
      <c r="S48" s="330"/>
      <c r="T48" s="330"/>
    </row>
    <row r="49" spans="2:20" s="138" customFormat="1" x14ac:dyDescent="0.3">
      <c r="C49" s="782"/>
      <c r="D49" s="782"/>
      <c r="E49" s="782"/>
      <c r="F49" s="782"/>
      <c r="G49" s="782"/>
      <c r="H49" s="782"/>
      <c r="I49" s="782"/>
      <c r="J49" s="782"/>
      <c r="K49" s="330"/>
      <c r="L49" s="330"/>
      <c r="M49" s="330"/>
      <c r="N49" s="330"/>
      <c r="O49" s="330"/>
      <c r="P49" s="330"/>
      <c r="Q49" s="330"/>
      <c r="R49" s="330"/>
      <c r="S49" s="330"/>
      <c r="T49" s="330"/>
    </row>
    <row r="50" spans="2:20" s="138" customFormat="1" ht="9" customHeight="1" x14ac:dyDescent="0.2">
      <c r="C50" s="1011"/>
      <c r="D50" s="1011"/>
      <c r="E50" s="1011"/>
      <c r="F50" s="31"/>
      <c r="G50" s="31"/>
      <c r="H50" s="31"/>
      <c r="I50" s="330"/>
      <c r="J50" s="330"/>
      <c r="K50" s="330"/>
      <c r="L50" s="330"/>
      <c r="M50" s="330"/>
      <c r="N50" s="330"/>
      <c r="O50" s="330"/>
      <c r="P50" s="330"/>
      <c r="Q50" s="330"/>
      <c r="R50" s="330"/>
      <c r="S50" s="330"/>
      <c r="T50" s="330"/>
    </row>
    <row r="51" spans="2:20" s="138" customFormat="1" x14ac:dyDescent="0.3">
      <c r="C51" s="782"/>
      <c r="D51" s="782"/>
      <c r="E51" s="782"/>
      <c r="F51" s="782"/>
      <c r="G51" s="782"/>
      <c r="H51" s="782"/>
      <c r="I51" s="782"/>
      <c r="J51" s="782"/>
      <c r="K51" s="330"/>
      <c r="L51" s="330"/>
      <c r="M51" s="330"/>
      <c r="N51" s="330"/>
      <c r="O51" s="330"/>
      <c r="P51" s="330"/>
      <c r="Q51" s="330"/>
      <c r="R51" s="330"/>
      <c r="S51" s="330"/>
      <c r="T51" s="330"/>
    </row>
    <row r="52" spans="2:20" s="138" customFormat="1" x14ac:dyDescent="0.2">
      <c r="C52" s="845"/>
      <c r="D52" s="845"/>
      <c r="E52" s="845"/>
      <c r="F52" s="845"/>
      <c r="G52" s="845"/>
      <c r="H52" s="845"/>
      <c r="I52" s="330"/>
      <c r="J52" s="330"/>
      <c r="K52" s="330"/>
      <c r="L52" s="330"/>
      <c r="M52" s="330"/>
      <c r="N52" s="330"/>
      <c r="O52" s="330"/>
      <c r="P52" s="330"/>
      <c r="Q52" s="330"/>
      <c r="R52" s="330"/>
      <c r="S52" s="330"/>
      <c r="T52" s="330"/>
    </row>
    <row r="53" spans="2:20" ht="15.75" thickBot="1" x14ac:dyDescent="0.25">
      <c r="C53" s="981" t="s">
        <v>98</v>
      </c>
      <c r="D53" s="981"/>
      <c r="E53" s="981"/>
      <c r="F53" s="981"/>
      <c r="G53" s="981"/>
      <c r="H53" s="981"/>
      <c r="I53" s="981"/>
      <c r="J53" s="981"/>
      <c r="K53" s="981"/>
      <c r="L53" s="981"/>
      <c r="M53" s="981"/>
      <c r="N53" s="981"/>
      <c r="O53" s="981"/>
      <c r="P53" s="981"/>
      <c r="Q53" s="981"/>
      <c r="R53" s="981"/>
      <c r="S53" s="844" t="s">
        <v>1174</v>
      </c>
      <c r="T53" s="844"/>
    </row>
    <row r="54" spans="2:20" s="20" customFormat="1" ht="18" customHeight="1" x14ac:dyDescent="0.2">
      <c r="B54" s="594"/>
      <c r="C54" s="985" t="s">
        <v>1211</v>
      </c>
      <c r="D54" s="985" t="s">
        <v>95</v>
      </c>
      <c r="E54" s="955" t="s">
        <v>3330</v>
      </c>
      <c r="F54" s="956"/>
      <c r="G54" s="956"/>
      <c r="H54" s="956"/>
      <c r="I54" s="956"/>
      <c r="J54" s="956"/>
      <c r="K54" s="956"/>
      <c r="L54" s="957"/>
      <c r="M54" s="987" t="s">
        <v>3331</v>
      </c>
      <c r="N54" s="987"/>
      <c r="O54" s="987"/>
      <c r="P54" s="987"/>
      <c r="Q54" s="987"/>
      <c r="R54" s="987"/>
      <c r="S54" s="987"/>
      <c r="T54" s="988"/>
    </row>
    <row r="55" spans="2:20" s="20" customFormat="1" x14ac:dyDescent="0.2">
      <c r="B55" s="595"/>
      <c r="C55" s="973"/>
      <c r="D55" s="973"/>
      <c r="E55" s="982" t="s">
        <v>104</v>
      </c>
      <c r="F55" s="982"/>
      <c r="G55" s="982"/>
      <c r="H55" s="982"/>
      <c r="I55" s="982" t="s">
        <v>101</v>
      </c>
      <c r="J55" s="982"/>
      <c r="K55" s="982"/>
      <c r="L55" s="982"/>
      <c r="M55" s="982" t="s">
        <v>104</v>
      </c>
      <c r="N55" s="982"/>
      <c r="O55" s="982"/>
      <c r="P55" s="982"/>
      <c r="Q55" s="982" t="s">
        <v>101</v>
      </c>
      <c r="R55" s="982"/>
      <c r="S55" s="982"/>
      <c r="T55" s="983"/>
    </row>
    <row r="56" spans="2:20" s="339" customFormat="1" ht="12" customHeight="1" outlineLevel="1" x14ac:dyDescent="0.2">
      <c r="B56" s="608"/>
      <c r="C56" s="639"/>
      <c r="D56" s="340"/>
      <c r="E56" s="947" t="s">
        <v>401</v>
      </c>
      <c r="F56" s="947"/>
      <c r="G56" s="947"/>
      <c r="H56" s="947"/>
      <c r="I56" s="947" t="s">
        <v>402</v>
      </c>
      <c r="J56" s="947"/>
      <c r="K56" s="947"/>
      <c r="L56" s="947"/>
      <c r="M56" s="947" t="s">
        <v>403</v>
      </c>
      <c r="N56" s="947"/>
      <c r="O56" s="947"/>
      <c r="P56" s="947"/>
      <c r="Q56" s="977" t="s">
        <v>404</v>
      </c>
      <c r="R56" s="977"/>
      <c r="S56" s="977"/>
      <c r="T56" s="989"/>
    </row>
    <row r="57" spans="2:20" s="142" customFormat="1" ht="13.5" customHeight="1" outlineLevel="1" x14ac:dyDescent="0.3">
      <c r="B57" s="60" t="s">
        <v>3663</v>
      </c>
      <c r="C57" s="679">
        <v>1</v>
      </c>
      <c r="D57" s="680" t="s">
        <v>83</v>
      </c>
      <c r="E57" s="934"/>
      <c r="F57" s="934"/>
      <c r="G57" s="934"/>
      <c r="H57" s="934"/>
      <c r="I57" s="934"/>
      <c r="J57" s="934"/>
      <c r="K57" s="934"/>
      <c r="L57" s="934"/>
      <c r="M57" s="934"/>
      <c r="N57" s="934"/>
      <c r="O57" s="934"/>
      <c r="P57" s="934"/>
      <c r="Q57" s="934"/>
      <c r="R57" s="934"/>
      <c r="S57" s="934"/>
      <c r="T57" s="935"/>
    </row>
    <row r="58" spans="2:20" s="142" customFormat="1" ht="13.5" customHeight="1" outlineLevel="1" x14ac:dyDescent="0.3">
      <c r="B58" s="60" t="s">
        <v>3664</v>
      </c>
      <c r="C58" s="679">
        <v>2</v>
      </c>
      <c r="D58" s="680" t="s">
        <v>1202</v>
      </c>
      <c r="E58" s="934">
        <f>SUM(E59:H60)</f>
        <v>0</v>
      </c>
      <c r="F58" s="934"/>
      <c r="G58" s="934"/>
      <c r="H58" s="934"/>
      <c r="I58" s="934">
        <f>SUM(I59:L60)</f>
        <v>0</v>
      </c>
      <c r="J58" s="934"/>
      <c r="K58" s="934"/>
      <c r="L58" s="934"/>
      <c r="M58" s="934">
        <f>SUM(M59:P60)</f>
        <v>0</v>
      </c>
      <c r="N58" s="934"/>
      <c r="O58" s="934"/>
      <c r="P58" s="934"/>
      <c r="Q58" s="934">
        <f>SUM(Q59:T60)</f>
        <v>0</v>
      </c>
      <c r="R58" s="934"/>
      <c r="S58" s="934"/>
      <c r="T58" s="935"/>
    </row>
    <row r="59" spans="2:20" ht="13.5" customHeight="1" outlineLevel="1" x14ac:dyDescent="0.3">
      <c r="B59" s="60" t="s">
        <v>3665</v>
      </c>
      <c r="C59" s="681">
        <v>3</v>
      </c>
      <c r="D59" s="682" t="s">
        <v>1200</v>
      </c>
      <c r="E59" s="949"/>
      <c r="F59" s="949"/>
      <c r="G59" s="949"/>
      <c r="H59" s="949"/>
      <c r="I59" s="949"/>
      <c r="J59" s="949"/>
      <c r="K59" s="949"/>
      <c r="L59" s="949"/>
      <c r="M59" s="949"/>
      <c r="N59" s="949"/>
      <c r="O59" s="949"/>
      <c r="P59" s="949"/>
      <c r="Q59" s="949"/>
      <c r="R59" s="949"/>
      <c r="S59" s="949"/>
      <c r="T59" s="951"/>
    </row>
    <row r="60" spans="2:20" ht="30" outlineLevel="1" x14ac:dyDescent="0.2">
      <c r="B60" s="60" t="s">
        <v>3666</v>
      </c>
      <c r="C60" s="683">
        <v>4</v>
      </c>
      <c r="D60" s="684" t="s">
        <v>1201</v>
      </c>
      <c r="E60" s="949"/>
      <c r="F60" s="949"/>
      <c r="G60" s="949"/>
      <c r="H60" s="949"/>
      <c r="I60" s="949"/>
      <c r="J60" s="949"/>
      <c r="K60" s="949"/>
      <c r="L60" s="949"/>
      <c r="M60" s="949"/>
      <c r="N60" s="949"/>
      <c r="O60" s="949"/>
      <c r="P60" s="949"/>
      <c r="Q60" s="949"/>
      <c r="R60" s="949"/>
      <c r="S60" s="949"/>
      <c r="T60" s="951"/>
    </row>
    <row r="61" spans="2:20" ht="13.5" customHeight="1" outlineLevel="1" x14ac:dyDescent="0.2">
      <c r="B61" s="60" t="s">
        <v>3667</v>
      </c>
      <c r="C61" s="685">
        <v>5</v>
      </c>
      <c r="D61" s="686" t="s">
        <v>51</v>
      </c>
      <c r="E61" s="948"/>
      <c r="F61" s="948"/>
      <c r="G61" s="948"/>
      <c r="H61" s="948"/>
      <c r="I61" s="948"/>
      <c r="J61" s="948"/>
      <c r="K61" s="948"/>
      <c r="L61" s="948"/>
      <c r="M61" s="948"/>
      <c r="N61" s="948"/>
      <c r="O61" s="948"/>
      <c r="P61" s="948"/>
      <c r="Q61" s="948"/>
      <c r="R61" s="948"/>
      <c r="S61" s="948"/>
      <c r="T61" s="950"/>
    </row>
    <row r="62" spans="2:20" ht="30" outlineLevel="1" x14ac:dyDescent="0.2">
      <c r="B62" s="60" t="s">
        <v>3668</v>
      </c>
      <c r="C62" s="679">
        <v>6</v>
      </c>
      <c r="D62" s="687" t="s">
        <v>1203</v>
      </c>
      <c r="E62" s="934">
        <f>SUM(E63:H64)</f>
        <v>0</v>
      </c>
      <c r="F62" s="934"/>
      <c r="G62" s="934"/>
      <c r="H62" s="934"/>
      <c r="I62" s="934">
        <f>SUM(I63:L64)</f>
        <v>0</v>
      </c>
      <c r="J62" s="934"/>
      <c r="K62" s="934"/>
      <c r="L62" s="934"/>
      <c r="M62" s="934">
        <f>SUM(M63:P64)</f>
        <v>0</v>
      </c>
      <c r="N62" s="934"/>
      <c r="O62" s="934"/>
      <c r="P62" s="934"/>
      <c r="Q62" s="934">
        <f>SUM(Q63:T64)</f>
        <v>0</v>
      </c>
      <c r="R62" s="934"/>
      <c r="S62" s="934"/>
      <c r="T62" s="935"/>
    </row>
    <row r="63" spans="2:20" ht="30" outlineLevel="1" x14ac:dyDescent="0.2">
      <c r="B63" s="60" t="s">
        <v>3669</v>
      </c>
      <c r="C63" s="681">
        <v>7</v>
      </c>
      <c r="D63" s="688" t="s">
        <v>3402</v>
      </c>
      <c r="E63" s="940"/>
      <c r="F63" s="940"/>
      <c r="G63" s="940"/>
      <c r="H63" s="940"/>
      <c r="I63" s="940"/>
      <c r="J63" s="940"/>
      <c r="K63" s="940"/>
      <c r="L63" s="940"/>
      <c r="M63" s="940"/>
      <c r="N63" s="940"/>
      <c r="O63" s="940"/>
      <c r="P63" s="940"/>
      <c r="Q63" s="940"/>
      <c r="R63" s="940"/>
      <c r="S63" s="940"/>
      <c r="T63" s="941"/>
    </row>
    <row r="64" spans="2:20" outlineLevel="1" x14ac:dyDescent="0.2">
      <c r="B64" s="60" t="s">
        <v>3670</v>
      </c>
      <c r="C64" s="683">
        <v>8</v>
      </c>
      <c r="D64" s="689" t="s">
        <v>44</v>
      </c>
      <c r="E64" s="940"/>
      <c r="F64" s="940"/>
      <c r="G64" s="940"/>
      <c r="H64" s="940"/>
      <c r="I64" s="940"/>
      <c r="J64" s="940"/>
      <c r="K64" s="940"/>
      <c r="L64" s="940"/>
      <c r="M64" s="940"/>
      <c r="N64" s="940"/>
      <c r="O64" s="940"/>
      <c r="P64" s="940"/>
      <c r="Q64" s="940"/>
      <c r="R64" s="940"/>
      <c r="S64" s="940"/>
      <c r="T64" s="941"/>
    </row>
    <row r="65" spans="2:20" ht="44.25" customHeight="1" outlineLevel="1" x14ac:dyDescent="0.2">
      <c r="B65" s="60" t="s">
        <v>3671</v>
      </c>
      <c r="C65" s="685">
        <v>9</v>
      </c>
      <c r="D65" s="687" t="s">
        <v>1204</v>
      </c>
      <c r="E65" s="934">
        <f>SUM(E66:H68)</f>
        <v>0</v>
      </c>
      <c r="F65" s="934"/>
      <c r="G65" s="934"/>
      <c r="H65" s="934"/>
      <c r="I65" s="934">
        <f>SUM(I66:L68)</f>
        <v>0</v>
      </c>
      <c r="J65" s="934"/>
      <c r="K65" s="934"/>
      <c r="L65" s="934"/>
      <c r="M65" s="934">
        <f>SUM(M66:P68)</f>
        <v>0</v>
      </c>
      <c r="N65" s="934"/>
      <c r="O65" s="934"/>
      <c r="P65" s="934"/>
      <c r="Q65" s="934">
        <f>SUM(Q66:T68)</f>
        <v>0</v>
      </c>
      <c r="R65" s="934"/>
      <c r="S65" s="934"/>
      <c r="T65" s="935"/>
    </row>
    <row r="66" spans="2:20" ht="30" outlineLevel="1" x14ac:dyDescent="0.2">
      <c r="B66" s="60" t="s">
        <v>3672</v>
      </c>
      <c r="C66" s="683">
        <v>10</v>
      </c>
      <c r="D66" s="688" t="s">
        <v>1157</v>
      </c>
      <c r="E66" s="940"/>
      <c r="F66" s="940"/>
      <c r="G66" s="940"/>
      <c r="H66" s="940"/>
      <c r="I66" s="940"/>
      <c r="J66" s="940"/>
      <c r="K66" s="940"/>
      <c r="L66" s="940"/>
      <c r="M66" s="940"/>
      <c r="N66" s="940"/>
      <c r="O66" s="940"/>
      <c r="P66" s="940"/>
      <c r="Q66" s="940"/>
      <c r="R66" s="940"/>
      <c r="S66" s="940"/>
      <c r="T66" s="941"/>
    </row>
    <row r="67" spans="2:20" ht="30" outlineLevel="1" x14ac:dyDescent="0.2">
      <c r="B67" s="60" t="s">
        <v>3673</v>
      </c>
      <c r="C67" s="681">
        <v>11</v>
      </c>
      <c r="D67" s="688" t="s">
        <v>45</v>
      </c>
      <c r="E67" s="940"/>
      <c r="F67" s="940"/>
      <c r="G67" s="940"/>
      <c r="H67" s="940"/>
      <c r="I67" s="940"/>
      <c r="J67" s="940"/>
      <c r="K67" s="940"/>
      <c r="L67" s="940"/>
      <c r="M67" s="940"/>
      <c r="N67" s="940"/>
      <c r="O67" s="940"/>
      <c r="P67" s="940"/>
      <c r="Q67" s="940"/>
      <c r="R67" s="940"/>
      <c r="S67" s="940"/>
      <c r="T67" s="941"/>
    </row>
    <row r="68" spans="2:20" ht="30" outlineLevel="1" x14ac:dyDescent="0.2">
      <c r="B68" s="60" t="s">
        <v>3674</v>
      </c>
      <c r="C68" s="683">
        <v>12</v>
      </c>
      <c r="D68" s="688" t="s">
        <v>46</v>
      </c>
      <c r="E68" s="940"/>
      <c r="F68" s="940"/>
      <c r="G68" s="940"/>
      <c r="H68" s="940"/>
      <c r="I68" s="940"/>
      <c r="J68" s="940"/>
      <c r="K68" s="940"/>
      <c r="L68" s="940"/>
      <c r="M68" s="940"/>
      <c r="N68" s="940"/>
      <c r="O68" s="940"/>
      <c r="P68" s="940"/>
      <c r="Q68" s="940"/>
      <c r="R68" s="940"/>
      <c r="S68" s="940"/>
      <c r="T68" s="941"/>
    </row>
    <row r="69" spans="2:20" s="142" customFormat="1" outlineLevel="1" x14ac:dyDescent="0.2">
      <c r="B69" s="60" t="s">
        <v>3675</v>
      </c>
      <c r="C69" s="685">
        <v>13</v>
      </c>
      <c r="D69" s="690" t="s">
        <v>87</v>
      </c>
      <c r="E69" s="934"/>
      <c r="F69" s="934"/>
      <c r="G69" s="934"/>
      <c r="H69" s="934"/>
      <c r="I69" s="934"/>
      <c r="J69" s="934"/>
      <c r="K69" s="934"/>
      <c r="L69" s="934"/>
      <c r="M69" s="934"/>
      <c r="N69" s="934"/>
      <c r="O69" s="934"/>
      <c r="P69" s="934"/>
      <c r="Q69" s="934"/>
      <c r="R69" s="934"/>
      <c r="S69" s="934"/>
      <c r="T69" s="935"/>
    </row>
    <row r="70" spans="2:20" s="142" customFormat="1" ht="30" outlineLevel="1" x14ac:dyDescent="0.2">
      <c r="B70" s="60" t="s">
        <v>3676</v>
      </c>
      <c r="C70" s="679">
        <v>14</v>
      </c>
      <c r="D70" s="687" t="s">
        <v>1143</v>
      </c>
      <c r="E70" s="934"/>
      <c r="F70" s="934"/>
      <c r="G70" s="934"/>
      <c r="H70" s="934"/>
      <c r="I70" s="934"/>
      <c r="J70" s="934"/>
      <c r="K70" s="934"/>
      <c r="L70" s="934"/>
      <c r="M70" s="934"/>
      <c r="N70" s="934"/>
      <c r="O70" s="934"/>
      <c r="P70" s="934"/>
      <c r="Q70" s="934"/>
      <c r="R70" s="934"/>
      <c r="S70" s="934"/>
      <c r="T70" s="935"/>
    </row>
    <row r="71" spans="2:20" ht="31.5" customHeight="1" outlineLevel="1" x14ac:dyDescent="0.2">
      <c r="B71" s="60" t="s">
        <v>3677</v>
      </c>
      <c r="C71" s="685">
        <v>15</v>
      </c>
      <c r="D71" s="687" t="s">
        <v>53</v>
      </c>
      <c r="E71" s="934">
        <f>SUM(E72:H73)</f>
        <v>0</v>
      </c>
      <c r="F71" s="934"/>
      <c r="G71" s="934"/>
      <c r="H71" s="934"/>
      <c r="I71" s="934">
        <f>SUM(I72:L73)</f>
        <v>0</v>
      </c>
      <c r="J71" s="934"/>
      <c r="K71" s="934"/>
      <c r="L71" s="934"/>
      <c r="M71" s="934">
        <f>SUM(M72:P73)</f>
        <v>0</v>
      </c>
      <c r="N71" s="934"/>
      <c r="O71" s="934"/>
      <c r="P71" s="934"/>
      <c r="Q71" s="934">
        <f>SUM(Q72:T73)</f>
        <v>0</v>
      </c>
      <c r="R71" s="934"/>
      <c r="S71" s="934"/>
      <c r="T71" s="935"/>
    </row>
    <row r="72" spans="2:20" outlineLevel="1" x14ac:dyDescent="0.2">
      <c r="B72" s="60" t="s">
        <v>3678</v>
      </c>
      <c r="C72" s="683">
        <v>16</v>
      </c>
      <c r="D72" s="689" t="s">
        <v>54</v>
      </c>
      <c r="E72" s="940"/>
      <c r="F72" s="940"/>
      <c r="G72" s="940"/>
      <c r="H72" s="940"/>
      <c r="I72" s="940"/>
      <c r="J72" s="940"/>
      <c r="K72" s="940"/>
      <c r="L72" s="940"/>
      <c r="M72" s="940"/>
      <c r="N72" s="940"/>
      <c r="O72" s="940"/>
      <c r="P72" s="940"/>
      <c r="Q72" s="940"/>
      <c r="R72" s="940"/>
      <c r="S72" s="940"/>
      <c r="T72" s="941"/>
    </row>
    <row r="73" spans="2:20" ht="30" outlineLevel="1" x14ac:dyDescent="0.2">
      <c r="B73" s="60" t="s">
        <v>3679</v>
      </c>
      <c r="C73" s="681">
        <v>17</v>
      </c>
      <c r="D73" s="688" t="s">
        <v>1144</v>
      </c>
      <c r="E73" s="940"/>
      <c r="F73" s="940"/>
      <c r="G73" s="940"/>
      <c r="H73" s="940"/>
      <c r="I73" s="940"/>
      <c r="J73" s="940"/>
      <c r="K73" s="940"/>
      <c r="L73" s="940"/>
      <c r="M73" s="940"/>
      <c r="N73" s="940"/>
      <c r="O73" s="940"/>
      <c r="P73" s="940"/>
      <c r="Q73" s="940"/>
      <c r="R73" s="940"/>
      <c r="S73" s="940"/>
      <c r="T73" s="941"/>
    </row>
    <row r="74" spans="2:20" s="142" customFormat="1" ht="29.25" customHeight="1" outlineLevel="1" x14ac:dyDescent="0.2">
      <c r="B74" s="60" t="s">
        <v>3680</v>
      </c>
      <c r="C74" s="679">
        <v>18</v>
      </c>
      <c r="D74" s="687" t="s">
        <v>1158</v>
      </c>
      <c r="E74" s="945"/>
      <c r="F74" s="945"/>
      <c r="G74" s="945"/>
      <c r="H74" s="945"/>
      <c r="I74" s="945"/>
      <c r="J74" s="945"/>
      <c r="K74" s="945"/>
      <c r="L74" s="945"/>
      <c r="M74" s="945"/>
      <c r="N74" s="945"/>
      <c r="O74" s="945"/>
      <c r="P74" s="945"/>
      <c r="Q74" s="945"/>
      <c r="R74" s="945"/>
      <c r="S74" s="945"/>
      <c r="T74" s="946"/>
    </row>
    <row r="75" spans="2:20" ht="30.75" customHeight="1" outlineLevel="1" x14ac:dyDescent="0.2">
      <c r="B75" s="60" t="s">
        <v>3681</v>
      </c>
      <c r="C75" s="685">
        <v>19</v>
      </c>
      <c r="D75" s="687" t="s">
        <v>3398</v>
      </c>
      <c r="E75" s="942">
        <f>SUM(E76:H77)</f>
        <v>0</v>
      </c>
      <c r="F75" s="943"/>
      <c r="G75" s="943"/>
      <c r="H75" s="944"/>
      <c r="I75" s="942">
        <f>SUM(I76:L77)</f>
        <v>0</v>
      </c>
      <c r="J75" s="943"/>
      <c r="K75" s="943"/>
      <c r="L75" s="944"/>
      <c r="M75" s="942">
        <f>SUM(M76:P77)</f>
        <v>0</v>
      </c>
      <c r="N75" s="943"/>
      <c r="O75" s="943"/>
      <c r="P75" s="944"/>
      <c r="Q75" s="934">
        <f>SUM(Q76:T77)</f>
        <v>0</v>
      </c>
      <c r="R75" s="934"/>
      <c r="S75" s="934"/>
      <c r="T75" s="935"/>
    </row>
    <row r="76" spans="2:20" outlineLevel="1" x14ac:dyDescent="0.2">
      <c r="B76" s="60" t="s">
        <v>3682</v>
      </c>
      <c r="C76" s="683">
        <v>20</v>
      </c>
      <c r="D76" s="689" t="s">
        <v>1160</v>
      </c>
      <c r="E76" s="940"/>
      <c r="F76" s="940"/>
      <c r="G76" s="940"/>
      <c r="H76" s="940"/>
      <c r="I76" s="940"/>
      <c r="J76" s="940"/>
      <c r="K76" s="940"/>
      <c r="L76" s="940"/>
      <c r="M76" s="940"/>
      <c r="N76" s="940"/>
      <c r="O76" s="940"/>
      <c r="P76" s="940"/>
      <c r="Q76" s="940"/>
      <c r="R76" s="940"/>
      <c r="S76" s="940"/>
      <c r="T76" s="941"/>
    </row>
    <row r="77" spans="2:20" ht="30" outlineLevel="1" x14ac:dyDescent="0.2">
      <c r="B77" s="60" t="s">
        <v>3683</v>
      </c>
      <c r="C77" s="681">
        <v>21</v>
      </c>
      <c r="D77" s="688" t="s">
        <v>1161</v>
      </c>
      <c r="E77" s="940"/>
      <c r="F77" s="940"/>
      <c r="G77" s="940"/>
      <c r="H77" s="940"/>
      <c r="I77" s="940"/>
      <c r="J77" s="940"/>
      <c r="K77" s="940"/>
      <c r="L77" s="940"/>
      <c r="M77" s="940"/>
      <c r="N77" s="940"/>
      <c r="O77" s="940"/>
      <c r="P77" s="940"/>
      <c r="Q77" s="940"/>
      <c r="R77" s="940"/>
      <c r="S77" s="940"/>
      <c r="T77" s="941"/>
    </row>
    <row r="78" spans="2:20" s="142" customFormat="1" outlineLevel="1" x14ac:dyDescent="0.2">
      <c r="B78" s="60" t="s">
        <v>3684</v>
      </c>
      <c r="C78" s="679">
        <v>22</v>
      </c>
      <c r="D78" s="690" t="s">
        <v>84</v>
      </c>
      <c r="E78" s="934"/>
      <c r="F78" s="934"/>
      <c r="G78" s="934"/>
      <c r="H78" s="934"/>
      <c r="I78" s="934"/>
      <c r="J78" s="934"/>
      <c r="K78" s="934"/>
      <c r="L78" s="934"/>
      <c r="M78" s="934"/>
      <c r="N78" s="934"/>
      <c r="O78" s="934"/>
      <c r="P78" s="934"/>
      <c r="Q78" s="934"/>
      <c r="R78" s="934"/>
      <c r="S78" s="934"/>
      <c r="T78" s="935"/>
    </row>
    <row r="79" spans="2:20" s="142" customFormat="1" ht="30" customHeight="1" outlineLevel="1" x14ac:dyDescent="0.2">
      <c r="B79" s="60" t="s">
        <v>3685</v>
      </c>
      <c r="C79" s="685">
        <v>23</v>
      </c>
      <c r="D79" s="687" t="s">
        <v>4631</v>
      </c>
      <c r="E79" s="934"/>
      <c r="F79" s="934"/>
      <c r="G79" s="934"/>
      <c r="H79" s="934"/>
      <c r="I79" s="934"/>
      <c r="J79" s="934"/>
      <c r="K79" s="934"/>
      <c r="L79" s="934"/>
      <c r="M79" s="934"/>
      <c r="N79" s="934"/>
      <c r="O79" s="934"/>
      <c r="P79" s="934"/>
      <c r="Q79" s="934"/>
      <c r="R79" s="934"/>
      <c r="S79" s="934"/>
      <c r="T79" s="935"/>
    </row>
    <row r="80" spans="2:20" s="142" customFormat="1" outlineLevel="1" x14ac:dyDescent="0.2">
      <c r="B80" s="60" t="s">
        <v>3686</v>
      </c>
      <c r="C80" s="679">
        <v>24</v>
      </c>
      <c r="D80" s="690" t="s">
        <v>85</v>
      </c>
      <c r="E80" s="934"/>
      <c r="F80" s="934"/>
      <c r="G80" s="934"/>
      <c r="H80" s="934"/>
      <c r="I80" s="934"/>
      <c r="J80" s="934"/>
      <c r="K80" s="934"/>
      <c r="L80" s="934"/>
      <c r="M80" s="934"/>
      <c r="N80" s="934"/>
      <c r="O80" s="934"/>
      <c r="P80" s="934"/>
      <c r="Q80" s="934"/>
      <c r="R80" s="934"/>
      <c r="S80" s="934"/>
      <c r="T80" s="935"/>
    </row>
    <row r="81" spans="2:20" outlineLevel="1" x14ac:dyDescent="0.2">
      <c r="B81" s="60" t="s">
        <v>3687</v>
      </c>
      <c r="C81" s="685">
        <v>25</v>
      </c>
      <c r="D81" s="690" t="s">
        <v>1146</v>
      </c>
      <c r="E81" s="934">
        <f>SUM(E82:H84)</f>
        <v>0</v>
      </c>
      <c r="F81" s="934"/>
      <c r="G81" s="934"/>
      <c r="H81" s="934"/>
      <c r="I81" s="934">
        <f>SUM(I82:L84)</f>
        <v>0</v>
      </c>
      <c r="J81" s="934"/>
      <c r="K81" s="934"/>
      <c r="L81" s="934"/>
      <c r="M81" s="934">
        <f>SUM(M82:P84)</f>
        <v>0</v>
      </c>
      <c r="N81" s="934"/>
      <c r="O81" s="934"/>
      <c r="P81" s="934"/>
      <c r="Q81" s="934">
        <f>SUM(Q82:T84)</f>
        <v>0</v>
      </c>
      <c r="R81" s="934"/>
      <c r="S81" s="934"/>
      <c r="T81" s="935"/>
    </row>
    <row r="82" spans="2:20" ht="29.25" customHeight="1" outlineLevel="1" x14ac:dyDescent="0.2">
      <c r="B82" s="60" t="s">
        <v>3688</v>
      </c>
      <c r="C82" s="683">
        <v>26</v>
      </c>
      <c r="D82" s="688" t="s">
        <v>41</v>
      </c>
      <c r="E82" s="940"/>
      <c r="F82" s="940"/>
      <c r="G82" s="940"/>
      <c r="H82" s="940"/>
      <c r="I82" s="940"/>
      <c r="J82" s="940"/>
      <c r="K82" s="940"/>
      <c r="L82" s="940"/>
      <c r="M82" s="940"/>
      <c r="N82" s="940"/>
      <c r="O82" s="940"/>
      <c r="P82" s="940"/>
      <c r="Q82" s="940"/>
      <c r="R82" s="940"/>
      <c r="S82" s="940"/>
      <c r="T82" s="941"/>
    </row>
    <row r="83" spans="2:20" outlineLevel="1" x14ac:dyDescent="0.2">
      <c r="B83" s="60" t="s">
        <v>3689</v>
      </c>
      <c r="C83" s="681">
        <v>27</v>
      </c>
      <c r="D83" s="689" t="s">
        <v>47</v>
      </c>
      <c r="E83" s="940"/>
      <c r="F83" s="940"/>
      <c r="G83" s="940"/>
      <c r="H83" s="940"/>
      <c r="I83" s="940"/>
      <c r="J83" s="940"/>
      <c r="K83" s="940"/>
      <c r="L83" s="940"/>
      <c r="M83" s="940"/>
      <c r="N83" s="940"/>
      <c r="O83" s="940"/>
      <c r="P83" s="940"/>
      <c r="Q83" s="940"/>
      <c r="R83" s="940"/>
      <c r="S83" s="940"/>
      <c r="T83" s="941"/>
    </row>
    <row r="84" spans="2:20" outlineLevel="1" x14ac:dyDescent="0.2">
      <c r="B84" s="60" t="s">
        <v>3690</v>
      </c>
      <c r="C84" s="683">
        <v>28</v>
      </c>
      <c r="D84" s="689" t="s">
        <v>48</v>
      </c>
      <c r="E84" s="940"/>
      <c r="F84" s="940"/>
      <c r="G84" s="940"/>
      <c r="H84" s="940"/>
      <c r="I84" s="940"/>
      <c r="J84" s="940"/>
      <c r="K84" s="940"/>
      <c r="L84" s="940"/>
      <c r="M84" s="940"/>
      <c r="N84" s="940"/>
      <c r="O84" s="940"/>
      <c r="P84" s="940"/>
      <c r="Q84" s="940"/>
      <c r="R84" s="940"/>
      <c r="S84" s="940"/>
      <c r="T84" s="941"/>
    </row>
    <row r="85" spans="2:20" s="142" customFormat="1" outlineLevel="1" x14ac:dyDescent="0.2">
      <c r="B85" s="60" t="s">
        <v>3691</v>
      </c>
      <c r="C85" s="685">
        <v>29</v>
      </c>
      <c r="D85" s="691" t="s">
        <v>86</v>
      </c>
      <c r="E85" s="934"/>
      <c r="F85" s="934"/>
      <c r="G85" s="934"/>
      <c r="H85" s="934"/>
      <c r="I85" s="934"/>
      <c r="J85" s="934"/>
      <c r="K85" s="934"/>
      <c r="L85" s="934"/>
      <c r="M85" s="934"/>
      <c r="N85" s="934"/>
      <c r="O85" s="934"/>
      <c r="P85" s="934"/>
      <c r="Q85" s="934"/>
      <c r="R85" s="934"/>
      <c r="S85" s="934"/>
      <c r="T85" s="935"/>
    </row>
    <row r="86" spans="2:20" ht="45" outlineLevel="1" x14ac:dyDescent="0.2">
      <c r="B86" s="60" t="s">
        <v>3692</v>
      </c>
      <c r="C86" s="679">
        <v>30</v>
      </c>
      <c r="D86" s="687" t="s">
        <v>4632</v>
      </c>
      <c r="E86" s="934">
        <f>SUM(E87:H89)</f>
        <v>0</v>
      </c>
      <c r="F86" s="934"/>
      <c r="G86" s="934"/>
      <c r="H86" s="934"/>
      <c r="I86" s="934">
        <f>SUM(I87:L89)</f>
        <v>0</v>
      </c>
      <c r="J86" s="934"/>
      <c r="K86" s="934"/>
      <c r="L86" s="934"/>
      <c r="M86" s="934">
        <f>SUM(M87:P89)</f>
        <v>0</v>
      </c>
      <c r="N86" s="934"/>
      <c r="O86" s="934"/>
      <c r="P86" s="934"/>
      <c r="Q86" s="934">
        <f>SUM(Q87:T89)</f>
        <v>0</v>
      </c>
      <c r="R86" s="934"/>
      <c r="S86" s="934"/>
      <c r="T86" s="935"/>
    </row>
    <row r="87" spans="2:20" outlineLevel="1" x14ac:dyDescent="0.2">
      <c r="B87" s="60" t="s">
        <v>3693</v>
      </c>
      <c r="C87" s="681">
        <v>31</v>
      </c>
      <c r="D87" s="689" t="s">
        <v>49</v>
      </c>
      <c r="E87" s="940"/>
      <c r="F87" s="940"/>
      <c r="G87" s="940"/>
      <c r="H87" s="940"/>
      <c r="I87" s="940"/>
      <c r="J87" s="940"/>
      <c r="K87" s="940"/>
      <c r="L87" s="940"/>
      <c r="M87" s="940"/>
      <c r="N87" s="940"/>
      <c r="O87" s="940"/>
      <c r="P87" s="940"/>
      <c r="Q87" s="940"/>
      <c r="R87" s="940"/>
      <c r="S87" s="940"/>
      <c r="T87" s="941"/>
    </row>
    <row r="88" spans="2:20" outlineLevel="1" x14ac:dyDescent="0.2">
      <c r="B88" s="60" t="s">
        <v>3694</v>
      </c>
      <c r="C88" s="683">
        <v>32</v>
      </c>
      <c r="D88" s="689" t="s">
        <v>50</v>
      </c>
      <c r="E88" s="940"/>
      <c r="F88" s="940"/>
      <c r="G88" s="940"/>
      <c r="H88" s="940"/>
      <c r="I88" s="940"/>
      <c r="J88" s="940"/>
      <c r="K88" s="940"/>
      <c r="L88" s="940"/>
      <c r="M88" s="940"/>
      <c r="N88" s="940"/>
      <c r="O88" s="940"/>
      <c r="P88" s="940"/>
      <c r="Q88" s="940"/>
      <c r="R88" s="940"/>
      <c r="S88" s="940"/>
      <c r="T88" s="941"/>
    </row>
    <row r="89" spans="2:20" outlineLevel="1" x14ac:dyDescent="0.2">
      <c r="B89" s="60" t="s">
        <v>3695</v>
      </c>
      <c r="C89" s="681">
        <v>33</v>
      </c>
      <c r="D89" s="689" t="s">
        <v>1159</v>
      </c>
      <c r="E89" s="940"/>
      <c r="F89" s="940"/>
      <c r="G89" s="940"/>
      <c r="H89" s="940"/>
      <c r="I89" s="940"/>
      <c r="J89" s="940"/>
      <c r="K89" s="940"/>
      <c r="L89" s="940"/>
      <c r="M89" s="940"/>
      <c r="N89" s="940"/>
      <c r="O89" s="940"/>
      <c r="P89" s="940"/>
      <c r="Q89" s="940"/>
      <c r="R89" s="940"/>
      <c r="S89" s="940"/>
      <c r="T89" s="941"/>
    </row>
    <row r="90" spans="2:20" outlineLevel="1" x14ac:dyDescent="0.2">
      <c r="B90" s="60" t="s">
        <v>3696</v>
      </c>
      <c r="C90" s="679">
        <v>34</v>
      </c>
      <c r="D90" s="690" t="s">
        <v>52</v>
      </c>
      <c r="E90" s="934"/>
      <c r="F90" s="934"/>
      <c r="G90" s="934"/>
      <c r="H90" s="934"/>
      <c r="I90" s="934"/>
      <c r="J90" s="934"/>
      <c r="K90" s="934"/>
      <c r="L90" s="934"/>
      <c r="M90" s="934"/>
      <c r="N90" s="934"/>
      <c r="O90" s="934"/>
      <c r="P90" s="934"/>
      <c r="Q90" s="934"/>
      <c r="R90" s="934"/>
      <c r="S90" s="934"/>
      <c r="T90" s="935"/>
    </row>
    <row r="91" spans="2:20" ht="28.5" customHeight="1" thickBot="1" x14ac:dyDescent="0.25">
      <c r="B91" s="491" t="s">
        <v>3697</v>
      </c>
      <c r="C91" s="993" t="s">
        <v>1147</v>
      </c>
      <c r="D91" s="994"/>
      <c r="E91" s="936">
        <f>E57+E58+E61+E62+E65+E69+E70+E71+E74+E75+E78+E79+E80+E81+E85+E86+E90</f>
        <v>0</v>
      </c>
      <c r="F91" s="937"/>
      <c r="G91" s="937"/>
      <c r="H91" s="939"/>
      <c r="I91" s="936">
        <f>I57+I58+I61+I62+I65+I69+I70+I71+I74+I75+I78+I79+I80+I81+I85+I86+I90</f>
        <v>0</v>
      </c>
      <c r="J91" s="937"/>
      <c r="K91" s="937"/>
      <c r="L91" s="939"/>
      <c r="M91" s="936">
        <f>M57+M58+M61+M62+M65+M69+M70+M71+M74+M75+M78+M79+M80+M81+M85+M86+M90</f>
        <v>0</v>
      </c>
      <c r="N91" s="937"/>
      <c r="O91" s="937"/>
      <c r="P91" s="939"/>
      <c r="Q91" s="936">
        <f>Q57+Q58+Q61+Q62+Q65+Q69+Q70+Q71+Q74+Q75+Q78+Q79+Q80+Q81+Q85+Q86+Q90</f>
        <v>0</v>
      </c>
      <c r="R91" s="937"/>
      <c r="S91" s="937"/>
      <c r="T91" s="938"/>
    </row>
    <row r="92" spans="2:20" s="138" customFormat="1" x14ac:dyDescent="0.2">
      <c r="C92" s="315"/>
      <c r="D92" s="24"/>
      <c r="E92" s="330"/>
      <c r="F92" s="330"/>
      <c r="G92" s="330"/>
      <c r="H92" s="330"/>
      <c r="I92" s="330"/>
      <c r="J92" s="330"/>
      <c r="K92" s="330"/>
      <c r="L92" s="330"/>
      <c r="M92" s="330"/>
      <c r="N92" s="330"/>
      <c r="O92" s="330"/>
      <c r="P92" s="330"/>
      <c r="Q92" s="330"/>
      <c r="R92" s="330"/>
      <c r="S92" s="330"/>
      <c r="T92" s="330"/>
    </row>
    <row r="93" spans="2:20" s="138" customFormat="1" x14ac:dyDescent="0.3">
      <c r="C93" s="782"/>
      <c r="D93" s="782"/>
      <c r="E93" s="782"/>
      <c r="F93" s="782"/>
      <c r="G93" s="782"/>
      <c r="H93" s="782"/>
      <c r="I93" s="782"/>
      <c r="J93" s="782"/>
      <c r="K93" s="330"/>
      <c r="L93" s="330"/>
      <c r="M93" s="330"/>
      <c r="N93" s="330"/>
      <c r="O93" s="330"/>
      <c r="P93" s="330"/>
      <c r="Q93" s="330"/>
      <c r="R93" s="330"/>
      <c r="S93" s="330"/>
      <c r="T93" s="330"/>
    </row>
    <row r="94" spans="2:20" s="138" customFormat="1" ht="9" customHeight="1" x14ac:dyDescent="0.2">
      <c r="C94" s="845"/>
      <c r="D94" s="845"/>
      <c r="E94" s="845"/>
      <c r="F94" s="625"/>
      <c r="G94" s="625"/>
      <c r="H94" s="625"/>
      <c r="I94" s="633"/>
      <c r="J94" s="330"/>
      <c r="K94" s="330"/>
      <c r="L94" s="330"/>
      <c r="M94" s="330"/>
      <c r="N94" s="330"/>
      <c r="O94" s="330"/>
      <c r="P94" s="330"/>
      <c r="Q94" s="330"/>
      <c r="R94" s="330"/>
      <c r="S94" s="330"/>
      <c r="T94" s="330"/>
    </row>
    <row r="95" spans="2:20" s="138" customFormat="1" x14ac:dyDescent="0.3">
      <c r="C95" s="782"/>
      <c r="D95" s="782"/>
      <c r="E95" s="782"/>
      <c r="F95" s="782"/>
      <c r="G95" s="782"/>
      <c r="H95" s="782"/>
      <c r="I95" s="782"/>
      <c r="J95" s="782"/>
      <c r="K95" s="330"/>
      <c r="L95" s="330"/>
      <c r="M95" s="330"/>
      <c r="N95" s="330"/>
      <c r="O95" s="330"/>
      <c r="P95" s="330"/>
      <c r="Q95" s="330"/>
      <c r="R95" s="330"/>
      <c r="S95" s="330"/>
      <c r="T95" s="330"/>
    </row>
    <row r="96" spans="2:20" s="138" customFormat="1" ht="9" customHeight="1" x14ac:dyDescent="0.2">
      <c r="C96" s="1011"/>
      <c r="D96" s="1011"/>
      <c r="E96" s="1011"/>
      <c r="F96" s="31"/>
      <c r="G96" s="31"/>
      <c r="H96" s="31"/>
      <c r="I96" s="330"/>
      <c r="J96" s="330"/>
      <c r="K96" s="330"/>
      <c r="L96" s="330"/>
      <c r="M96" s="330"/>
      <c r="N96" s="330"/>
      <c r="O96" s="330"/>
      <c r="P96" s="330"/>
      <c r="Q96" s="330"/>
      <c r="R96" s="330"/>
      <c r="S96" s="330"/>
      <c r="T96" s="330"/>
    </row>
    <row r="97" spans="2:20" s="138" customFormat="1" x14ac:dyDescent="0.3">
      <c r="C97" s="782"/>
      <c r="D97" s="782"/>
      <c r="E97" s="782"/>
      <c r="F97" s="782"/>
      <c r="G97" s="782"/>
      <c r="H97" s="782"/>
      <c r="I97" s="782"/>
      <c r="J97" s="782"/>
      <c r="K97" s="330"/>
      <c r="L97" s="330"/>
      <c r="M97" s="330"/>
      <c r="N97" s="330"/>
      <c r="O97" s="330"/>
      <c r="P97" s="330"/>
      <c r="Q97" s="330"/>
      <c r="R97" s="330"/>
      <c r="S97" s="330"/>
      <c r="T97" s="330"/>
    </row>
    <row r="98" spans="2:20" s="138" customFormat="1" ht="19.5" x14ac:dyDescent="0.2">
      <c r="C98" s="315"/>
      <c r="D98" s="316"/>
      <c r="E98" s="330"/>
      <c r="F98" s="330"/>
      <c r="G98" s="330"/>
      <c r="H98" s="330"/>
      <c r="I98" s="330"/>
      <c r="J98" s="330"/>
      <c r="K98" s="330"/>
      <c r="L98" s="330"/>
      <c r="M98" s="330"/>
      <c r="N98" s="330"/>
      <c r="O98" s="330"/>
      <c r="P98" s="330"/>
      <c r="Q98" s="330"/>
      <c r="R98" s="330"/>
      <c r="S98" s="330"/>
      <c r="T98" s="330"/>
    </row>
    <row r="99" spans="2:20" s="138" customFormat="1" ht="15" customHeight="1" x14ac:dyDescent="0.2">
      <c r="C99" s="315"/>
      <c r="D99" s="346"/>
      <c r="E99" s="330"/>
      <c r="F99" s="330"/>
      <c r="G99" s="330"/>
      <c r="H99" s="330"/>
      <c r="I99" s="330"/>
      <c r="J99" s="330"/>
      <c r="K99" s="330"/>
      <c r="L99" s="330"/>
      <c r="M99" s="330"/>
      <c r="N99" s="330"/>
      <c r="O99" s="330"/>
      <c r="P99" s="330"/>
      <c r="Q99" s="330"/>
      <c r="R99" s="330"/>
      <c r="S99" s="330"/>
      <c r="T99" s="330"/>
    </row>
    <row r="100" spans="2:20" ht="15.75" thickBot="1" x14ac:dyDescent="0.25">
      <c r="C100" s="915" t="s">
        <v>90</v>
      </c>
      <c r="D100" s="915"/>
      <c r="E100" s="915"/>
      <c r="F100" s="915"/>
      <c r="G100" s="915"/>
      <c r="H100" s="915"/>
      <c r="I100" s="915"/>
      <c r="J100" s="915"/>
      <c r="K100" s="915"/>
      <c r="L100" s="915"/>
      <c r="M100" s="915"/>
      <c r="N100" s="915"/>
      <c r="O100" s="915"/>
      <c r="P100" s="915"/>
      <c r="Q100" s="915"/>
      <c r="R100" s="915"/>
      <c r="S100" s="844" t="s">
        <v>1178</v>
      </c>
      <c r="T100" s="844"/>
    </row>
    <row r="101" spans="2:20" ht="18" customHeight="1" x14ac:dyDescent="0.2">
      <c r="B101" s="596"/>
      <c r="C101" s="920" t="s">
        <v>1211</v>
      </c>
      <c r="D101" s="931" t="s">
        <v>95</v>
      </c>
      <c r="E101" s="923" t="s">
        <v>3330</v>
      </c>
      <c r="F101" s="924"/>
      <c r="G101" s="924"/>
      <c r="H101" s="924"/>
      <c r="I101" s="924"/>
      <c r="J101" s="924"/>
      <c r="K101" s="924"/>
      <c r="L101" s="929"/>
      <c r="M101" s="923" t="s">
        <v>3331</v>
      </c>
      <c r="N101" s="924"/>
      <c r="O101" s="924"/>
      <c r="P101" s="924"/>
      <c r="Q101" s="924"/>
      <c r="R101" s="924"/>
      <c r="S101" s="924"/>
      <c r="T101" s="925"/>
    </row>
    <row r="102" spans="2:20" s="18" customFormat="1" ht="15" customHeight="1" x14ac:dyDescent="0.3">
      <c r="B102" s="597"/>
      <c r="C102" s="921"/>
      <c r="D102" s="932"/>
      <c r="E102" s="930" t="s">
        <v>107</v>
      </c>
      <c r="F102" s="930"/>
      <c r="G102" s="930" t="s">
        <v>88</v>
      </c>
      <c r="H102" s="930"/>
      <c r="I102" s="926" t="s">
        <v>94</v>
      </c>
      <c r="J102" s="926"/>
      <c r="K102" s="927" t="s">
        <v>82</v>
      </c>
      <c r="L102" s="927"/>
      <c r="M102" s="930" t="s">
        <v>107</v>
      </c>
      <c r="N102" s="930"/>
      <c r="O102" s="930" t="s">
        <v>88</v>
      </c>
      <c r="P102" s="930"/>
      <c r="Q102" s="926" t="s">
        <v>94</v>
      </c>
      <c r="R102" s="926"/>
      <c r="S102" s="927" t="s">
        <v>235</v>
      </c>
      <c r="T102" s="928"/>
    </row>
    <row r="103" spans="2:20" s="182" customFormat="1" ht="30.75" customHeight="1" x14ac:dyDescent="0.2">
      <c r="B103" s="598"/>
      <c r="C103" s="922"/>
      <c r="D103" s="933"/>
      <c r="E103" s="331" t="s">
        <v>104</v>
      </c>
      <c r="F103" s="331" t="s">
        <v>101</v>
      </c>
      <c r="G103" s="331" t="s">
        <v>104</v>
      </c>
      <c r="H103" s="331" t="s">
        <v>101</v>
      </c>
      <c r="I103" s="331" t="s">
        <v>104</v>
      </c>
      <c r="J103" s="338" t="s">
        <v>101</v>
      </c>
      <c r="K103" s="332" t="s">
        <v>2848</v>
      </c>
      <c r="L103" s="332" t="s">
        <v>102</v>
      </c>
      <c r="M103" s="331" t="s">
        <v>104</v>
      </c>
      <c r="N103" s="331" t="s">
        <v>101</v>
      </c>
      <c r="O103" s="331" t="s">
        <v>104</v>
      </c>
      <c r="P103" s="331" t="s">
        <v>101</v>
      </c>
      <c r="Q103" s="331" t="s">
        <v>104</v>
      </c>
      <c r="R103" s="331" t="s">
        <v>101</v>
      </c>
      <c r="S103" s="332" t="s">
        <v>2849</v>
      </c>
      <c r="T103" s="333" t="s">
        <v>103</v>
      </c>
    </row>
    <row r="104" spans="2:20" s="339" customFormat="1" ht="12.75" outlineLevel="1" x14ac:dyDescent="0.2">
      <c r="B104" s="608"/>
      <c r="C104" s="341"/>
      <c r="D104" s="340"/>
      <c r="E104" s="337" t="s">
        <v>401</v>
      </c>
      <c r="F104" s="337" t="s">
        <v>402</v>
      </c>
      <c r="G104" s="337" t="s">
        <v>403</v>
      </c>
      <c r="H104" s="337" t="s">
        <v>404</v>
      </c>
      <c r="I104" s="337" t="s">
        <v>405</v>
      </c>
      <c r="J104" s="337" t="s">
        <v>406</v>
      </c>
      <c r="K104" s="337" t="s">
        <v>407</v>
      </c>
      <c r="L104" s="337" t="s">
        <v>408</v>
      </c>
      <c r="M104" s="337" t="s">
        <v>416</v>
      </c>
      <c r="N104" s="337" t="s">
        <v>417</v>
      </c>
      <c r="O104" s="337" t="s">
        <v>418</v>
      </c>
      <c r="P104" s="337" t="s">
        <v>419</v>
      </c>
      <c r="Q104" s="337" t="s">
        <v>420</v>
      </c>
      <c r="R104" s="337" t="s">
        <v>421</v>
      </c>
      <c r="S104" s="337" t="s">
        <v>422</v>
      </c>
      <c r="T104" s="593" t="s">
        <v>423</v>
      </c>
    </row>
    <row r="105" spans="2:20" s="142" customFormat="1" ht="14.25" customHeight="1" outlineLevel="1" x14ac:dyDescent="0.2">
      <c r="B105" s="60" t="s">
        <v>3698</v>
      </c>
      <c r="C105" s="679">
        <v>1</v>
      </c>
      <c r="D105" s="686" t="s">
        <v>83</v>
      </c>
      <c r="E105" s="635"/>
      <c r="F105" s="635"/>
      <c r="G105" s="635"/>
      <c r="H105" s="635"/>
      <c r="I105" s="635"/>
      <c r="J105" s="635"/>
      <c r="K105" s="239">
        <f>E105+G105+I105</f>
        <v>0</v>
      </c>
      <c r="L105" s="239">
        <f>F105+H105+J105</f>
        <v>0</v>
      </c>
      <c r="M105" s="635"/>
      <c r="N105" s="635"/>
      <c r="O105" s="635"/>
      <c r="P105" s="635"/>
      <c r="Q105" s="635"/>
      <c r="R105" s="635"/>
      <c r="S105" s="239">
        <f>M105+O105+Q105</f>
        <v>0</v>
      </c>
      <c r="T105" s="240">
        <f>N105+P105+R105</f>
        <v>0</v>
      </c>
    </row>
    <row r="106" spans="2:20" s="142" customFormat="1" ht="14.25" customHeight="1" outlineLevel="1" x14ac:dyDescent="0.2">
      <c r="B106" s="60" t="s">
        <v>3699</v>
      </c>
      <c r="C106" s="679">
        <v>2</v>
      </c>
      <c r="D106" s="686" t="s">
        <v>1202</v>
      </c>
      <c r="E106" s="635">
        <f t="shared" ref="E106:J106" si="15">SUM(E107:E108)</f>
        <v>0</v>
      </c>
      <c r="F106" s="635">
        <f t="shared" si="15"/>
        <v>0</v>
      </c>
      <c r="G106" s="635">
        <f t="shared" si="15"/>
        <v>0</v>
      </c>
      <c r="H106" s="635">
        <f t="shared" si="15"/>
        <v>0</v>
      </c>
      <c r="I106" s="635">
        <f t="shared" si="15"/>
        <v>0</v>
      </c>
      <c r="J106" s="635">
        <f t="shared" si="15"/>
        <v>0</v>
      </c>
      <c r="K106" s="239">
        <f>E106+G106+I106</f>
        <v>0</v>
      </c>
      <c r="L106" s="239">
        <f>F106+H106+J106</f>
        <v>0</v>
      </c>
      <c r="M106" s="635">
        <f t="shared" ref="M106:R106" si="16">SUM(M107:M108)</f>
        <v>0</v>
      </c>
      <c r="N106" s="635">
        <f t="shared" si="16"/>
        <v>0</v>
      </c>
      <c r="O106" s="635">
        <f t="shared" si="16"/>
        <v>0</v>
      </c>
      <c r="P106" s="635">
        <f t="shared" si="16"/>
        <v>0</v>
      </c>
      <c r="Q106" s="635">
        <f t="shared" si="16"/>
        <v>0</v>
      </c>
      <c r="R106" s="635">
        <f t="shared" si="16"/>
        <v>0</v>
      </c>
      <c r="S106" s="239">
        <f>M106+O106+Q106</f>
        <v>0</v>
      </c>
      <c r="T106" s="240">
        <f t="shared" ref="T106:T125" si="17">N106+P106+R106</f>
        <v>0</v>
      </c>
    </row>
    <row r="107" spans="2:20" outlineLevel="1" x14ac:dyDescent="0.2">
      <c r="B107" s="60" t="s">
        <v>3700</v>
      </c>
      <c r="C107" s="681">
        <v>3</v>
      </c>
      <c r="D107" s="692" t="s">
        <v>1200</v>
      </c>
      <c r="E107" s="636"/>
      <c r="F107" s="636"/>
      <c r="G107" s="636"/>
      <c r="H107" s="636"/>
      <c r="I107" s="636"/>
      <c r="J107" s="636"/>
      <c r="K107" s="259">
        <f t="shared" ref="K107:L138" si="18">E107+G107+I107</f>
        <v>0</v>
      </c>
      <c r="L107" s="259">
        <f t="shared" si="18"/>
        <v>0</v>
      </c>
      <c r="M107" s="636"/>
      <c r="N107" s="636"/>
      <c r="O107" s="636"/>
      <c r="P107" s="636"/>
      <c r="Q107" s="636"/>
      <c r="R107" s="636"/>
      <c r="S107" s="259">
        <f>M107+O107+Q107</f>
        <v>0</v>
      </c>
      <c r="T107" s="260">
        <f t="shared" si="17"/>
        <v>0</v>
      </c>
    </row>
    <row r="108" spans="2:20" ht="30" outlineLevel="1" x14ac:dyDescent="0.2">
      <c r="B108" s="60" t="s">
        <v>3701</v>
      </c>
      <c r="C108" s="683">
        <v>4</v>
      </c>
      <c r="D108" s="684" t="s">
        <v>1201</v>
      </c>
      <c r="E108" s="636"/>
      <c r="F108" s="636"/>
      <c r="G108" s="636"/>
      <c r="H108" s="636"/>
      <c r="I108" s="636"/>
      <c r="J108" s="636"/>
      <c r="K108" s="259">
        <f t="shared" si="18"/>
        <v>0</v>
      </c>
      <c r="L108" s="259">
        <f t="shared" si="18"/>
        <v>0</v>
      </c>
      <c r="M108" s="636"/>
      <c r="N108" s="636"/>
      <c r="O108" s="636"/>
      <c r="P108" s="636"/>
      <c r="Q108" s="636"/>
      <c r="R108" s="636"/>
      <c r="S108" s="259">
        <f>M108+O108+Q108</f>
        <v>0</v>
      </c>
      <c r="T108" s="260">
        <f t="shared" si="17"/>
        <v>0</v>
      </c>
    </row>
    <row r="109" spans="2:20" s="142" customFormat="1" ht="13.5" customHeight="1" outlineLevel="1" x14ac:dyDescent="0.2">
      <c r="B109" s="60" t="s">
        <v>3702</v>
      </c>
      <c r="C109" s="685">
        <v>5</v>
      </c>
      <c r="D109" s="686" t="s">
        <v>51</v>
      </c>
      <c r="E109" s="635"/>
      <c r="F109" s="635"/>
      <c r="G109" s="635"/>
      <c r="H109" s="635"/>
      <c r="I109" s="635"/>
      <c r="J109" s="635"/>
      <c r="K109" s="239">
        <f>E109+G109+I109</f>
        <v>0</v>
      </c>
      <c r="L109" s="239">
        <f t="shared" si="18"/>
        <v>0</v>
      </c>
      <c r="M109" s="635"/>
      <c r="N109" s="635"/>
      <c r="O109" s="635"/>
      <c r="P109" s="635"/>
      <c r="Q109" s="635"/>
      <c r="R109" s="635"/>
      <c r="S109" s="239">
        <f>M109+O109+Q109</f>
        <v>0</v>
      </c>
      <c r="T109" s="240">
        <f t="shared" si="17"/>
        <v>0</v>
      </c>
    </row>
    <row r="110" spans="2:20" s="142" customFormat="1" ht="30" outlineLevel="1" x14ac:dyDescent="0.2">
      <c r="B110" s="60" t="s">
        <v>3703</v>
      </c>
      <c r="C110" s="679">
        <v>6</v>
      </c>
      <c r="D110" s="687" t="s">
        <v>1203</v>
      </c>
      <c r="E110" s="635">
        <f t="shared" ref="E110:J110" si="19">SUM(E111:E112)</f>
        <v>0</v>
      </c>
      <c r="F110" s="635">
        <f t="shared" si="19"/>
        <v>0</v>
      </c>
      <c r="G110" s="635">
        <f t="shared" si="19"/>
        <v>0</v>
      </c>
      <c r="H110" s="635">
        <f t="shared" si="19"/>
        <v>0</v>
      </c>
      <c r="I110" s="635">
        <f t="shared" si="19"/>
        <v>0</v>
      </c>
      <c r="J110" s="635">
        <f t="shared" si="19"/>
        <v>0</v>
      </c>
      <c r="K110" s="239">
        <f t="shared" si="18"/>
        <v>0</v>
      </c>
      <c r="L110" s="239">
        <f t="shared" si="18"/>
        <v>0</v>
      </c>
      <c r="M110" s="635">
        <f t="shared" ref="M110:R110" si="20">SUM(M111:M112)</f>
        <v>0</v>
      </c>
      <c r="N110" s="635">
        <f t="shared" si="20"/>
        <v>0</v>
      </c>
      <c r="O110" s="635">
        <f t="shared" si="20"/>
        <v>0</v>
      </c>
      <c r="P110" s="635">
        <f t="shared" si="20"/>
        <v>0</v>
      </c>
      <c r="Q110" s="635">
        <f t="shared" si="20"/>
        <v>0</v>
      </c>
      <c r="R110" s="635">
        <f t="shared" si="20"/>
        <v>0</v>
      </c>
      <c r="S110" s="239">
        <f>M110+O110+Q110</f>
        <v>0</v>
      </c>
      <c r="T110" s="240">
        <f t="shared" si="17"/>
        <v>0</v>
      </c>
    </row>
    <row r="111" spans="2:20" ht="30" outlineLevel="1" x14ac:dyDescent="0.2">
      <c r="B111" s="60" t="s">
        <v>3704</v>
      </c>
      <c r="C111" s="681">
        <v>7</v>
      </c>
      <c r="D111" s="688" t="s">
        <v>3402</v>
      </c>
      <c r="E111" s="636"/>
      <c r="F111" s="636"/>
      <c r="G111" s="636"/>
      <c r="H111" s="636"/>
      <c r="I111" s="636"/>
      <c r="J111" s="636"/>
      <c r="K111" s="259">
        <f t="shared" si="18"/>
        <v>0</v>
      </c>
      <c r="L111" s="259">
        <f t="shared" si="18"/>
        <v>0</v>
      </c>
      <c r="M111" s="636"/>
      <c r="N111" s="636"/>
      <c r="O111" s="636"/>
      <c r="P111" s="636"/>
      <c r="Q111" s="636"/>
      <c r="R111" s="636"/>
      <c r="S111" s="259">
        <f t="shared" ref="S111:T138" si="21">M111+O111+Q111</f>
        <v>0</v>
      </c>
      <c r="T111" s="260">
        <f t="shared" si="17"/>
        <v>0</v>
      </c>
    </row>
    <row r="112" spans="2:20" outlineLevel="1" x14ac:dyDescent="0.2">
      <c r="B112" s="60" t="s">
        <v>3705</v>
      </c>
      <c r="C112" s="683">
        <v>8</v>
      </c>
      <c r="D112" s="689" t="s">
        <v>44</v>
      </c>
      <c r="E112" s="636"/>
      <c r="F112" s="636"/>
      <c r="G112" s="636"/>
      <c r="H112" s="636"/>
      <c r="I112" s="636"/>
      <c r="J112" s="636"/>
      <c r="K112" s="259">
        <f t="shared" si="18"/>
        <v>0</v>
      </c>
      <c r="L112" s="259">
        <f t="shared" si="18"/>
        <v>0</v>
      </c>
      <c r="M112" s="636"/>
      <c r="N112" s="636"/>
      <c r="O112" s="636"/>
      <c r="P112" s="636"/>
      <c r="Q112" s="636"/>
      <c r="R112" s="636"/>
      <c r="S112" s="259">
        <f t="shared" si="21"/>
        <v>0</v>
      </c>
      <c r="T112" s="260">
        <f t="shared" si="17"/>
        <v>0</v>
      </c>
    </row>
    <row r="113" spans="2:20" s="142" customFormat="1" ht="43.5" customHeight="1" outlineLevel="1" x14ac:dyDescent="0.2">
      <c r="B113" s="60" t="s">
        <v>3706</v>
      </c>
      <c r="C113" s="685">
        <v>9</v>
      </c>
      <c r="D113" s="687" t="s">
        <v>1204</v>
      </c>
      <c r="E113" s="635">
        <f t="shared" ref="E113:J113" si="22">SUM(E114:E116)</f>
        <v>0</v>
      </c>
      <c r="F113" s="635">
        <f t="shared" si="22"/>
        <v>0</v>
      </c>
      <c r="G113" s="635">
        <f t="shared" si="22"/>
        <v>0</v>
      </c>
      <c r="H113" s="635">
        <f t="shared" si="22"/>
        <v>0</v>
      </c>
      <c r="I113" s="635">
        <f t="shared" si="22"/>
        <v>0</v>
      </c>
      <c r="J113" s="635">
        <f t="shared" si="22"/>
        <v>0</v>
      </c>
      <c r="K113" s="239">
        <f>E113+G113+I113</f>
        <v>0</v>
      </c>
      <c r="L113" s="239">
        <f>F113+H113+J113</f>
        <v>0</v>
      </c>
      <c r="M113" s="635">
        <f t="shared" ref="M113:R113" si="23">SUM(M114:M116)</f>
        <v>0</v>
      </c>
      <c r="N113" s="635">
        <f t="shared" si="23"/>
        <v>0</v>
      </c>
      <c r="O113" s="635">
        <f t="shared" si="23"/>
        <v>0</v>
      </c>
      <c r="P113" s="635">
        <f t="shared" si="23"/>
        <v>0</v>
      </c>
      <c r="Q113" s="635">
        <f t="shared" si="23"/>
        <v>0</v>
      </c>
      <c r="R113" s="635">
        <f t="shared" si="23"/>
        <v>0</v>
      </c>
      <c r="S113" s="239">
        <f t="shared" si="21"/>
        <v>0</v>
      </c>
      <c r="T113" s="240">
        <f t="shared" si="17"/>
        <v>0</v>
      </c>
    </row>
    <row r="114" spans="2:20" ht="29.25" customHeight="1" outlineLevel="1" x14ac:dyDescent="0.2">
      <c r="B114" s="60" t="s">
        <v>3707</v>
      </c>
      <c r="C114" s="683">
        <v>10</v>
      </c>
      <c r="D114" s="688" t="s">
        <v>1157</v>
      </c>
      <c r="E114" s="636"/>
      <c r="F114" s="636"/>
      <c r="G114" s="636"/>
      <c r="H114" s="636"/>
      <c r="I114" s="636"/>
      <c r="J114" s="636"/>
      <c r="K114" s="259">
        <f t="shared" si="18"/>
        <v>0</v>
      </c>
      <c r="L114" s="259">
        <f t="shared" si="18"/>
        <v>0</v>
      </c>
      <c r="M114" s="636"/>
      <c r="N114" s="636"/>
      <c r="O114" s="636"/>
      <c r="P114" s="636"/>
      <c r="Q114" s="636"/>
      <c r="R114" s="636"/>
      <c r="S114" s="259">
        <f t="shared" si="21"/>
        <v>0</v>
      </c>
      <c r="T114" s="260">
        <f t="shared" si="17"/>
        <v>0</v>
      </c>
    </row>
    <row r="115" spans="2:20" ht="30" outlineLevel="1" x14ac:dyDescent="0.2">
      <c r="B115" s="60" t="s">
        <v>3708</v>
      </c>
      <c r="C115" s="681">
        <v>11</v>
      </c>
      <c r="D115" s="688" t="s">
        <v>45</v>
      </c>
      <c r="E115" s="636"/>
      <c r="F115" s="636"/>
      <c r="G115" s="636"/>
      <c r="H115" s="636"/>
      <c r="I115" s="636"/>
      <c r="J115" s="636"/>
      <c r="K115" s="259">
        <f t="shared" si="18"/>
        <v>0</v>
      </c>
      <c r="L115" s="259">
        <f t="shared" si="18"/>
        <v>0</v>
      </c>
      <c r="M115" s="636"/>
      <c r="N115" s="636"/>
      <c r="O115" s="636"/>
      <c r="P115" s="636"/>
      <c r="Q115" s="636"/>
      <c r="R115" s="636"/>
      <c r="S115" s="259">
        <f t="shared" si="21"/>
        <v>0</v>
      </c>
      <c r="T115" s="260">
        <f t="shared" si="17"/>
        <v>0</v>
      </c>
    </row>
    <row r="116" spans="2:20" ht="30" outlineLevel="1" x14ac:dyDescent="0.2">
      <c r="B116" s="60" t="s">
        <v>3709</v>
      </c>
      <c r="C116" s="683">
        <v>12</v>
      </c>
      <c r="D116" s="688" t="s">
        <v>46</v>
      </c>
      <c r="E116" s="636"/>
      <c r="F116" s="636"/>
      <c r="G116" s="636"/>
      <c r="H116" s="636"/>
      <c r="I116" s="636"/>
      <c r="J116" s="636"/>
      <c r="K116" s="259">
        <f t="shared" si="18"/>
        <v>0</v>
      </c>
      <c r="L116" s="259">
        <f t="shared" si="18"/>
        <v>0</v>
      </c>
      <c r="M116" s="636"/>
      <c r="N116" s="636"/>
      <c r="O116" s="636"/>
      <c r="P116" s="636"/>
      <c r="Q116" s="636"/>
      <c r="R116" s="636"/>
      <c r="S116" s="259">
        <f t="shared" si="21"/>
        <v>0</v>
      </c>
      <c r="T116" s="260">
        <f t="shared" si="17"/>
        <v>0</v>
      </c>
    </row>
    <row r="117" spans="2:20" s="142" customFormat="1" outlineLevel="1" x14ac:dyDescent="0.2">
      <c r="B117" s="60" t="s">
        <v>3710</v>
      </c>
      <c r="C117" s="685">
        <v>13</v>
      </c>
      <c r="D117" s="690" t="s">
        <v>87</v>
      </c>
      <c r="E117" s="635"/>
      <c r="F117" s="635"/>
      <c r="G117" s="635"/>
      <c r="H117" s="635"/>
      <c r="I117" s="635"/>
      <c r="J117" s="635"/>
      <c r="K117" s="239">
        <f t="shared" si="18"/>
        <v>0</v>
      </c>
      <c r="L117" s="239">
        <f t="shared" si="18"/>
        <v>0</v>
      </c>
      <c r="M117" s="635"/>
      <c r="N117" s="635"/>
      <c r="O117" s="635"/>
      <c r="P117" s="635"/>
      <c r="Q117" s="635"/>
      <c r="R117" s="635"/>
      <c r="S117" s="239">
        <f t="shared" si="21"/>
        <v>0</v>
      </c>
      <c r="T117" s="240">
        <f t="shared" si="17"/>
        <v>0</v>
      </c>
    </row>
    <row r="118" spans="2:20" s="142" customFormat="1" ht="28.5" customHeight="1" outlineLevel="1" x14ac:dyDescent="0.2">
      <c r="B118" s="60" t="s">
        <v>3711</v>
      </c>
      <c r="C118" s="679">
        <v>14</v>
      </c>
      <c r="D118" s="687" t="s">
        <v>1143</v>
      </c>
      <c r="E118" s="635"/>
      <c r="F118" s="635"/>
      <c r="G118" s="635"/>
      <c r="H118" s="635"/>
      <c r="I118" s="635"/>
      <c r="J118" s="635"/>
      <c r="K118" s="239">
        <f t="shared" si="18"/>
        <v>0</v>
      </c>
      <c r="L118" s="239">
        <f t="shared" si="18"/>
        <v>0</v>
      </c>
      <c r="M118" s="635"/>
      <c r="N118" s="635"/>
      <c r="O118" s="635"/>
      <c r="P118" s="635"/>
      <c r="Q118" s="635"/>
      <c r="R118" s="635"/>
      <c r="S118" s="239">
        <f t="shared" si="21"/>
        <v>0</v>
      </c>
      <c r="T118" s="240">
        <f t="shared" si="17"/>
        <v>0</v>
      </c>
    </row>
    <row r="119" spans="2:20" s="142" customFormat="1" ht="28.5" customHeight="1" outlineLevel="1" x14ac:dyDescent="0.2">
      <c r="B119" s="60" t="s">
        <v>3712</v>
      </c>
      <c r="C119" s="685">
        <v>15</v>
      </c>
      <c r="D119" s="687" t="s">
        <v>53</v>
      </c>
      <c r="E119" s="635">
        <f t="shared" ref="E119:J119" si="24">SUM(E120:E121)</f>
        <v>0</v>
      </c>
      <c r="F119" s="635">
        <f t="shared" si="24"/>
        <v>0</v>
      </c>
      <c r="G119" s="635">
        <f t="shared" si="24"/>
        <v>0</v>
      </c>
      <c r="H119" s="635">
        <f t="shared" si="24"/>
        <v>0</v>
      </c>
      <c r="I119" s="635">
        <f t="shared" si="24"/>
        <v>0</v>
      </c>
      <c r="J119" s="635">
        <f t="shared" si="24"/>
        <v>0</v>
      </c>
      <c r="K119" s="239">
        <f t="shared" si="18"/>
        <v>0</v>
      </c>
      <c r="L119" s="239">
        <f t="shared" si="18"/>
        <v>0</v>
      </c>
      <c r="M119" s="635">
        <f t="shared" ref="M119:R119" si="25">SUM(M120:M121)</f>
        <v>0</v>
      </c>
      <c r="N119" s="635">
        <f t="shared" si="25"/>
        <v>0</v>
      </c>
      <c r="O119" s="635">
        <f t="shared" si="25"/>
        <v>0</v>
      </c>
      <c r="P119" s="635">
        <f t="shared" si="25"/>
        <v>0</v>
      </c>
      <c r="Q119" s="635">
        <f t="shared" si="25"/>
        <v>0</v>
      </c>
      <c r="R119" s="635">
        <f t="shared" si="25"/>
        <v>0</v>
      </c>
      <c r="S119" s="239">
        <f t="shared" si="21"/>
        <v>0</v>
      </c>
      <c r="T119" s="240">
        <f t="shared" si="17"/>
        <v>0</v>
      </c>
    </row>
    <row r="120" spans="2:20" outlineLevel="1" x14ac:dyDescent="0.2">
      <c r="B120" s="60" t="s">
        <v>3713</v>
      </c>
      <c r="C120" s="683">
        <v>16</v>
      </c>
      <c r="D120" s="689" t="s">
        <v>54</v>
      </c>
      <c r="E120" s="636"/>
      <c r="F120" s="636"/>
      <c r="G120" s="636"/>
      <c r="H120" s="636"/>
      <c r="I120" s="636"/>
      <c r="J120" s="636"/>
      <c r="K120" s="259">
        <f t="shared" si="18"/>
        <v>0</v>
      </c>
      <c r="L120" s="259">
        <f t="shared" si="18"/>
        <v>0</v>
      </c>
      <c r="M120" s="636"/>
      <c r="N120" s="636"/>
      <c r="O120" s="636"/>
      <c r="P120" s="636"/>
      <c r="Q120" s="636"/>
      <c r="R120" s="636"/>
      <c r="S120" s="259">
        <f t="shared" si="21"/>
        <v>0</v>
      </c>
      <c r="T120" s="260">
        <f t="shared" si="17"/>
        <v>0</v>
      </c>
    </row>
    <row r="121" spans="2:20" ht="30" outlineLevel="1" x14ac:dyDescent="0.2">
      <c r="B121" s="60" t="s">
        <v>3714</v>
      </c>
      <c r="C121" s="681">
        <v>17</v>
      </c>
      <c r="D121" s="688" t="s">
        <v>1144</v>
      </c>
      <c r="E121" s="636"/>
      <c r="F121" s="636"/>
      <c r="G121" s="636"/>
      <c r="H121" s="636"/>
      <c r="I121" s="636"/>
      <c r="J121" s="636"/>
      <c r="K121" s="259">
        <f t="shared" si="18"/>
        <v>0</v>
      </c>
      <c r="L121" s="259">
        <f t="shared" si="18"/>
        <v>0</v>
      </c>
      <c r="M121" s="636"/>
      <c r="N121" s="636"/>
      <c r="O121" s="636"/>
      <c r="P121" s="636"/>
      <c r="Q121" s="636"/>
      <c r="R121" s="636"/>
      <c r="S121" s="259">
        <f t="shared" si="21"/>
        <v>0</v>
      </c>
      <c r="T121" s="260">
        <f t="shared" si="17"/>
        <v>0</v>
      </c>
    </row>
    <row r="122" spans="2:20" s="142" customFormat="1" ht="28.5" customHeight="1" outlineLevel="1" x14ac:dyDescent="0.2">
      <c r="B122" s="60" t="s">
        <v>3715</v>
      </c>
      <c r="C122" s="679">
        <v>18</v>
      </c>
      <c r="D122" s="687" t="s">
        <v>1158</v>
      </c>
      <c r="E122" s="635"/>
      <c r="F122" s="635"/>
      <c r="G122" s="635"/>
      <c r="H122" s="635"/>
      <c r="I122" s="635"/>
      <c r="J122" s="635"/>
      <c r="K122" s="239">
        <f t="shared" si="18"/>
        <v>0</v>
      </c>
      <c r="L122" s="239">
        <f t="shared" si="18"/>
        <v>0</v>
      </c>
      <c r="M122" s="635"/>
      <c r="N122" s="635"/>
      <c r="O122" s="635"/>
      <c r="P122" s="635"/>
      <c r="Q122" s="635"/>
      <c r="R122" s="635"/>
      <c r="S122" s="239">
        <f t="shared" si="21"/>
        <v>0</v>
      </c>
      <c r="T122" s="240">
        <f t="shared" si="17"/>
        <v>0</v>
      </c>
    </row>
    <row r="123" spans="2:20" s="142" customFormat="1" ht="31.5" customHeight="1" outlineLevel="1" x14ac:dyDescent="0.2">
      <c r="B123" s="60" t="s">
        <v>3716</v>
      </c>
      <c r="C123" s="685">
        <v>19</v>
      </c>
      <c r="D123" s="687" t="s">
        <v>3398</v>
      </c>
      <c r="E123" s="635">
        <f t="shared" ref="E123:J123" si="26">SUM(E124:E125)</f>
        <v>0</v>
      </c>
      <c r="F123" s="635">
        <f t="shared" si="26"/>
        <v>0</v>
      </c>
      <c r="G123" s="635">
        <f t="shared" si="26"/>
        <v>0</v>
      </c>
      <c r="H123" s="635">
        <f t="shared" si="26"/>
        <v>0</v>
      </c>
      <c r="I123" s="635">
        <f t="shared" si="26"/>
        <v>0</v>
      </c>
      <c r="J123" s="635">
        <f t="shared" si="26"/>
        <v>0</v>
      </c>
      <c r="K123" s="239">
        <f t="shared" si="18"/>
        <v>0</v>
      </c>
      <c r="L123" s="239">
        <f t="shared" si="18"/>
        <v>0</v>
      </c>
      <c r="M123" s="635">
        <f t="shared" ref="M123:R123" si="27">SUM(M124:M125)</f>
        <v>0</v>
      </c>
      <c r="N123" s="635">
        <f t="shared" si="27"/>
        <v>0</v>
      </c>
      <c r="O123" s="635">
        <f t="shared" si="27"/>
        <v>0</v>
      </c>
      <c r="P123" s="635">
        <f t="shared" si="27"/>
        <v>0</v>
      </c>
      <c r="Q123" s="635">
        <f t="shared" si="27"/>
        <v>0</v>
      </c>
      <c r="R123" s="635">
        <f t="shared" si="27"/>
        <v>0</v>
      </c>
      <c r="S123" s="239">
        <f t="shared" si="21"/>
        <v>0</v>
      </c>
      <c r="T123" s="240">
        <f t="shared" si="17"/>
        <v>0</v>
      </c>
    </row>
    <row r="124" spans="2:20" outlineLevel="1" x14ac:dyDescent="0.2">
      <c r="B124" s="60" t="s">
        <v>3717</v>
      </c>
      <c r="C124" s="683">
        <v>20</v>
      </c>
      <c r="D124" s="689" t="s">
        <v>1160</v>
      </c>
      <c r="E124" s="636"/>
      <c r="F124" s="636"/>
      <c r="G124" s="636"/>
      <c r="H124" s="636"/>
      <c r="I124" s="636"/>
      <c r="J124" s="636"/>
      <c r="K124" s="259">
        <f t="shared" si="18"/>
        <v>0</v>
      </c>
      <c r="L124" s="259">
        <f t="shared" si="18"/>
        <v>0</v>
      </c>
      <c r="M124" s="636"/>
      <c r="N124" s="636"/>
      <c r="O124" s="636"/>
      <c r="P124" s="636"/>
      <c r="Q124" s="636"/>
      <c r="R124" s="636"/>
      <c r="S124" s="259">
        <f t="shared" si="21"/>
        <v>0</v>
      </c>
      <c r="T124" s="260">
        <f t="shared" si="17"/>
        <v>0</v>
      </c>
    </row>
    <row r="125" spans="2:20" ht="30" outlineLevel="1" x14ac:dyDescent="0.2">
      <c r="B125" s="60" t="s">
        <v>3718</v>
      </c>
      <c r="C125" s="681">
        <v>21</v>
      </c>
      <c r="D125" s="688" t="s">
        <v>1161</v>
      </c>
      <c r="E125" s="636"/>
      <c r="F125" s="636"/>
      <c r="G125" s="636"/>
      <c r="H125" s="636"/>
      <c r="I125" s="636"/>
      <c r="J125" s="636"/>
      <c r="K125" s="259">
        <f t="shared" si="18"/>
        <v>0</v>
      </c>
      <c r="L125" s="259">
        <f t="shared" si="18"/>
        <v>0</v>
      </c>
      <c r="M125" s="636"/>
      <c r="N125" s="636"/>
      <c r="O125" s="636"/>
      <c r="P125" s="636"/>
      <c r="Q125" s="636"/>
      <c r="R125" s="636"/>
      <c r="S125" s="259">
        <f t="shared" si="21"/>
        <v>0</v>
      </c>
      <c r="T125" s="260">
        <f t="shared" si="17"/>
        <v>0</v>
      </c>
    </row>
    <row r="126" spans="2:20" s="142" customFormat="1" ht="13.5" customHeight="1" outlineLevel="1" x14ac:dyDescent="0.2">
      <c r="B126" s="60" t="s">
        <v>3719</v>
      </c>
      <c r="C126" s="679">
        <v>22</v>
      </c>
      <c r="D126" s="690" t="s">
        <v>84</v>
      </c>
      <c r="E126" s="635"/>
      <c r="F126" s="635"/>
      <c r="G126" s="635"/>
      <c r="H126" s="635"/>
      <c r="I126" s="635"/>
      <c r="J126" s="635"/>
      <c r="K126" s="239">
        <f t="shared" si="18"/>
        <v>0</v>
      </c>
      <c r="L126" s="239">
        <f t="shared" si="18"/>
        <v>0</v>
      </c>
      <c r="M126" s="635"/>
      <c r="N126" s="635"/>
      <c r="O126" s="635"/>
      <c r="P126" s="635"/>
      <c r="Q126" s="635"/>
      <c r="R126" s="635"/>
      <c r="S126" s="239">
        <f t="shared" si="21"/>
        <v>0</v>
      </c>
      <c r="T126" s="240">
        <f>N126+P126+R126</f>
        <v>0</v>
      </c>
    </row>
    <row r="127" spans="2:20" s="142" customFormat="1" ht="30" outlineLevel="1" x14ac:dyDescent="0.2">
      <c r="B127" s="60" t="s">
        <v>3720</v>
      </c>
      <c r="C127" s="685">
        <v>23</v>
      </c>
      <c r="D127" s="687" t="s">
        <v>4633</v>
      </c>
      <c r="E127" s="635"/>
      <c r="F127" s="635"/>
      <c r="G127" s="635"/>
      <c r="H127" s="635"/>
      <c r="I127" s="635"/>
      <c r="J127" s="635"/>
      <c r="K127" s="239">
        <f t="shared" si="18"/>
        <v>0</v>
      </c>
      <c r="L127" s="239">
        <f t="shared" si="18"/>
        <v>0</v>
      </c>
      <c r="M127" s="635"/>
      <c r="N127" s="635"/>
      <c r="O127" s="635"/>
      <c r="P127" s="635"/>
      <c r="Q127" s="635"/>
      <c r="R127" s="635"/>
      <c r="S127" s="239">
        <f t="shared" si="21"/>
        <v>0</v>
      </c>
      <c r="T127" s="240">
        <f t="shared" si="21"/>
        <v>0</v>
      </c>
    </row>
    <row r="128" spans="2:20" s="142" customFormat="1" outlineLevel="1" x14ac:dyDescent="0.2">
      <c r="B128" s="60" t="s">
        <v>3721</v>
      </c>
      <c r="C128" s="679">
        <v>24</v>
      </c>
      <c r="D128" s="690" t="s">
        <v>85</v>
      </c>
      <c r="E128" s="635"/>
      <c r="F128" s="635"/>
      <c r="G128" s="635"/>
      <c r="H128" s="635"/>
      <c r="I128" s="635"/>
      <c r="J128" s="635"/>
      <c r="K128" s="239">
        <f t="shared" si="18"/>
        <v>0</v>
      </c>
      <c r="L128" s="239">
        <f t="shared" si="18"/>
        <v>0</v>
      </c>
      <c r="M128" s="635"/>
      <c r="N128" s="635"/>
      <c r="O128" s="635"/>
      <c r="P128" s="635"/>
      <c r="Q128" s="635"/>
      <c r="R128" s="635"/>
      <c r="S128" s="239">
        <f t="shared" si="21"/>
        <v>0</v>
      </c>
      <c r="T128" s="240">
        <f t="shared" si="21"/>
        <v>0</v>
      </c>
    </row>
    <row r="129" spans="2:20" s="142" customFormat="1" outlineLevel="1" x14ac:dyDescent="0.2">
      <c r="B129" s="60" t="s">
        <v>3722</v>
      </c>
      <c r="C129" s="685">
        <v>25</v>
      </c>
      <c r="D129" s="690" t="s">
        <v>1146</v>
      </c>
      <c r="E129" s="635">
        <f t="shared" ref="E129:J129" si="28">SUM(E130:E132)</f>
        <v>0</v>
      </c>
      <c r="F129" s="635">
        <f t="shared" si="28"/>
        <v>0</v>
      </c>
      <c r="G129" s="635">
        <f t="shared" si="28"/>
        <v>0</v>
      </c>
      <c r="H129" s="635">
        <f t="shared" si="28"/>
        <v>0</v>
      </c>
      <c r="I129" s="635">
        <f t="shared" si="28"/>
        <v>0</v>
      </c>
      <c r="J129" s="635">
        <f t="shared" si="28"/>
        <v>0</v>
      </c>
      <c r="K129" s="239">
        <f t="shared" si="18"/>
        <v>0</v>
      </c>
      <c r="L129" s="239">
        <f t="shared" si="18"/>
        <v>0</v>
      </c>
      <c r="M129" s="635">
        <f t="shared" ref="M129:R129" si="29">SUM(M130:M132)</f>
        <v>0</v>
      </c>
      <c r="N129" s="635">
        <f t="shared" si="29"/>
        <v>0</v>
      </c>
      <c r="O129" s="635">
        <f t="shared" si="29"/>
        <v>0</v>
      </c>
      <c r="P129" s="635">
        <f t="shared" si="29"/>
        <v>0</v>
      </c>
      <c r="Q129" s="635">
        <f t="shared" si="29"/>
        <v>0</v>
      </c>
      <c r="R129" s="635">
        <f t="shared" si="29"/>
        <v>0</v>
      </c>
      <c r="S129" s="239">
        <f t="shared" si="21"/>
        <v>0</v>
      </c>
      <c r="T129" s="240">
        <f t="shared" si="21"/>
        <v>0</v>
      </c>
    </row>
    <row r="130" spans="2:20" ht="30" outlineLevel="1" x14ac:dyDescent="0.2">
      <c r="B130" s="60" t="s">
        <v>3723</v>
      </c>
      <c r="C130" s="683">
        <v>26</v>
      </c>
      <c r="D130" s="688" t="s">
        <v>41</v>
      </c>
      <c r="E130" s="636"/>
      <c r="F130" s="636"/>
      <c r="G130" s="636"/>
      <c r="H130" s="636"/>
      <c r="I130" s="636"/>
      <c r="J130" s="636"/>
      <c r="K130" s="259">
        <f t="shared" si="18"/>
        <v>0</v>
      </c>
      <c r="L130" s="259">
        <f t="shared" si="18"/>
        <v>0</v>
      </c>
      <c r="M130" s="636"/>
      <c r="N130" s="636"/>
      <c r="O130" s="636"/>
      <c r="P130" s="636"/>
      <c r="Q130" s="636"/>
      <c r="R130" s="636"/>
      <c r="S130" s="259">
        <f t="shared" si="21"/>
        <v>0</v>
      </c>
      <c r="T130" s="260">
        <f t="shared" si="21"/>
        <v>0</v>
      </c>
    </row>
    <row r="131" spans="2:20" outlineLevel="1" x14ac:dyDescent="0.2">
      <c r="B131" s="60" t="s">
        <v>3724</v>
      </c>
      <c r="C131" s="681">
        <v>27</v>
      </c>
      <c r="D131" s="689" t="s">
        <v>47</v>
      </c>
      <c r="E131" s="636"/>
      <c r="F131" s="636"/>
      <c r="G131" s="636"/>
      <c r="H131" s="636"/>
      <c r="I131" s="636"/>
      <c r="J131" s="636"/>
      <c r="K131" s="259">
        <f t="shared" si="18"/>
        <v>0</v>
      </c>
      <c r="L131" s="259">
        <f t="shared" si="18"/>
        <v>0</v>
      </c>
      <c r="M131" s="636"/>
      <c r="N131" s="636"/>
      <c r="O131" s="636"/>
      <c r="P131" s="636"/>
      <c r="Q131" s="636"/>
      <c r="R131" s="636"/>
      <c r="S131" s="259">
        <f t="shared" si="21"/>
        <v>0</v>
      </c>
      <c r="T131" s="260">
        <f t="shared" si="21"/>
        <v>0</v>
      </c>
    </row>
    <row r="132" spans="2:20" ht="14.25" customHeight="1" outlineLevel="1" x14ac:dyDescent="0.2">
      <c r="B132" s="60" t="s">
        <v>3725</v>
      </c>
      <c r="C132" s="683">
        <v>28</v>
      </c>
      <c r="D132" s="689" t="s">
        <v>48</v>
      </c>
      <c r="E132" s="636"/>
      <c r="F132" s="636"/>
      <c r="G132" s="636"/>
      <c r="H132" s="636"/>
      <c r="I132" s="636"/>
      <c r="J132" s="636"/>
      <c r="K132" s="259">
        <f t="shared" si="18"/>
        <v>0</v>
      </c>
      <c r="L132" s="259">
        <f t="shared" si="18"/>
        <v>0</v>
      </c>
      <c r="M132" s="636"/>
      <c r="N132" s="636"/>
      <c r="O132" s="636"/>
      <c r="P132" s="636"/>
      <c r="Q132" s="636"/>
      <c r="R132" s="636"/>
      <c r="S132" s="259">
        <f t="shared" si="21"/>
        <v>0</v>
      </c>
      <c r="T132" s="260">
        <f t="shared" si="21"/>
        <v>0</v>
      </c>
    </row>
    <row r="133" spans="2:20" s="142" customFormat="1" outlineLevel="1" x14ac:dyDescent="0.2">
      <c r="B133" s="60" t="s">
        <v>3726</v>
      </c>
      <c r="C133" s="685">
        <v>29</v>
      </c>
      <c r="D133" s="690" t="s">
        <v>86</v>
      </c>
      <c r="E133" s="635"/>
      <c r="F133" s="635"/>
      <c r="G133" s="635"/>
      <c r="H133" s="635"/>
      <c r="I133" s="635"/>
      <c r="J133" s="635"/>
      <c r="K133" s="239">
        <f t="shared" si="18"/>
        <v>0</v>
      </c>
      <c r="L133" s="239">
        <f t="shared" si="18"/>
        <v>0</v>
      </c>
      <c r="M133" s="635"/>
      <c r="N133" s="635"/>
      <c r="O133" s="635"/>
      <c r="P133" s="635"/>
      <c r="Q133" s="635"/>
      <c r="R133" s="635"/>
      <c r="S133" s="239">
        <f t="shared" si="21"/>
        <v>0</v>
      </c>
      <c r="T133" s="240">
        <f t="shared" si="21"/>
        <v>0</v>
      </c>
    </row>
    <row r="134" spans="2:20" s="142" customFormat="1" ht="43.5" customHeight="1" outlineLevel="1" x14ac:dyDescent="0.2">
      <c r="B134" s="60" t="s">
        <v>3727</v>
      </c>
      <c r="C134" s="679">
        <v>30</v>
      </c>
      <c r="D134" s="687" t="s">
        <v>4634</v>
      </c>
      <c r="E134" s="635">
        <f t="shared" ref="E134:J134" si="30">SUM(E135:E137)</f>
        <v>0</v>
      </c>
      <c r="F134" s="635">
        <f t="shared" si="30"/>
        <v>0</v>
      </c>
      <c r="G134" s="635">
        <f t="shared" si="30"/>
        <v>0</v>
      </c>
      <c r="H134" s="635">
        <f t="shared" si="30"/>
        <v>0</v>
      </c>
      <c r="I134" s="635">
        <f t="shared" si="30"/>
        <v>0</v>
      </c>
      <c r="J134" s="635">
        <f t="shared" si="30"/>
        <v>0</v>
      </c>
      <c r="K134" s="239">
        <f t="shared" si="18"/>
        <v>0</v>
      </c>
      <c r="L134" s="239">
        <f t="shared" si="18"/>
        <v>0</v>
      </c>
      <c r="M134" s="635">
        <f t="shared" ref="M134:R134" si="31">SUM(M135:M137)</f>
        <v>0</v>
      </c>
      <c r="N134" s="635">
        <f t="shared" si="31"/>
        <v>0</v>
      </c>
      <c r="O134" s="635">
        <f t="shared" si="31"/>
        <v>0</v>
      </c>
      <c r="P134" s="635">
        <f t="shared" si="31"/>
        <v>0</v>
      </c>
      <c r="Q134" s="635">
        <f t="shared" si="31"/>
        <v>0</v>
      </c>
      <c r="R134" s="635">
        <f t="shared" si="31"/>
        <v>0</v>
      </c>
      <c r="S134" s="239">
        <f t="shared" si="21"/>
        <v>0</v>
      </c>
      <c r="T134" s="240">
        <f t="shared" si="21"/>
        <v>0</v>
      </c>
    </row>
    <row r="135" spans="2:20" outlineLevel="1" x14ac:dyDescent="0.2">
      <c r="B135" s="60" t="s">
        <v>3728</v>
      </c>
      <c r="C135" s="681">
        <v>31</v>
      </c>
      <c r="D135" s="689" t="s">
        <v>49</v>
      </c>
      <c r="E135" s="636"/>
      <c r="F135" s="636"/>
      <c r="G135" s="636"/>
      <c r="H135" s="636"/>
      <c r="I135" s="636"/>
      <c r="J135" s="636"/>
      <c r="K135" s="259">
        <f t="shared" si="18"/>
        <v>0</v>
      </c>
      <c r="L135" s="259">
        <f t="shared" si="18"/>
        <v>0</v>
      </c>
      <c r="M135" s="636"/>
      <c r="N135" s="636"/>
      <c r="O135" s="636"/>
      <c r="P135" s="636"/>
      <c r="Q135" s="636"/>
      <c r="R135" s="636"/>
      <c r="S135" s="259">
        <f t="shared" si="21"/>
        <v>0</v>
      </c>
      <c r="T135" s="260">
        <f t="shared" si="21"/>
        <v>0</v>
      </c>
    </row>
    <row r="136" spans="2:20" outlineLevel="1" x14ac:dyDescent="0.2">
      <c r="B136" s="60" t="s">
        <v>3729</v>
      </c>
      <c r="C136" s="683">
        <v>32</v>
      </c>
      <c r="D136" s="689" t="s">
        <v>50</v>
      </c>
      <c r="E136" s="636"/>
      <c r="F136" s="636"/>
      <c r="G136" s="636"/>
      <c r="H136" s="636"/>
      <c r="I136" s="636"/>
      <c r="J136" s="636"/>
      <c r="K136" s="259">
        <f t="shared" si="18"/>
        <v>0</v>
      </c>
      <c r="L136" s="259">
        <f t="shared" si="18"/>
        <v>0</v>
      </c>
      <c r="M136" s="636"/>
      <c r="N136" s="636"/>
      <c r="O136" s="636"/>
      <c r="P136" s="636"/>
      <c r="Q136" s="636"/>
      <c r="R136" s="636"/>
      <c r="S136" s="259">
        <f t="shared" si="21"/>
        <v>0</v>
      </c>
      <c r="T136" s="260">
        <f t="shared" si="21"/>
        <v>0</v>
      </c>
    </row>
    <row r="137" spans="2:20" ht="13.5" customHeight="1" outlineLevel="1" x14ac:dyDescent="0.2">
      <c r="B137" s="60" t="s">
        <v>3730</v>
      </c>
      <c r="C137" s="681">
        <v>33</v>
      </c>
      <c r="D137" s="689" t="s">
        <v>1159</v>
      </c>
      <c r="E137" s="636"/>
      <c r="F137" s="636"/>
      <c r="G137" s="636"/>
      <c r="H137" s="636"/>
      <c r="I137" s="636"/>
      <c r="J137" s="636"/>
      <c r="K137" s="259">
        <f t="shared" si="18"/>
        <v>0</v>
      </c>
      <c r="L137" s="259">
        <f t="shared" si="18"/>
        <v>0</v>
      </c>
      <c r="M137" s="636"/>
      <c r="N137" s="636"/>
      <c r="O137" s="636"/>
      <c r="P137" s="636"/>
      <c r="Q137" s="636"/>
      <c r="R137" s="636"/>
      <c r="S137" s="259">
        <f t="shared" si="21"/>
        <v>0</v>
      </c>
      <c r="T137" s="260">
        <f t="shared" si="21"/>
        <v>0</v>
      </c>
    </row>
    <row r="138" spans="2:20" s="142" customFormat="1" ht="13.5" customHeight="1" outlineLevel="1" x14ac:dyDescent="0.2">
      <c r="B138" s="60" t="s">
        <v>3731</v>
      </c>
      <c r="C138" s="679">
        <v>34</v>
      </c>
      <c r="D138" s="690" t="s">
        <v>52</v>
      </c>
      <c r="E138" s="635"/>
      <c r="F138" s="635"/>
      <c r="G138" s="635"/>
      <c r="H138" s="635"/>
      <c r="I138" s="635"/>
      <c r="J138" s="635"/>
      <c r="K138" s="239">
        <f t="shared" si="18"/>
        <v>0</v>
      </c>
      <c r="L138" s="239">
        <f>F138+H138+J138</f>
        <v>0</v>
      </c>
      <c r="M138" s="635"/>
      <c r="N138" s="635"/>
      <c r="O138" s="635"/>
      <c r="P138" s="635"/>
      <c r="Q138" s="635"/>
      <c r="R138" s="635"/>
      <c r="S138" s="239">
        <f t="shared" si="21"/>
        <v>0</v>
      </c>
      <c r="T138" s="240">
        <f>N138+P138+R138</f>
        <v>0</v>
      </c>
    </row>
    <row r="139" spans="2:20" s="142" customFormat="1" ht="28.5" customHeight="1" thickBot="1" x14ac:dyDescent="0.35">
      <c r="B139" s="491" t="s">
        <v>3732</v>
      </c>
      <c r="C139" s="964" t="s">
        <v>1148</v>
      </c>
      <c r="D139" s="984"/>
      <c r="E139" s="241">
        <f t="shared" ref="E139:T139" si="32">E105+E106+E109+E110+E113+E117+E118+E119+E122+E123+E126+E127+E128+E129+E133+E134+E138</f>
        <v>0</v>
      </c>
      <c r="F139" s="241">
        <f t="shared" si="32"/>
        <v>0</v>
      </c>
      <c r="G139" s="241">
        <f t="shared" si="32"/>
        <v>0</v>
      </c>
      <c r="H139" s="241">
        <f t="shared" si="32"/>
        <v>0</v>
      </c>
      <c r="I139" s="241">
        <f t="shared" si="32"/>
        <v>0</v>
      </c>
      <c r="J139" s="241">
        <f t="shared" si="32"/>
        <v>0</v>
      </c>
      <c r="K139" s="241">
        <f t="shared" si="32"/>
        <v>0</v>
      </c>
      <c r="L139" s="241">
        <f t="shared" si="32"/>
        <v>0</v>
      </c>
      <c r="M139" s="241">
        <f t="shared" si="32"/>
        <v>0</v>
      </c>
      <c r="N139" s="241">
        <f t="shared" si="32"/>
        <v>0</v>
      </c>
      <c r="O139" s="241">
        <f t="shared" si="32"/>
        <v>0</v>
      </c>
      <c r="P139" s="241">
        <f t="shared" si="32"/>
        <v>0</v>
      </c>
      <c r="Q139" s="241">
        <f t="shared" si="32"/>
        <v>0</v>
      </c>
      <c r="R139" s="241">
        <f t="shared" si="32"/>
        <v>0</v>
      </c>
      <c r="S139" s="241">
        <f t="shared" si="32"/>
        <v>0</v>
      </c>
      <c r="T139" s="242">
        <f t="shared" si="32"/>
        <v>0</v>
      </c>
    </row>
    <row r="140" spans="2:20" s="138" customFormat="1" ht="14.25" customHeight="1" x14ac:dyDescent="0.2">
      <c r="C140" s="315"/>
      <c r="D140" s="24"/>
      <c r="E140" s="317"/>
      <c r="F140" s="317"/>
      <c r="G140" s="317"/>
      <c r="H140" s="317"/>
      <c r="I140" s="317"/>
      <c r="J140" s="317"/>
      <c r="K140" s="317"/>
      <c r="L140" s="317"/>
      <c r="M140" s="317"/>
      <c r="N140" s="317"/>
      <c r="O140" s="317"/>
      <c r="P140" s="317"/>
      <c r="Q140" s="317"/>
      <c r="R140" s="317"/>
      <c r="S140" s="317"/>
      <c r="T140" s="317"/>
    </row>
    <row r="141" spans="2:20" s="138" customFormat="1" x14ac:dyDescent="0.3">
      <c r="C141" s="782"/>
      <c r="D141" s="782"/>
      <c r="E141" s="782"/>
      <c r="F141" s="782"/>
      <c r="G141" s="782"/>
      <c r="H141" s="782"/>
      <c r="I141" s="782"/>
      <c r="J141" s="782"/>
      <c r="K141" s="317"/>
      <c r="L141" s="317"/>
      <c r="M141" s="317"/>
      <c r="N141" s="317"/>
      <c r="O141" s="317"/>
      <c r="P141" s="317"/>
      <c r="Q141" s="317"/>
      <c r="R141" s="317"/>
      <c r="S141" s="317"/>
      <c r="T141" s="317"/>
    </row>
    <row r="142" spans="2:20" s="138" customFormat="1" ht="9" customHeight="1" x14ac:dyDescent="0.2">
      <c r="C142" s="845"/>
      <c r="D142" s="845"/>
      <c r="E142" s="845"/>
      <c r="F142" s="625"/>
      <c r="G142" s="625"/>
      <c r="H142" s="625"/>
      <c r="I142" s="633"/>
      <c r="J142" s="330"/>
      <c r="K142" s="317"/>
      <c r="L142" s="317"/>
      <c r="M142" s="317"/>
      <c r="N142" s="317"/>
      <c r="O142" s="317"/>
      <c r="P142" s="317"/>
      <c r="Q142" s="317"/>
      <c r="R142" s="317"/>
      <c r="S142" s="317"/>
      <c r="T142" s="317"/>
    </row>
    <row r="143" spans="2:20" s="138" customFormat="1" x14ac:dyDescent="0.3">
      <c r="B143" s="315"/>
      <c r="C143" s="782"/>
      <c r="D143" s="782"/>
      <c r="E143" s="782"/>
      <c r="F143" s="782"/>
      <c r="G143" s="782"/>
      <c r="H143" s="782"/>
      <c r="I143" s="782"/>
      <c r="J143" s="782"/>
      <c r="K143" s="317"/>
      <c r="L143" s="317"/>
      <c r="M143" s="317"/>
      <c r="N143" s="317"/>
      <c r="O143" s="317"/>
      <c r="P143" s="317"/>
      <c r="Q143" s="317"/>
      <c r="R143" s="317"/>
      <c r="S143" s="317"/>
      <c r="T143" s="317"/>
    </row>
    <row r="144" spans="2:20" s="138" customFormat="1" ht="9" customHeight="1" x14ac:dyDescent="0.2">
      <c r="C144" s="1011"/>
      <c r="D144" s="1011"/>
      <c r="E144" s="1011"/>
      <c r="F144" s="31"/>
      <c r="G144" s="31"/>
      <c r="H144" s="31"/>
      <c r="I144" s="330"/>
      <c r="J144" s="330"/>
      <c r="K144" s="317"/>
      <c r="L144" s="317"/>
      <c r="M144" s="317"/>
      <c r="N144" s="317"/>
      <c r="O144" s="317"/>
      <c r="P144" s="317"/>
      <c r="Q144" s="317"/>
      <c r="R144" s="317"/>
      <c r="S144" s="317"/>
      <c r="T144" s="317"/>
    </row>
    <row r="145" spans="2:20" s="138" customFormat="1" x14ac:dyDescent="0.3">
      <c r="C145" s="782"/>
      <c r="D145" s="782"/>
      <c r="E145" s="782"/>
      <c r="F145" s="782"/>
      <c r="G145" s="782"/>
      <c r="H145" s="782"/>
      <c r="I145" s="782"/>
      <c r="J145" s="782"/>
      <c r="K145" s="317"/>
      <c r="L145" s="317"/>
      <c r="M145" s="317"/>
      <c r="N145" s="317"/>
      <c r="O145" s="317"/>
      <c r="P145" s="317"/>
      <c r="Q145" s="317"/>
      <c r="R145" s="317"/>
      <c r="S145" s="317"/>
      <c r="T145" s="317"/>
    </row>
    <row r="146" spans="2:20" s="138" customFormat="1" x14ac:dyDescent="0.2">
      <c r="C146" s="315"/>
      <c r="D146" s="346"/>
      <c r="E146" s="330"/>
      <c r="F146" s="330"/>
      <c r="G146" s="330"/>
      <c r="H146" s="330"/>
      <c r="I146" s="330"/>
      <c r="J146" s="330"/>
      <c r="K146" s="330"/>
      <c r="L146" s="330"/>
      <c r="M146" s="330"/>
      <c r="N146" s="330"/>
      <c r="O146" s="330"/>
      <c r="P146" s="330"/>
      <c r="Q146" s="330"/>
      <c r="R146" s="330"/>
      <c r="S146" s="330"/>
      <c r="T146" s="330"/>
    </row>
    <row r="147" spans="2:20" ht="15.75" thickBot="1" x14ac:dyDescent="0.25">
      <c r="C147" s="915" t="s">
        <v>1164</v>
      </c>
      <c r="D147" s="915"/>
      <c r="E147" s="915"/>
      <c r="F147" s="915"/>
      <c r="G147" s="915"/>
      <c r="H147" s="915"/>
      <c r="I147" s="915"/>
      <c r="J147" s="915"/>
      <c r="K147" s="915"/>
      <c r="L147" s="915"/>
      <c r="M147" s="915"/>
      <c r="N147" s="915"/>
      <c r="O147" s="915"/>
      <c r="P147" s="915"/>
      <c r="Q147" s="915"/>
      <c r="R147" s="915"/>
      <c r="S147" s="844" t="s">
        <v>1179</v>
      </c>
      <c r="T147" s="844"/>
    </row>
    <row r="148" spans="2:20" s="182" customFormat="1" ht="18" customHeight="1" x14ac:dyDescent="0.2">
      <c r="B148" s="599"/>
      <c r="C148" s="920" t="s">
        <v>1211</v>
      </c>
      <c r="D148" s="931" t="s">
        <v>95</v>
      </c>
      <c r="E148" s="923" t="s">
        <v>3330</v>
      </c>
      <c r="F148" s="924"/>
      <c r="G148" s="924"/>
      <c r="H148" s="924"/>
      <c r="I148" s="924"/>
      <c r="J148" s="924"/>
      <c r="K148" s="924"/>
      <c r="L148" s="929"/>
      <c r="M148" s="923" t="s">
        <v>3331</v>
      </c>
      <c r="N148" s="924"/>
      <c r="O148" s="924"/>
      <c r="P148" s="924"/>
      <c r="Q148" s="924"/>
      <c r="R148" s="924"/>
      <c r="S148" s="924"/>
      <c r="T148" s="925"/>
    </row>
    <row r="149" spans="2:20" s="18" customFormat="1" ht="15" customHeight="1" x14ac:dyDescent="0.3">
      <c r="B149" s="597"/>
      <c r="C149" s="921"/>
      <c r="D149" s="932"/>
      <c r="E149" s="999" t="s">
        <v>101</v>
      </c>
      <c r="F149" s="1000"/>
      <c r="G149" s="1000"/>
      <c r="H149" s="1000"/>
      <c r="I149" s="1000"/>
      <c r="J149" s="1001"/>
      <c r="K149" s="916" t="s">
        <v>3403</v>
      </c>
      <c r="L149" s="1002"/>
      <c r="M149" s="999" t="s">
        <v>101</v>
      </c>
      <c r="N149" s="1000"/>
      <c r="O149" s="1000"/>
      <c r="P149" s="1000"/>
      <c r="Q149" s="1000"/>
      <c r="R149" s="1001"/>
      <c r="S149" s="916" t="s">
        <v>3404</v>
      </c>
      <c r="T149" s="917"/>
    </row>
    <row r="150" spans="2:20" ht="15" customHeight="1" x14ac:dyDescent="0.3">
      <c r="B150" s="600"/>
      <c r="C150" s="922"/>
      <c r="D150" s="933"/>
      <c r="E150" s="930" t="s">
        <v>107</v>
      </c>
      <c r="F150" s="930"/>
      <c r="G150" s="930" t="s">
        <v>88</v>
      </c>
      <c r="H150" s="930"/>
      <c r="I150" s="926" t="s">
        <v>94</v>
      </c>
      <c r="J150" s="926"/>
      <c r="K150" s="918"/>
      <c r="L150" s="1003"/>
      <c r="M150" s="930" t="s">
        <v>107</v>
      </c>
      <c r="N150" s="930"/>
      <c r="O150" s="930" t="s">
        <v>88</v>
      </c>
      <c r="P150" s="930"/>
      <c r="Q150" s="926" t="s">
        <v>94</v>
      </c>
      <c r="R150" s="926"/>
      <c r="S150" s="918"/>
      <c r="T150" s="919"/>
    </row>
    <row r="151" spans="2:20" s="339" customFormat="1" ht="12.75" outlineLevel="1" x14ac:dyDescent="0.2">
      <c r="B151" s="607"/>
      <c r="C151" s="341"/>
      <c r="D151" s="340"/>
      <c r="E151" s="977" t="s">
        <v>401</v>
      </c>
      <c r="F151" s="977"/>
      <c r="G151" s="977" t="s">
        <v>402</v>
      </c>
      <c r="H151" s="977"/>
      <c r="I151" s="977" t="s">
        <v>403</v>
      </c>
      <c r="J151" s="977"/>
      <c r="K151" s="977" t="s">
        <v>404</v>
      </c>
      <c r="L151" s="977"/>
      <c r="M151" s="977" t="s">
        <v>405</v>
      </c>
      <c r="N151" s="977"/>
      <c r="O151" s="977" t="s">
        <v>406</v>
      </c>
      <c r="P151" s="977"/>
      <c r="Q151" s="977" t="s">
        <v>407</v>
      </c>
      <c r="R151" s="977"/>
      <c r="S151" s="977" t="s">
        <v>408</v>
      </c>
      <c r="T151" s="989"/>
    </row>
    <row r="152" spans="2:20" s="142" customFormat="1" outlineLevel="1" x14ac:dyDescent="0.3">
      <c r="B152" s="60" t="s">
        <v>3733</v>
      </c>
      <c r="C152" s="679">
        <v>1</v>
      </c>
      <c r="D152" s="680" t="s">
        <v>83</v>
      </c>
      <c r="E152" s="942"/>
      <c r="F152" s="944"/>
      <c r="G152" s="942"/>
      <c r="H152" s="944"/>
      <c r="I152" s="942"/>
      <c r="J152" s="944"/>
      <c r="K152" s="966">
        <f t="shared" ref="K152:K159" si="33">E152+G152+I152</f>
        <v>0</v>
      </c>
      <c r="L152" s="968"/>
      <c r="M152" s="942"/>
      <c r="N152" s="944"/>
      <c r="O152" s="942"/>
      <c r="P152" s="944"/>
      <c r="Q152" s="942"/>
      <c r="R152" s="944"/>
      <c r="S152" s="966">
        <f t="shared" ref="S152:S185" si="34">M152+O152+Q152</f>
        <v>0</v>
      </c>
      <c r="T152" s="967"/>
    </row>
    <row r="153" spans="2:20" s="142" customFormat="1" outlineLevel="1" x14ac:dyDescent="0.3">
      <c r="B153" s="60" t="s">
        <v>3734</v>
      </c>
      <c r="C153" s="679">
        <v>2</v>
      </c>
      <c r="D153" s="680" t="s">
        <v>1202</v>
      </c>
      <c r="E153" s="942">
        <f>SUM(E154:E155)</f>
        <v>0</v>
      </c>
      <c r="F153" s="944"/>
      <c r="G153" s="942">
        <f>SUM(G154:G155)</f>
        <v>0</v>
      </c>
      <c r="H153" s="944"/>
      <c r="I153" s="942">
        <f>SUM(I154:I155)</f>
        <v>0</v>
      </c>
      <c r="J153" s="944"/>
      <c r="K153" s="966">
        <f t="shared" si="33"/>
        <v>0</v>
      </c>
      <c r="L153" s="968"/>
      <c r="M153" s="942">
        <f>SUM(M154:M155)</f>
        <v>0</v>
      </c>
      <c r="N153" s="944"/>
      <c r="O153" s="942">
        <f>SUM(O154:O155)</f>
        <v>0</v>
      </c>
      <c r="P153" s="944"/>
      <c r="Q153" s="942">
        <f>SUM(Q154:Q155)</f>
        <v>0</v>
      </c>
      <c r="R153" s="944"/>
      <c r="S153" s="966">
        <f t="shared" si="34"/>
        <v>0</v>
      </c>
      <c r="T153" s="967"/>
    </row>
    <row r="154" spans="2:20" outlineLevel="1" x14ac:dyDescent="0.3">
      <c r="B154" s="60" t="s">
        <v>3735</v>
      </c>
      <c r="C154" s="681">
        <v>3</v>
      </c>
      <c r="D154" s="682" t="s">
        <v>1200</v>
      </c>
      <c r="E154" s="969"/>
      <c r="F154" s="970"/>
      <c r="G154" s="969"/>
      <c r="H154" s="970"/>
      <c r="I154" s="969"/>
      <c r="J154" s="970"/>
      <c r="K154" s="974">
        <f t="shared" si="33"/>
        <v>0</v>
      </c>
      <c r="L154" s="976"/>
      <c r="M154" s="969"/>
      <c r="N154" s="970"/>
      <c r="O154" s="969"/>
      <c r="P154" s="970"/>
      <c r="Q154" s="969"/>
      <c r="R154" s="970"/>
      <c r="S154" s="974">
        <f t="shared" si="34"/>
        <v>0</v>
      </c>
      <c r="T154" s="975"/>
    </row>
    <row r="155" spans="2:20" ht="30" outlineLevel="1" x14ac:dyDescent="0.2">
      <c r="B155" s="60" t="s">
        <v>3736</v>
      </c>
      <c r="C155" s="683">
        <v>4</v>
      </c>
      <c r="D155" s="684" t="s">
        <v>1201</v>
      </c>
      <c r="E155" s="969"/>
      <c r="F155" s="970"/>
      <c r="G155" s="969"/>
      <c r="H155" s="970"/>
      <c r="I155" s="969"/>
      <c r="J155" s="970"/>
      <c r="K155" s="974">
        <f t="shared" si="33"/>
        <v>0</v>
      </c>
      <c r="L155" s="976"/>
      <c r="M155" s="969"/>
      <c r="N155" s="970"/>
      <c r="O155" s="969"/>
      <c r="P155" s="970"/>
      <c r="Q155" s="969"/>
      <c r="R155" s="970"/>
      <c r="S155" s="974">
        <f t="shared" si="34"/>
        <v>0</v>
      </c>
      <c r="T155" s="975"/>
    </row>
    <row r="156" spans="2:20" s="142" customFormat="1" outlineLevel="1" x14ac:dyDescent="0.3">
      <c r="B156" s="60" t="s">
        <v>3737</v>
      </c>
      <c r="C156" s="685">
        <v>5</v>
      </c>
      <c r="D156" s="680" t="s">
        <v>51</v>
      </c>
      <c r="E156" s="942"/>
      <c r="F156" s="944"/>
      <c r="G156" s="942"/>
      <c r="H156" s="944"/>
      <c r="I156" s="942"/>
      <c r="J156" s="944"/>
      <c r="K156" s="966">
        <f t="shared" si="33"/>
        <v>0</v>
      </c>
      <c r="L156" s="968"/>
      <c r="M156" s="942"/>
      <c r="N156" s="944"/>
      <c r="O156" s="942"/>
      <c r="P156" s="944"/>
      <c r="Q156" s="942"/>
      <c r="R156" s="944"/>
      <c r="S156" s="966">
        <f t="shared" si="34"/>
        <v>0</v>
      </c>
      <c r="T156" s="967"/>
    </row>
    <row r="157" spans="2:20" s="142" customFormat="1" ht="30" outlineLevel="1" x14ac:dyDescent="0.2">
      <c r="B157" s="60" t="s">
        <v>3738</v>
      </c>
      <c r="C157" s="679">
        <v>6</v>
      </c>
      <c r="D157" s="687" t="s">
        <v>1203</v>
      </c>
      <c r="E157" s="942">
        <f>SUM(E158:E159)</f>
        <v>0</v>
      </c>
      <c r="F157" s="944"/>
      <c r="G157" s="942">
        <f>SUM(G158:G159)</f>
        <v>0</v>
      </c>
      <c r="H157" s="944"/>
      <c r="I157" s="942">
        <f>SUM(I158:I159)</f>
        <v>0</v>
      </c>
      <c r="J157" s="944"/>
      <c r="K157" s="966">
        <f t="shared" si="33"/>
        <v>0</v>
      </c>
      <c r="L157" s="968"/>
      <c r="M157" s="942">
        <f>SUM(M158:M159)</f>
        <v>0</v>
      </c>
      <c r="N157" s="944"/>
      <c r="O157" s="942">
        <f>SUM(O158:O159)</f>
        <v>0</v>
      </c>
      <c r="P157" s="944"/>
      <c r="Q157" s="942">
        <f>SUM(Q158:Q159)</f>
        <v>0</v>
      </c>
      <c r="R157" s="944"/>
      <c r="S157" s="966">
        <f t="shared" si="34"/>
        <v>0</v>
      </c>
      <c r="T157" s="967"/>
    </row>
    <row r="158" spans="2:20" ht="30" outlineLevel="1" x14ac:dyDescent="0.2">
      <c r="B158" s="60" t="s">
        <v>3739</v>
      </c>
      <c r="C158" s="681">
        <v>7</v>
      </c>
      <c r="D158" s="688" t="s">
        <v>3402</v>
      </c>
      <c r="E158" s="969"/>
      <c r="F158" s="970"/>
      <c r="G158" s="969"/>
      <c r="H158" s="970"/>
      <c r="I158" s="969"/>
      <c r="J158" s="970"/>
      <c r="K158" s="974">
        <f t="shared" si="33"/>
        <v>0</v>
      </c>
      <c r="L158" s="976"/>
      <c r="M158" s="969"/>
      <c r="N158" s="970"/>
      <c r="O158" s="969"/>
      <c r="P158" s="970"/>
      <c r="Q158" s="969"/>
      <c r="R158" s="970"/>
      <c r="S158" s="974">
        <f t="shared" si="34"/>
        <v>0</v>
      </c>
      <c r="T158" s="975"/>
    </row>
    <row r="159" spans="2:20" outlineLevel="1" x14ac:dyDescent="0.3">
      <c r="B159" s="60" t="s">
        <v>3740</v>
      </c>
      <c r="C159" s="683">
        <v>8</v>
      </c>
      <c r="D159" s="693" t="s">
        <v>44</v>
      </c>
      <c r="E159" s="969"/>
      <c r="F159" s="970"/>
      <c r="G159" s="969"/>
      <c r="H159" s="970"/>
      <c r="I159" s="969"/>
      <c r="J159" s="970"/>
      <c r="K159" s="974">
        <f t="shared" si="33"/>
        <v>0</v>
      </c>
      <c r="L159" s="976"/>
      <c r="M159" s="969"/>
      <c r="N159" s="970"/>
      <c r="O159" s="969"/>
      <c r="P159" s="970"/>
      <c r="Q159" s="969"/>
      <c r="R159" s="970"/>
      <c r="S159" s="974">
        <f t="shared" si="34"/>
        <v>0</v>
      </c>
      <c r="T159" s="975"/>
    </row>
    <row r="160" spans="2:20" s="142" customFormat="1" ht="45" outlineLevel="1" x14ac:dyDescent="0.2">
      <c r="B160" s="60" t="s">
        <v>3741</v>
      </c>
      <c r="C160" s="685">
        <v>9</v>
      </c>
      <c r="D160" s="687" t="s">
        <v>1204</v>
      </c>
      <c r="E160" s="942">
        <f>SUM(E161:E163)</f>
        <v>0</v>
      </c>
      <c r="F160" s="944"/>
      <c r="G160" s="942">
        <f>SUM(G161:G163)</f>
        <v>0</v>
      </c>
      <c r="H160" s="944"/>
      <c r="I160" s="942">
        <f>SUM(I161:I163)</f>
        <v>0</v>
      </c>
      <c r="J160" s="944"/>
      <c r="K160" s="966">
        <f t="shared" ref="K160:K185" si="35">E160+G160+I160</f>
        <v>0</v>
      </c>
      <c r="L160" s="968"/>
      <c r="M160" s="942">
        <f>SUM(M161:M163)</f>
        <v>0</v>
      </c>
      <c r="N160" s="944"/>
      <c r="O160" s="942">
        <f>SUM(O161:O163)</f>
        <v>0</v>
      </c>
      <c r="P160" s="944"/>
      <c r="Q160" s="942">
        <f>SUM(Q161:Q163)</f>
        <v>0</v>
      </c>
      <c r="R160" s="944"/>
      <c r="S160" s="966">
        <f t="shared" si="34"/>
        <v>0</v>
      </c>
      <c r="T160" s="967"/>
    </row>
    <row r="161" spans="2:20" ht="30" outlineLevel="1" x14ac:dyDescent="0.2">
      <c r="B161" s="60" t="s">
        <v>3742</v>
      </c>
      <c r="C161" s="683">
        <v>10</v>
      </c>
      <c r="D161" s="688" t="s">
        <v>1157</v>
      </c>
      <c r="E161" s="969"/>
      <c r="F161" s="970"/>
      <c r="G161" s="969"/>
      <c r="H161" s="970"/>
      <c r="I161" s="969"/>
      <c r="J161" s="970"/>
      <c r="K161" s="974">
        <f>E161+G161+I161</f>
        <v>0</v>
      </c>
      <c r="L161" s="976"/>
      <c r="M161" s="969"/>
      <c r="N161" s="970"/>
      <c r="O161" s="969"/>
      <c r="P161" s="970"/>
      <c r="Q161" s="969"/>
      <c r="R161" s="970"/>
      <c r="S161" s="974">
        <f t="shared" si="34"/>
        <v>0</v>
      </c>
      <c r="T161" s="975"/>
    </row>
    <row r="162" spans="2:20" ht="30" outlineLevel="1" x14ac:dyDescent="0.2">
      <c r="B162" s="60" t="s">
        <v>3743</v>
      </c>
      <c r="C162" s="681">
        <v>11</v>
      </c>
      <c r="D162" s="688" t="s">
        <v>45</v>
      </c>
      <c r="E162" s="969"/>
      <c r="F162" s="970"/>
      <c r="G162" s="969"/>
      <c r="H162" s="970"/>
      <c r="I162" s="969"/>
      <c r="J162" s="970"/>
      <c r="K162" s="974">
        <f t="shared" si="35"/>
        <v>0</v>
      </c>
      <c r="L162" s="976"/>
      <c r="M162" s="969"/>
      <c r="N162" s="970"/>
      <c r="O162" s="969"/>
      <c r="P162" s="970"/>
      <c r="Q162" s="969"/>
      <c r="R162" s="970"/>
      <c r="S162" s="974">
        <f t="shared" si="34"/>
        <v>0</v>
      </c>
      <c r="T162" s="975"/>
    </row>
    <row r="163" spans="2:20" ht="30" outlineLevel="1" x14ac:dyDescent="0.2">
      <c r="B163" s="60" t="s">
        <v>3744</v>
      </c>
      <c r="C163" s="683">
        <v>12</v>
      </c>
      <c r="D163" s="688" t="s">
        <v>46</v>
      </c>
      <c r="E163" s="969"/>
      <c r="F163" s="970"/>
      <c r="G163" s="969"/>
      <c r="H163" s="970"/>
      <c r="I163" s="969"/>
      <c r="J163" s="970"/>
      <c r="K163" s="974">
        <f t="shared" si="35"/>
        <v>0</v>
      </c>
      <c r="L163" s="976"/>
      <c r="M163" s="969"/>
      <c r="N163" s="970"/>
      <c r="O163" s="969"/>
      <c r="P163" s="970"/>
      <c r="Q163" s="969"/>
      <c r="R163" s="970"/>
      <c r="S163" s="974">
        <f t="shared" si="34"/>
        <v>0</v>
      </c>
      <c r="T163" s="975"/>
    </row>
    <row r="164" spans="2:20" s="142" customFormat="1" outlineLevel="1" x14ac:dyDescent="0.3">
      <c r="B164" s="60" t="s">
        <v>3745</v>
      </c>
      <c r="C164" s="685">
        <v>13</v>
      </c>
      <c r="D164" s="694" t="s">
        <v>87</v>
      </c>
      <c r="E164" s="942"/>
      <c r="F164" s="944"/>
      <c r="G164" s="942"/>
      <c r="H164" s="944"/>
      <c r="I164" s="942"/>
      <c r="J164" s="944"/>
      <c r="K164" s="966">
        <f t="shared" si="35"/>
        <v>0</v>
      </c>
      <c r="L164" s="968"/>
      <c r="M164" s="942"/>
      <c r="N164" s="944"/>
      <c r="O164" s="942"/>
      <c r="P164" s="944"/>
      <c r="Q164" s="942"/>
      <c r="R164" s="944"/>
      <c r="S164" s="966">
        <f t="shared" si="34"/>
        <v>0</v>
      </c>
      <c r="T164" s="967"/>
    </row>
    <row r="165" spans="2:20" s="142" customFormat="1" ht="30" outlineLevel="1" x14ac:dyDescent="0.2">
      <c r="B165" s="60" t="s">
        <v>3746</v>
      </c>
      <c r="C165" s="679">
        <v>14</v>
      </c>
      <c r="D165" s="687" t="s">
        <v>1143</v>
      </c>
      <c r="E165" s="942"/>
      <c r="F165" s="944"/>
      <c r="G165" s="942"/>
      <c r="H165" s="944"/>
      <c r="I165" s="942"/>
      <c r="J165" s="944"/>
      <c r="K165" s="966">
        <f t="shared" si="35"/>
        <v>0</v>
      </c>
      <c r="L165" s="968"/>
      <c r="M165" s="942"/>
      <c r="N165" s="944"/>
      <c r="O165" s="942"/>
      <c r="P165" s="944"/>
      <c r="Q165" s="942"/>
      <c r="R165" s="944"/>
      <c r="S165" s="966">
        <f t="shared" si="34"/>
        <v>0</v>
      </c>
      <c r="T165" s="967"/>
    </row>
    <row r="166" spans="2:20" s="142" customFormat="1" ht="29.25" customHeight="1" outlineLevel="1" x14ac:dyDescent="0.2">
      <c r="B166" s="60" t="s">
        <v>3747</v>
      </c>
      <c r="C166" s="685">
        <v>15</v>
      </c>
      <c r="D166" s="687" t="s">
        <v>53</v>
      </c>
      <c r="E166" s="942">
        <f>SUM(E167:E168)</f>
        <v>0</v>
      </c>
      <c r="F166" s="944"/>
      <c r="G166" s="942">
        <f>SUM(G167:G168)</f>
        <v>0</v>
      </c>
      <c r="H166" s="944"/>
      <c r="I166" s="942">
        <f>SUM(I167:I168)</f>
        <v>0</v>
      </c>
      <c r="J166" s="944"/>
      <c r="K166" s="966">
        <f t="shared" si="35"/>
        <v>0</v>
      </c>
      <c r="L166" s="968"/>
      <c r="M166" s="942">
        <f>SUM(M167:M168)</f>
        <v>0</v>
      </c>
      <c r="N166" s="944"/>
      <c r="O166" s="942">
        <f>SUM(O167:O168)</f>
        <v>0</v>
      </c>
      <c r="P166" s="944"/>
      <c r="Q166" s="942">
        <f>SUM(Q167:Q168)</f>
        <v>0</v>
      </c>
      <c r="R166" s="944"/>
      <c r="S166" s="966">
        <f t="shared" si="34"/>
        <v>0</v>
      </c>
      <c r="T166" s="967"/>
    </row>
    <row r="167" spans="2:20" outlineLevel="1" x14ac:dyDescent="0.3">
      <c r="B167" s="60" t="s">
        <v>3748</v>
      </c>
      <c r="C167" s="683">
        <v>16</v>
      </c>
      <c r="D167" s="693" t="s">
        <v>54</v>
      </c>
      <c r="E167" s="969"/>
      <c r="F167" s="970"/>
      <c r="G167" s="969"/>
      <c r="H167" s="970"/>
      <c r="I167" s="969"/>
      <c r="J167" s="970"/>
      <c r="K167" s="974">
        <f t="shared" si="35"/>
        <v>0</v>
      </c>
      <c r="L167" s="976"/>
      <c r="M167" s="969"/>
      <c r="N167" s="970"/>
      <c r="O167" s="969"/>
      <c r="P167" s="970"/>
      <c r="Q167" s="969"/>
      <c r="R167" s="970"/>
      <c r="S167" s="974">
        <f t="shared" si="34"/>
        <v>0</v>
      </c>
      <c r="T167" s="975"/>
    </row>
    <row r="168" spans="2:20" ht="30" outlineLevel="1" x14ac:dyDescent="0.2">
      <c r="B168" s="60" t="s">
        <v>3749</v>
      </c>
      <c r="C168" s="681">
        <v>17</v>
      </c>
      <c r="D168" s="688" t="s">
        <v>1144</v>
      </c>
      <c r="E168" s="969"/>
      <c r="F168" s="970"/>
      <c r="G168" s="969"/>
      <c r="H168" s="970"/>
      <c r="I168" s="969"/>
      <c r="J168" s="970"/>
      <c r="K168" s="974">
        <f t="shared" si="35"/>
        <v>0</v>
      </c>
      <c r="L168" s="976"/>
      <c r="M168" s="969"/>
      <c r="N168" s="970"/>
      <c r="O168" s="969"/>
      <c r="P168" s="970"/>
      <c r="Q168" s="969"/>
      <c r="R168" s="970"/>
      <c r="S168" s="974">
        <f t="shared" si="34"/>
        <v>0</v>
      </c>
      <c r="T168" s="975"/>
    </row>
    <row r="169" spans="2:20" s="142" customFormat="1" ht="30" outlineLevel="1" x14ac:dyDescent="0.2">
      <c r="B169" s="60" t="s">
        <v>3750</v>
      </c>
      <c r="C169" s="679">
        <v>18</v>
      </c>
      <c r="D169" s="687" t="s">
        <v>1158</v>
      </c>
      <c r="E169" s="942"/>
      <c r="F169" s="944"/>
      <c r="G169" s="942"/>
      <c r="H169" s="944"/>
      <c r="I169" s="942"/>
      <c r="J169" s="944"/>
      <c r="K169" s="966">
        <f t="shared" si="35"/>
        <v>0</v>
      </c>
      <c r="L169" s="968"/>
      <c r="M169" s="942"/>
      <c r="N169" s="944"/>
      <c r="O169" s="942"/>
      <c r="P169" s="944"/>
      <c r="Q169" s="942"/>
      <c r="R169" s="944"/>
      <c r="S169" s="966">
        <f t="shared" si="34"/>
        <v>0</v>
      </c>
      <c r="T169" s="967"/>
    </row>
    <row r="170" spans="2:20" s="142" customFormat="1" ht="30.75" customHeight="1" outlineLevel="1" x14ac:dyDescent="0.2">
      <c r="B170" s="60" t="s">
        <v>3751</v>
      </c>
      <c r="C170" s="685">
        <v>19</v>
      </c>
      <c r="D170" s="687" t="s">
        <v>3398</v>
      </c>
      <c r="E170" s="942">
        <f>SUM(E171:E172)</f>
        <v>0</v>
      </c>
      <c r="F170" s="944"/>
      <c r="G170" s="942">
        <f>SUM(G171:G172)</f>
        <v>0</v>
      </c>
      <c r="H170" s="944"/>
      <c r="I170" s="942">
        <f>SUM(I171:I172)</f>
        <v>0</v>
      </c>
      <c r="J170" s="944"/>
      <c r="K170" s="966">
        <f>E170+G170+I170</f>
        <v>0</v>
      </c>
      <c r="L170" s="968"/>
      <c r="M170" s="942">
        <f>SUM(M171:M172)</f>
        <v>0</v>
      </c>
      <c r="N170" s="944"/>
      <c r="O170" s="942">
        <f>SUM(O171:O172)</f>
        <v>0</v>
      </c>
      <c r="P170" s="944"/>
      <c r="Q170" s="942">
        <f>SUM(Q171:Q172)</f>
        <v>0</v>
      </c>
      <c r="R170" s="944"/>
      <c r="S170" s="966">
        <f t="shared" si="34"/>
        <v>0</v>
      </c>
      <c r="T170" s="967"/>
    </row>
    <row r="171" spans="2:20" outlineLevel="1" x14ac:dyDescent="0.3">
      <c r="B171" s="60" t="s">
        <v>3752</v>
      </c>
      <c r="C171" s="683">
        <v>20</v>
      </c>
      <c r="D171" s="693" t="s">
        <v>1160</v>
      </c>
      <c r="E171" s="969"/>
      <c r="F171" s="970"/>
      <c r="G171" s="969"/>
      <c r="H171" s="970"/>
      <c r="I171" s="969"/>
      <c r="J171" s="970"/>
      <c r="K171" s="974">
        <f>E171+G171+I171</f>
        <v>0</v>
      </c>
      <c r="L171" s="976"/>
      <c r="M171" s="969"/>
      <c r="N171" s="970"/>
      <c r="O171" s="969"/>
      <c r="P171" s="970"/>
      <c r="Q171" s="969"/>
      <c r="R171" s="970"/>
      <c r="S171" s="974">
        <f t="shared" si="34"/>
        <v>0</v>
      </c>
      <c r="T171" s="975"/>
    </row>
    <row r="172" spans="2:20" ht="30" outlineLevel="1" x14ac:dyDescent="0.2">
      <c r="B172" s="60" t="s">
        <v>3753</v>
      </c>
      <c r="C172" s="681">
        <v>21</v>
      </c>
      <c r="D172" s="688" t="s">
        <v>1161</v>
      </c>
      <c r="E172" s="969"/>
      <c r="F172" s="970"/>
      <c r="G172" s="969"/>
      <c r="H172" s="970"/>
      <c r="I172" s="969"/>
      <c r="J172" s="970"/>
      <c r="K172" s="974">
        <f t="shared" si="35"/>
        <v>0</v>
      </c>
      <c r="L172" s="976"/>
      <c r="M172" s="969"/>
      <c r="N172" s="970"/>
      <c r="O172" s="969"/>
      <c r="P172" s="970"/>
      <c r="Q172" s="969"/>
      <c r="R172" s="970"/>
      <c r="S172" s="974">
        <f t="shared" si="34"/>
        <v>0</v>
      </c>
      <c r="T172" s="975"/>
    </row>
    <row r="173" spans="2:20" s="142" customFormat="1" outlineLevel="1" x14ac:dyDescent="0.3">
      <c r="B173" s="60" t="s">
        <v>3754</v>
      </c>
      <c r="C173" s="679">
        <v>22</v>
      </c>
      <c r="D173" s="694" t="s">
        <v>84</v>
      </c>
      <c r="E173" s="942"/>
      <c r="F173" s="944"/>
      <c r="G173" s="942"/>
      <c r="H173" s="944"/>
      <c r="I173" s="942"/>
      <c r="J173" s="944"/>
      <c r="K173" s="966">
        <f t="shared" si="35"/>
        <v>0</v>
      </c>
      <c r="L173" s="968"/>
      <c r="M173" s="942"/>
      <c r="N173" s="944"/>
      <c r="O173" s="942"/>
      <c r="P173" s="944"/>
      <c r="Q173" s="942"/>
      <c r="R173" s="944"/>
      <c r="S173" s="966">
        <f t="shared" si="34"/>
        <v>0</v>
      </c>
      <c r="T173" s="967"/>
    </row>
    <row r="174" spans="2:20" s="142" customFormat="1" ht="30" outlineLevel="1" x14ac:dyDescent="0.2">
      <c r="B174" s="60" t="s">
        <v>3755</v>
      </c>
      <c r="C174" s="685">
        <v>23</v>
      </c>
      <c r="D174" s="687" t="s">
        <v>4635</v>
      </c>
      <c r="E174" s="942"/>
      <c r="F174" s="944"/>
      <c r="G174" s="942"/>
      <c r="H174" s="944"/>
      <c r="I174" s="942"/>
      <c r="J174" s="944"/>
      <c r="K174" s="966">
        <f t="shared" si="35"/>
        <v>0</v>
      </c>
      <c r="L174" s="968"/>
      <c r="M174" s="942"/>
      <c r="N174" s="944"/>
      <c r="O174" s="942"/>
      <c r="P174" s="944"/>
      <c r="Q174" s="942"/>
      <c r="R174" s="944"/>
      <c r="S174" s="966">
        <f t="shared" si="34"/>
        <v>0</v>
      </c>
      <c r="T174" s="967"/>
    </row>
    <row r="175" spans="2:20" s="142" customFormat="1" outlineLevel="1" x14ac:dyDescent="0.3">
      <c r="B175" s="60" t="s">
        <v>3756</v>
      </c>
      <c r="C175" s="679">
        <v>24</v>
      </c>
      <c r="D175" s="694" t="s">
        <v>85</v>
      </c>
      <c r="E175" s="942"/>
      <c r="F175" s="944"/>
      <c r="G175" s="942"/>
      <c r="H175" s="944"/>
      <c r="I175" s="942"/>
      <c r="J175" s="944"/>
      <c r="K175" s="966">
        <f t="shared" si="35"/>
        <v>0</v>
      </c>
      <c r="L175" s="968"/>
      <c r="M175" s="942"/>
      <c r="N175" s="944"/>
      <c r="O175" s="942"/>
      <c r="P175" s="944"/>
      <c r="Q175" s="942"/>
      <c r="R175" s="944"/>
      <c r="S175" s="966">
        <f t="shared" si="34"/>
        <v>0</v>
      </c>
      <c r="T175" s="967"/>
    </row>
    <row r="176" spans="2:20" s="142" customFormat="1" outlineLevel="1" x14ac:dyDescent="0.3">
      <c r="B176" s="60" t="s">
        <v>3757</v>
      </c>
      <c r="C176" s="685">
        <v>25</v>
      </c>
      <c r="D176" s="694" t="s">
        <v>1146</v>
      </c>
      <c r="E176" s="942">
        <f>SUM(E177:E179)</f>
        <v>0</v>
      </c>
      <c r="F176" s="944"/>
      <c r="G176" s="942">
        <f>SUM(G177:G179)</f>
        <v>0</v>
      </c>
      <c r="H176" s="944"/>
      <c r="I176" s="942">
        <f>SUM(I177:I179)</f>
        <v>0</v>
      </c>
      <c r="J176" s="944"/>
      <c r="K176" s="966">
        <f>E176+G176+I176</f>
        <v>0</v>
      </c>
      <c r="L176" s="968"/>
      <c r="M176" s="942">
        <f>SUM(M177:M179)</f>
        <v>0</v>
      </c>
      <c r="N176" s="944"/>
      <c r="O176" s="942">
        <f>SUM(O177:O179)</f>
        <v>0</v>
      </c>
      <c r="P176" s="944"/>
      <c r="Q176" s="942">
        <f>SUM(Q177:Q179)</f>
        <v>0</v>
      </c>
      <c r="R176" s="944"/>
      <c r="S176" s="966">
        <f t="shared" si="34"/>
        <v>0</v>
      </c>
      <c r="T176" s="967"/>
    </row>
    <row r="177" spans="2:20" ht="30" outlineLevel="1" x14ac:dyDescent="0.2">
      <c r="B177" s="60" t="s">
        <v>3758</v>
      </c>
      <c r="C177" s="683">
        <v>26</v>
      </c>
      <c r="D177" s="688" t="s">
        <v>41</v>
      </c>
      <c r="E177" s="969"/>
      <c r="F177" s="970"/>
      <c r="G177" s="969"/>
      <c r="H177" s="970"/>
      <c r="I177" s="969"/>
      <c r="J177" s="970"/>
      <c r="K177" s="974">
        <f t="shared" si="35"/>
        <v>0</v>
      </c>
      <c r="L177" s="976"/>
      <c r="M177" s="969"/>
      <c r="N177" s="970"/>
      <c r="O177" s="969"/>
      <c r="P177" s="970"/>
      <c r="Q177" s="969"/>
      <c r="R177" s="970"/>
      <c r="S177" s="974">
        <f t="shared" si="34"/>
        <v>0</v>
      </c>
      <c r="T177" s="975"/>
    </row>
    <row r="178" spans="2:20" outlineLevel="1" x14ac:dyDescent="0.3">
      <c r="B178" s="60" t="s">
        <v>3759</v>
      </c>
      <c r="C178" s="681">
        <v>27</v>
      </c>
      <c r="D178" s="693" t="s">
        <v>47</v>
      </c>
      <c r="E178" s="969"/>
      <c r="F178" s="970"/>
      <c r="G178" s="969"/>
      <c r="H178" s="970"/>
      <c r="I178" s="969"/>
      <c r="J178" s="970"/>
      <c r="K178" s="974">
        <f t="shared" si="35"/>
        <v>0</v>
      </c>
      <c r="L178" s="976"/>
      <c r="M178" s="969"/>
      <c r="N178" s="970"/>
      <c r="O178" s="969"/>
      <c r="P178" s="970"/>
      <c r="Q178" s="969"/>
      <c r="R178" s="970"/>
      <c r="S178" s="974">
        <f t="shared" si="34"/>
        <v>0</v>
      </c>
      <c r="T178" s="975"/>
    </row>
    <row r="179" spans="2:20" outlineLevel="1" x14ac:dyDescent="0.3">
      <c r="B179" s="60" t="s">
        <v>3760</v>
      </c>
      <c r="C179" s="683">
        <v>28</v>
      </c>
      <c r="D179" s="693" t="s">
        <v>48</v>
      </c>
      <c r="E179" s="969"/>
      <c r="F179" s="970"/>
      <c r="G179" s="969"/>
      <c r="H179" s="970"/>
      <c r="I179" s="969"/>
      <c r="J179" s="970"/>
      <c r="K179" s="974">
        <f t="shared" si="35"/>
        <v>0</v>
      </c>
      <c r="L179" s="976"/>
      <c r="M179" s="969"/>
      <c r="N179" s="970"/>
      <c r="O179" s="969"/>
      <c r="P179" s="970"/>
      <c r="Q179" s="969"/>
      <c r="R179" s="970"/>
      <c r="S179" s="974">
        <f t="shared" si="34"/>
        <v>0</v>
      </c>
      <c r="T179" s="975"/>
    </row>
    <row r="180" spans="2:20" s="142" customFormat="1" outlineLevel="1" x14ac:dyDescent="0.3">
      <c r="B180" s="60" t="s">
        <v>3761</v>
      </c>
      <c r="C180" s="685">
        <v>29</v>
      </c>
      <c r="D180" s="694" t="s">
        <v>86</v>
      </c>
      <c r="E180" s="942"/>
      <c r="F180" s="944"/>
      <c r="G180" s="942"/>
      <c r="H180" s="944"/>
      <c r="I180" s="942"/>
      <c r="J180" s="944"/>
      <c r="K180" s="966">
        <f t="shared" si="35"/>
        <v>0</v>
      </c>
      <c r="L180" s="968"/>
      <c r="M180" s="942"/>
      <c r="N180" s="944"/>
      <c r="O180" s="942"/>
      <c r="P180" s="944"/>
      <c r="Q180" s="942"/>
      <c r="R180" s="944"/>
      <c r="S180" s="966">
        <f t="shared" si="34"/>
        <v>0</v>
      </c>
      <c r="T180" s="967"/>
    </row>
    <row r="181" spans="2:20" s="142" customFormat="1" ht="45" outlineLevel="1" x14ac:dyDescent="0.2">
      <c r="B181" s="60" t="s">
        <v>3762</v>
      </c>
      <c r="C181" s="679">
        <v>30</v>
      </c>
      <c r="D181" s="687" t="s">
        <v>4636</v>
      </c>
      <c r="E181" s="942">
        <f>SUM(E182:E184)</f>
        <v>0</v>
      </c>
      <c r="F181" s="944"/>
      <c r="G181" s="942">
        <f>SUM(G182:G184)</f>
        <v>0</v>
      </c>
      <c r="H181" s="944"/>
      <c r="I181" s="942">
        <f>SUM(I182:I184)</f>
        <v>0</v>
      </c>
      <c r="J181" s="944"/>
      <c r="K181" s="966">
        <f>E181+G181+I181</f>
        <v>0</v>
      </c>
      <c r="L181" s="968"/>
      <c r="M181" s="942">
        <f>SUM(M182:M184)</f>
        <v>0</v>
      </c>
      <c r="N181" s="944"/>
      <c r="O181" s="942">
        <f>SUM(O182:O184)</f>
        <v>0</v>
      </c>
      <c r="P181" s="944"/>
      <c r="Q181" s="942">
        <f>SUM(Q182:Q184)</f>
        <v>0</v>
      </c>
      <c r="R181" s="944"/>
      <c r="S181" s="966">
        <f t="shared" si="34"/>
        <v>0</v>
      </c>
      <c r="T181" s="967"/>
    </row>
    <row r="182" spans="2:20" outlineLevel="1" x14ac:dyDescent="0.3">
      <c r="B182" s="60" t="s">
        <v>3763</v>
      </c>
      <c r="C182" s="681">
        <v>31</v>
      </c>
      <c r="D182" s="693" t="s">
        <v>49</v>
      </c>
      <c r="E182" s="969"/>
      <c r="F182" s="970"/>
      <c r="G182" s="969"/>
      <c r="H182" s="970"/>
      <c r="I182" s="969"/>
      <c r="J182" s="970"/>
      <c r="K182" s="974">
        <f t="shared" si="35"/>
        <v>0</v>
      </c>
      <c r="L182" s="976"/>
      <c r="M182" s="969"/>
      <c r="N182" s="970"/>
      <c r="O182" s="969"/>
      <c r="P182" s="970"/>
      <c r="Q182" s="969"/>
      <c r="R182" s="970"/>
      <c r="S182" s="974">
        <f t="shared" si="34"/>
        <v>0</v>
      </c>
      <c r="T182" s="975"/>
    </row>
    <row r="183" spans="2:20" outlineLevel="1" x14ac:dyDescent="0.3">
      <c r="B183" s="60" t="s">
        <v>3764</v>
      </c>
      <c r="C183" s="683">
        <v>32</v>
      </c>
      <c r="D183" s="693" t="s">
        <v>50</v>
      </c>
      <c r="E183" s="969"/>
      <c r="F183" s="970"/>
      <c r="G183" s="969"/>
      <c r="H183" s="970"/>
      <c r="I183" s="969"/>
      <c r="J183" s="970"/>
      <c r="K183" s="974">
        <f t="shared" si="35"/>
        <v>0</v>
      </c>
      <c r="L183" s="976"/>
      <c r="M183" s="969"/>
      <c r="N183" s="970"/>
      <c r="O183" s="969"/>
      <c r="P183" s="970"/>
      <c r="Q183" s="969"/>
      <c r="R183" s="970"/>
      <c r="S183" s="974">
        <f>M183+O183+Q183</f>
        <v>0</v>
      </c>
      <c r="T183" s="975"/>
    </row>
    <row r="184" spans="2:20" outlineLevel="1" x14ac:dyDescent="0.3">
      <c r="B184" s="60" t="s">
        <v>3765</v>
      </c>
      <c r="C184" s="681">
        <v>33</v>
      </c>
      <c r="D184" s="693" t="s">
        <v>1159</v>
      </c>
      <c r="E184" s="969"/>
      <c r="F184" s="970"/>
      <c r="G184" s="969"/>
      <c r="H184" s="970"/>
      <c r="I184" s="969"/>
      <c r="J184" s="970"/>
      <c r="K184" s="974">
        <f t="shared" si="35"/>
        <v>0</v>
      </c>
      <c r="L184" s="976"/>
      <c r="M184" s="969"/>
      <c r="N184" s="970"/>
      <c r="O184" s="969"/>
      <c r="P184" s="970"/>
      <c r="Q184" s="969"/>
      <c r="R184" s="970"/>
      <c r="S184" s="974">
        <f t="shared" si="34"/>
        <v>0</v>
      </c>
      <c r="T184" s="975"/>
    </row>
    <row r="185" spans="2:20" s="142" customFormat="1" outlineLevel="1" x14ac:dyDescent="0.3">
      <c r="B185" s="60" t="s">
        <v>3766</v>
      </c>
      <c r="C185" s="679">
        <v>34</v>
      </c>
      <c r="D185" s="694" t="s">
        <v>52</v>
      </c>
      <c r="E185" s="942"/>
      <c r="F185" s="944"/>
      <c r="G185" s="942"/>
      <c r="H185" s="944"/>
      <c r="I185" s="942"/>
      <c r="J185" s="944"/>
      <c r="K185" s="966">
        <f t="shared" si="35"/>
        <v>0</v>
      </c>
      <c r="L185" s="968"/>
      <c r="M185" s="942"/>
      <c r="N185" s="944"/>
      <c r="O185" s="942"/>
      <c r="P185" s="944"/>
      <c r="Q185" s="942"/>
      <c r="R185" s="944"/>
      <c r="S185" s="966">
        <f t="shared" si="34"/>
        <v>0</v>
      </c>
      <c r="T185" s="967"/>
    </row>
    <row r="186" spans="2:20" s="142" customFormat="1" ht="32.25" customHeight="1" thickBot="1" x14ac:dyDescent="0.25">
      <c r="B186" s="491" t="s">
        <v>3767</v>
      </c>
      <c r="C186" s="952" t="s">
        <v>1149</v>
      </c>
      <c r="D186" s="953"/>
      <c r="E186" s="936">
        <f>E152+E153+E156+E157+E160+E164+E165+E166+E169+E170+E173+E174+E175+E176+E180+E181+E185</f>
        <v>0</v>
      </c>
      <c r="F186" s="939"/>
      <c r="G186" s="936">
        <f>G152+G153+G156+G157+G160+G164+G165+G166+G169+G170+G173+G174+G175+G176+G180+G181+G185</f>
        <v>0</v>
      </c>
      <c r="H186" s="939"/>
      <c r="I186" s="936">
        <f>I152+I153+I156+I157+I160+I164+I165+I166+I169+I170+I173+I174+I175+I176+I180+I181+I185</f>
        <v>0</v>
      </c>
      <c r="J186" s="939"/>
      <c r="K186" s="936">
        <f>K152+K153+K156+K157+K160+K164+K165+K166+K169+K170+K173+K174+K175+K176+K180+K181+K185</f>
        <v>0</v>
      </c>
      <c r="L186" s="939"/>
      <c r="M186" s="936">
        <f>M152+M153+M156+M157+M160+M164+M165+M166+M169+M170+M173+M174+M175+M176+M180+M181+M185</f>
        <v>0</v>
      </c>
      <c r="N186" s="939"/>
      <c r="O186" s="936">
        <f>O152+O153+O156+O157+O160+O164+O165+O166+O169+O170+O173+O174+O175+O176+O180+O181+O185</f>
        <v>0</v>
      </c>
      <c r="P186" s="939"/>
      <c r="Q186" s="936">
        <f>Q152+Q153+Q156+Q157+Q160+Q164+Q165+Q166+Q169+Q170+Q173+Q174+Q175+Q176+Q180+Q181+Q185</f>
        <v>0</v>
      </c>
      <c r="R186" s="939"/>
      <c r="S186" s="936">
        <f>S152+S153+S156+S157+S160+S164+S165+S166+S169+S170+S173+S174+S175+S176+S180+S181+S185</f>
        <v>0</v>
      </c>
      <c r="T186" s="938"/>
    </row>
    <row r="187" spans="2:20" s="138" customFormat="1" x14ac:dyDescent="0.2">
      <c r="C187" s="315"/>
      <c r="D187" s="24"/>
      <c r="E187" s="330"/>
      <c r="F187" s="330"/>
      <c r="G187" s="330"/>
      <c r="H187" s="330"/>
      <c r="I187" s="330"/>
      <c r="J187" s="330"/>
      <c r="K187" s="330"/>
      <c r="L187" s="330"/>
      <c r="M187" s="330"/>
      <c r="N187" s="330"/>
      <c r="O187" s="330"/>
      <c r="P187" s="330"/>
      <c r="Q187" s="330"/>
      <c r="R187" s="330"/>
      <c r="S187" s="330"/>
      <c r="T187" s="330"/>
    </row>
    <row r="188" spans="2:20" s="138" customFormat="1" x14ac:dyDescent="0.3">
      <c r="C188" s="782"/>
      <c r="D188" s="782"/>
      <c r="E188" s="782"/>
      <c r="F188" s="782"/>
      <c r="G188" s="782"/>
      <c r="H188" s="782"/>
      <c r="I188" s="782"/>
      <c r="J188" s="782"/>
      <c r="K188" s="330"/>
      <c r="L188" s="330"/>
      <c r="M188" s="330"/>
      <c r="N188" s="330"/>
      <c r="O188" s="330"/>
      <c r="P188" s="330"/>
      <c r="Q188" s="330"/>
      <c r="R188" s="330"/>
      <c r="S188" s="330"/>
      <c r="T188" s="330"/>
    </row>
    <row r="189" spans="2:20" s="138" customFormat="1" ht="9" customHeight="1" x14ac:dyDescent="0.2">
      <c r="C189" s="845"/>
      <c r="D189" s="845"/>
      <c r="E189" s="845"/>
      <c r="F189" s="625"/>
      <c r="G189" s="625"/>
      <c r="H189" s="625"/>
      <c r="I189" s="633"/>
      <c r="J189" s="330"/>
      <c r="K189" s="330"/>
      <c r="L189" s="330"/>
      <c r="M189" s="330"/>
      <c r="N189" s="330"/>
      <c r="O189" s="330"/>
      <c r="P189" s="330"/>
      <c r="Q189" s="330"/>
      <c r="R189" s="330"/>
      <c r="S189" s="330"/>
      <c r="T189" s="330"/>
    </row>
    <row r="190" spans="2:20" s="138" customFormat="1" x14ac:dyDescent="0.3">
      <c r="C190" s="782"/>
      <c r="D190" s="782"/>
      <c r="E190" s="782"/>
      <c r="F190" s="782"/>
      <c r="G190" s="782"/>
      <c r="H190" s="782"/>
      <c r="I190" s="782"/>
      <c r="J190" s="782"/>
      <c r="K190" s="330"/>
      <c r="L190" s="330"/>
      <c r="M190" s="330"/>
      <c r="N190" s="330"/>
      <c r="O190" s="330"/>
      <c r="P190" s="330"/>
      <c r="Q190" s="330"/>
      <c r="R190" s="330"/>
      <c r="S190" s="330"/>
      <c r="T190" s="330"/>
    </row>
    <row r="191" spans="2:20" s="138" customFormat="1" ht="9" customHeight="1" x14ac:dyDescent="0.2">
      <c r="C191" s="1011"/>
      <c r="D191" s="1011"/>
      <c r="E191" s="1011"/>
      <c r="F191" s="31"/>
      <c r="G191" s="31"/>
      <c r="H191" s="31"/>
      <c r="I191" s="330"/>
      <c r="J191" s="330"/>
      <c r="K191" s="330"/>
      <c r="L191" s="330"/>
      <c r="M191" s="330"/>
      <c r="N191" s="330"/>
      <c r="O191" s="330"/>
      <c r="P191" s="330"/>
      <c r="Q191" s="330"/>
      <c r="R191" s="330"/>
      <c r="S191" s="330"/>
      <c r="T191" s="330"/>
    </row>
    <row r="192" spans="2:20" s="138" customFormat="1" x14ac:dyDescent="0.3">
      <c r="C192" s="782"/>
      <c r="D192" s="782"/>
      <c r="E192" s="782"/>
      <c r="F192" s="782"/>
      <c r="G192" s="782"/>
      <c r="H192" s="782"/>
      <c r="I192" s="782"/>
      <c r="J192" s="782"/>
      <c r="K192" s="330"/>
      <c r="L192" s="330"/>
      <c r="M192" s="330"/>
      <c r="N192" s="330"/>
      <c r="O192" s="330"/>
      <c r="P192" s="330"/>
      <c r="Q192" s="330"/>
      <c r="R192" s="330"/>
      <c r="S192" s="330"/>
      <c r="T192" s="330"/>
    </row>
    <row r="193" spans="2:20" s="138" customFormat="1" x14ac:dyDescent="0.2">
      <c r="C193" s="315"/>
      <c r="D193" s="24"/>
      <c r="E193" s="330"/>
      <c r="F193" s="330"/>
      <c r="G193" s="330"/>
      <c r="H193" s="330"/>
      <c r="I193" s="330"/>
      <c r="J193" s="330"/>
      <c r="K193" s="330"/>
      <c r="L193" s="330"/>
      <c r="M193" s="330"/>
      <c r="N193" s="330"/>
      <c r="O193" s="330"/>
      <c r="P193" s="330"/>
      <c r="Q193" s="330"/>
      <c r="R193" s="330"/>
      <c r="S193" s="330"/>
      <c r="T193" s="330"/>
    </row>
    <row r="194" spans="2:20" ht="15.75" thickBot="1" x14ac:dyDescent="0.25">
      <c r="C194" s="915" t="s">
        <v>1165</v>
      </c>
      <c r="D194" s="915"/>
      <c r="E194" s="915"/>
      <c r="F194" s="915"/>
      <c r="G194" s="915"/>
      <c r="H194" s="915"/>
      <c r="I194" s="915"/>
      <c r="J194" s="915"/>
      <c r="K194" s="915"/>
      <c r="L194" s="915"/>
      <c r="M194" s="915"/>
      <c r="N194" s="915"/>
      <c r="O194" s="915"/>
      <c r="P194" s="915"/>
      <c r="Q194" s="915"/>
      <c r="R194" s="915"/>
      <c r="S194" s="844" t="s">
        <v>1175</v>
      </c>
      <c r="T194" s="844"/>
    </row>
    <row r="195" spans="2:20" ht="18" customHeight="1" x14ac:dyDescent="0.2">
      <c r="B195" s="596"/>
      <c r="C195" s="985" t="s">
        <v>1211</v>
      </c>
      <c r="D195" s="995" t="s">
        <v>95</v>
      </c>
      <c r="E195" s="997" t="s">
        <v>3330</v>
      </c>
      <c r="F195" s="997"/>
      <c r="G195" s="997"/>
      <c r="H195" s="997"/>
      <c r="I195" s="997"/>
      <c r="J195" s="997"/>
      <c r="K195" s="997"/>
      <c r="L195" s="997"/>
      <c r="M195" s="997" t="s">
        <v>3331</v>
      </c>
      <c r="N195" s="997"/>
      <c r="O195" s="997"/>
      <c r="P195" s="997"/>
      <c r="Q195" s="997"/>
      <c r="R195" s="997"/>
      <c r="S195" s="997"/>
      <c r="T195" s="998"/>
    </row>
    <row r="196" spans="2:20" ht="15.75" customHeight="1" x14ac:dyDescent="0.2">
      <c r="B196" s="603"/>
      <c r="C196" s="963"/>
      <c r="D196" s="996"/>
      <c r="E196" s="990" t="s">
        <v>104</v>
      </c>
      <c r="F196" s="990"/>
      <c r="G196" s="990"/>
      <c r="H196" s="990"/>
      <c r="I196" s="990" t="s">
        <v>101</v>
      </c>
      <c r="J196" s="990"/>
      <c r="K196" s="990"/>
      <c r="L196" s="990"/>
      <c r="M196" s="990" t="s">
        <v>104</v>
      </c>
      <c r="N196" s="990"/>
      <c r="O196" s="990"/>
      <c r="P196" s="990"/>
      <c r="Q196" s="990" t="s">
        <v>101</v>
      </c>
      <c r="R196" s="990"/>
      <c r="S196" s="990"/>
      <c r="T196" s="991"/>
    </row>
    <row r="197" spans="2:20" s="339" customFormat="1" ht="13.5" customHeight="1" outlineLevel="1" x14ac:dyDescent="0.2">
      <c r="B197" s="607"/>
      <c r="C197" s="344"/>
      <c r="D197" s="345"/>
      <c r="E197" s="992" t="s">
        <v>401</v>
      </c>
      <c r="F197" s="992"/>
      <c r="G197" s="992"/>
      <c r="H197" s="992"/>
      <c r="I197" s="1004" t="s">
        <v>402</v>
      </c>
      <c r="J197" s="1004"/>
      <c r="K197" s="1004"/>
      <c r="L197" s="1004"/>
      <c r="M197" s="1004" t="s">
        <v>403</v>
      </c>
      <c r="N197" s="1004"/>
      <c r="O197" s="1004"/>
      <c r="P197" s="1004"/>
      <c r="Q197" s="1004" t="s">
        <v>404</v>
      </c>
      <c r="R197" s="1004"/>
      <c r="S197" s="1004"/>
      <c r="T197" s="1005"/>
    </row>
    <row r="198" spans="2:20" s="142" customFormat="1" outlineLevel="1" x14ac:dyDescent="0.3">
      <c r="B198" s="60" t="s">
        <v>3768</v>
      </c>
      <c r="C198" s="679">
        <v>1</v>
      </c>
      <c r="D198" s="680" t="s">
        <v>83</v>
      </c>
      <c r="E198" s="934"/>
      <c r="F198" s="934"/>
      <c r="G198" s="934"/>
      <c r="H198" s="934"/>
      <c r="I198" s="934"/>
      <c r="J198" s="934"/>
      <c r="K198" s="934"/>
      <c r="L198" s="934"/>
      <c r="M198" s="934"/>
      <c r="N198" s="934"/>
      <c r="O198" s="934"/>
      <c r="P198" s="934"/>
      <c r="Q198" s="934"/>
      <c r="R198" s="934"/>
      <c r="S198" s="934"/>
      <c r="T198" s="935"/>
    </row>
    <row r="199" spans="2:20" s="142" customFormat="1" outlineLevel="1" x14ac:dyDescent="0.3">
      <c r="B199" s="60" t="s">
        <v>3769</v>
      </c>
      <c r="C199" s="685">
        <v>2</v>
      </c>
      <c r="D199" s="680" t="s">
        <v>1202</v>
      </c>
      <c r="E199" s="934">
        <f>SUM(E200:H201)</f>
        <v>0</v>
      </c>
      <c r="F199" s="934"/>
      <c r="G199" s="934"/>
      <c r="H199" s="934"/>
      <c r="I199" s="934">
        <f>SUM(I200:L201)</f>
        <v>0</v>
      </c>
      <c r="J199" s="934"/>
      <c r="K199" s="934"/>
      <c r="L199" s="934"/>
      <c r="M199" s="934">
        <f>SUM(M200:P201)</f>
        <v>0</v>
      </c>
      <c r="N199" s="934"/>
      <c r="O199" s="934"/>
      <c r="P199" s="934"/>
      <c r="Q199" s="934">
        <f>SUM(Q200:T201)</f>
        <v>0</v>
      </c>
      <c r="R199" s="934"/>
      <c r="S199" s="934"/>
      <c r="T199" s="935"/>
    </row>
    <row r="200" spans="2:20" outlineLevel="1" x14ac:dyDescent="0.3">
      <c r="B200" s="60" t="s">
        <v>3770</v>
      </c>
      <c r="C200" s="683">
        <v>3</v>
      </c>
      <c r="D200" s="682" t="s">
        <v>1200</v>
      </c>
      <c r="E200" s="940"/>
      <c r="F200" s="940"/>
      <c r="G200" s="940"/>
      <c r="H200" s="940"/>
      <c r="I200" s="940"/>
      <c r="J200" s="940"/>
      <c r="K200" s="940"/>
      <c r="L200" s="940"/>
      <c r="M200" s="940"/>
      <c r="N200" s="940"/>
      <c r="O200" s="940"/>
      <c r="P200" s="940"/>
      <c r="Q200" s="940"/>
      <c r="R200" s="940"/>
      <c r="S200" s="940"/>
      <c r="T200" s="941"/>
    </row>
    <row r="201" spans="2:20" ht="30" outlineLevel="1" x14ac:dyDescent="0.2">
      <c r="B201" s="60" t="s">
        <v>3771</v>
      </c>
      <c r="C201" s="683">
        <v>4</v>
      </c>
      <c r="D201" s="684" t="s">
        <v>1201</v>
      </c>
      <c r="E201" s="940"/>
      <c r="F201" s="940"/>
      <c r="G201" s="940"/>
      <c r="H201" s="940"/>
      <c r="I201" s="940"/>
      <c r="J201" s="940"/>
      <c r="K201" s="940"/>
      <c r="L201" s="940"/>
      <c r="M201" s="940"/>
      <c r="N201" s="940"/>
      <c r="O201" s="940"/>
      <c r="P201" s="940"/>
      <c r="Q201" s="940"/>
      <c r="R201" s="940"/>
      <c r="S201" s="940"/>
      <c r="T201" s="941"/>
    </row>
    <row r="202" spans="2:20" s="142" customFormat="1" outlineLevel="1" x14ac:dyDescent="0.3">
      <c r="B202" s="60" t="s">
        <v>3772</v>
      </c>
      <c r="C202" s="679">
        <v>5</v>
      </c>
      <c r="D202" s="680" t="s">
        <v>51</v>
      </c>
      <c r="E202" s="934"/>
      <c r="F202" s="934"/>
      <c r="G202" s="934"/>
      <c r="H202" s="934"/>
      <c r="I202" s="934"/>
      <c r="J202" s="934"/>
      <c r="K202" s="934"/>
      <c r="L202" s="934"/>
      <c r="M202" s="934"/>
      <c r="N202" s="934"/>
      <c r="O202" s="934"/>
      <c r="P202" s="934"/>
      <c r="Q202" s="934"/>
      <c r="R202" s="934"/>
      <c r="S202" s="934"/>
      <c r="T202" s="935"/>
    </row>
    <row r="203" spans="2:20" s="142" customFormat="1" ht="30" outlineLevel="1" x14ac:dyDescent="0.2">
      <c r="B203" s="60" t="s">
        <v>3773</v>
      </c>
      <c r="C203" s="679">
        <v>6</v>
      </c>
      <c r="D203" s="687" t="s">
        <v>1203</v>
      </c>
      <c r="E203" s="934">
        <f>SUM(E204:H205)</f>
        <v>0</v>
      </c>
      <c r="F203" s="934"/>
      <c r="G203" s="934"/>
      <c r="H203" s="934"/>
      <c r="I203" s="934">
        <f>SUM(I204:L205)</f>
        <v>0</v>
      </c>
      <c r="J203" s="934"/>
      <c r="K203" s="934"/>
      <c r="L203" s="934"/>
      <c r="M203" s="934">
        <f>SUM(M204:P205)</f>
        <v>0</v>
      </c>
      <c r="N203" s="934"/>
      <c r="O203" s="934"/>
      <c r="P203" s="934"/>
      <c r="Q203" s="934">
        <f>SUM(Q204:T205)</f>
        <v>0</v>
      </c>
      <c r="R203" s="934"/>
      <c r="S203" s="934"/>
      <c r="T203" s="935"/>
    </row>
    <row r="204" spans="2:20" ht="30" outlineLevel="1" x14ac:dyDescent="0.2">
      <c r="B204" s="60" t="s">
        <v>3774</v>
      </c>
      <c r="C204" s="683">
        <v>7</v>
      </c>
      <c r="D204" s="688" t="s">
        <v>3402</v>
      </c>
      <c r="E204" s="940"/>
      <c r="F204" s="940"/>
      <c r="G204" s="940"/>
      <c r="H204" s="940"/>
      <c r="I204" s="940"/>
      <c r="J204" s="940"/>
      <c r="K204" s="940"/>
      <c r="L204" s="940"/>
      <c r="M204" s="940"/>
      <c r="N204" s="940"/>
      <c r="O204" s="940"/>
      <c r="P204" s="940"/>
      <c r="Q204" s="940"/>
      <c r="R204" s="940"/>
      <c r="S204" s="940"/>
      <c r="T204" s="941"/>
    </row>
    <row r="205" spans="2:20" outlineLevel="1" x14ac:dyDescent="0.3">
      <c r="B205" s="60" t="s">
        <v>3775</v>
      </c>
      <c r="C205" s="683">
        <v>8</v>
      </c>
      <c r="D205" s="693" t="s">
        <v>44</v>
      </c>
      <c r="E205" s="940"/>
      <c r="F205" s="940"/>
      <c r="G205" s="940"/>
      <c r="H205" s="940"/>
      <c r="I205" s="940"/>
      <c r="J205" s="940"/>
      <c r="K205" s="940"/>
      <c r="L205" s="940"/>
      <c r="M205" s="940"/>
      <c r="N205" s="940"/>
      <c r="O205" s="940"/>
      <c r="P205" s="940"/>
      <c r="Q205" s="940"/>
      <c r="R205" s="940"/>
      <c r="S205" s="940"/>
      <c r="T205" s="941"/>
    </row>
    <row r="206" spans="2:20" s="142" customFormat="1" ht="45" outlineLevel="1" x14ac:dyDescent="0.2">
      <c r="B206" s="60" t="s">
        <v>3776</v>
      </c>
      <c r="C206" s="679">
        <v>9</v>
      </c>
      <c r="D206" s="687" t="s">
        <v>1204</v>
      </c>
      <c r="E206" s="942">
        <f>SUM(E207:H209)</f>
        <v>0</v>
      </c>
      <c r="F206" s="943"/>
      <c r="G206" s="943"/>
      <c r="H206" s="944"/>
      <c r="I206" s="942">
        <f>SUM(I207:L209)</f>
        <v>0</v>
      </c>
      <c r="J206" s="943"/>
      <c r="K206" s="943"/>
      <c r="L206" s="944"/>
      <c r="M206" s="942">
        <f>SUM(M207:P209)</f>
        <v>0</v>
      </c>
      <c r="N206" s="943"/>
      <c r="O206" s="943"/>
      <c r="P206" s="944"/>
      <c r="Q206" s="942">
        <f>SUM(Q207:T209)</f>
        <v>0</v>
      </c>
      <c r="R206" s="943"/>
      <c r="S206" s="943"/>
      <c r="T206" s="1006"/>
    </row>
    <row r="207" spans="2:20" ht="30" outlineLevel="1" x14ac:dyDescent="0.2">
      <c r="B207" s="60" t="s">
        <v>3777</v>
      </c>
      <c r="C207" s="683">
        <v>10</v>
      </c>
      <c r="D207" s="688" t="s">
        <v>1157</v>
      </c>
      <c r="E207" s="940"/>
      <c r="F207" s="940"/>
      <c r="G207" s="940"/>
      <c r="H207" s="940"/>
      <c r="I207" s="940"/>
      <c r="J207" s="940"/>
      <c r="K207" s="940"/>
      <c r="L207" s="940"/>
      <c r="M207" s="940"/>
      <c r="N207" s="940"/>
      <c r="O207" s="940"/>
      <c r="P207" s="940"/>
      <c r="Q207" s="940"/>
      <c r="R207" s="940"/>
      <c r="S207" s="940"/>
      <c r="T207" s="941"/>
    </row>
    <row r="208" spans="2:20" ht="30" outlineLevel="1" x14ac:dyDescent="0.2">
      <c r="B208" s="60" t="s">
        <v>3778</v>
      </c>
      <c r="C208" s="683">
        <v>11</v>
      </c>
      <c r="D208" s="688" t="s">
        <v>45</v>
      </c>
      <c r="E208" s="940"/>
      <c r="F208" s="940"/>
      <c r="G208" s="940"/>
      <c r="H208" s="940"/>
      <c r="I208" s="940"/>
      <c r="J208" s="940"/>
      <c r="K208" s="940"/>
      <c r="L208" s="940"/>
      <c r="M208" s="940"/>
      <c r="N208" s="940"/>
      <c r="O208" s="940"/>
      <c r="P208" s="940"/>
      <c r="Q208" s="940"/>
      <c r="R208" s="940"/>
      <c r="S208" s="940"/>
      <c r="T208" s="941"/>
    </row>
    <row r="209" spans="2:20" ht="30" outlineLevel="1" x14ac:dyDescent="0.2">
      <c r="B209" s="60" t="s">
        <v>3779</v>
      </c>
      <c r="C209" s="683">
        <v>12</v>
      </c>
      <c r="D209" s="688" t="s">
        <v>46</v>
      </c>
      <c r="E209" s="940"/>
      <c r="F209" s="940"/>
      <c r="G209" s="940"/>
      <c r="H209" s="940"/>
      <c r="I209" s="940"/>
      <c r="J209" s="940"/>
      <c r="K209" s="940"/>
      <c r="L209" s="940"/>
      <c r="M209" s="940"/>
      <c r="N209" s="940"/>
      <c r="O209" s="940"/>
      <c r="P209" s="940"/>
      <c r="Q209" s="940"/>
      <c r="R209" s="940"/>
      <c r="S209" s="940"/>
      <c r="T209" s="941"/>
    </row>
    <row r="210" spans="2:20" s="142" customFormat="1" outlineLevel="1" x14ac:dyDescent="0.3">
      <c r="B210" s="60" t="s">
        <v>3780</v>
      </c>
      <c r="C210" s="679">
        <v>13</v>
      </c>
      <c r="D210" s="694" t="s">
        <v>87</v>
      </c>
      <c r="E210" s="934"/>
      <c r="F210" s="934"/>
      <c r="G210" s="934"/>
      <c r="H210" s="934"/>
      <c r="I210" s="934"/>
      <c r="J210" s="934"/>
      <c r="K210" s="934"/>
      <c r="L210" s="934"/>
      <c r="M210" s="934"/>
      <c r="N210" s="934"/>
      <c r="O210" s="934"/>
      <c r="P210" s="934"/>
      <c r="Q210" s="934"/>
      <c r="R210" s="934"/>
      <c r="S210" s="934"/>
      <c r="T210" s="935"/>
    </row>
    <row r="211" spans="2:20" s="142" customFormat="1" ht="30" outlineLevel="1" x14ac:dyDescent="0.2">
      <c r="B211" s="60" t="s">
        <v>3781</v>
      </c>
      <c r="C211" s="679">
        <v>14</v>
      </c>
      <c r="D211" s="687" t="s">
        <v>1143</v>
      </c>
      <c r="E211" s="934"/>
      <c r="F211" s="934"/>
      <c r="G211" s="934"/>
      <c r="H211" s="934"/>
      <c r="I211" s="934"/>
      <c r="J211" s="934"/>
      <c r="K211" s="934"/>
      <c r="L211" s="934"/>
      <c r="M211" s="934"/>
      <c r="N211" s="934"/>
      <c r="O211" s="934"/>
      <c r="P211" s="934"/>
      <c r="Q211" s="934"/>
      <c r="R211" s="934"/>
      <c r="S211" s="934"/>
      <c r="T211" s="935"/>
    </row>
    <row r="212" spans="2:20" s="142" customFormat="1" ht="31.5" customHeight="1" outlineLevel="1" x14ac:dyDescent="0.2">
      <c r="B212" s="60" t="s">
        <v>3782</v>
      </c>
      <c r="C212" s="679">
        <v>15</v>
      </c>
      <c r="D212" s="695" t="s">
        <v>53</v>
      </c>
      <c r="E212" s="934">
        <f>SUM(E213:H214)</f>
        <v>0</v>
      </c>
      <c r="F212" s="934"/>
      <c r="G212" s="934"/>
      <c r="H212" s="934"/>
      <c r="I212" s="934">
        <f>SUM(I213:L214)</f>
        <v>0</v>
      </c>
      <c r="J212" s="934"/>
      <c r="K212" s="934"/>
      <c r="L212" s="934"/>
      <c r="M212" s="934">
        <f>SUM(M213:P214)</f>
        <v>0</v>
      </c>
      <c r="N212" s="934"/>
      <c r="O212" s="934"/>
      <c r="P212" s="934"/>
      <c r="Q212" s="934">
        <f>SUM(Q213:T214)</f>
        <v>0</v>
      </c>
      <c r="R212" s="934"/>
      <c r="S212" s="934"/>
      <c r="T212" s="935"/>
    </row>
    <row r="213" spans="2:20" outlineLevel="1" x14ac:dyDescent="0.3">
      <c r="B213" s="60" t="s">
        <v>3783</v>
      </c>
      <c r="C213" s="683">
        <v>16</v>
      </c>
      <c r="D213" s="682" t="s">
        <v>54</v>
      </c>
      <c r="E213" s="940"/>
      <c r="F213" s="940"/>
      <c r="G213" s="940"/>
      <c r="H213" s="940"/>
      <c r="I213" s="940"/>
      <c r="J213" s="940"/>
      <c r="K213" s="940"/>
      <c r="L213" s="940"/>
      <c r="M213" s="940"/>
      <c r="N213" s="940"/>
      <c r="O213" s="940"/>
      <c r="P213" s="940"/>
      <c r="Q213" s="940"/>
      <c r="R213" s="940"/>
      <c r="S213" s="940"/>
      <c r="T213" s="941"/>
    </row>
    <row r="214" spans="2:20" ht="30" outlineLevel="1" x14ac:dyDescent="0.2">
      <c r="B214" s="60" t="s">
        <v>3784</v>
      </c>
      <c r="C214" s="683">
        <v>17</v>
      </c>
      <c r="D214" s="684" t="s">
        <v>1144</v>
      </c>
      <c r="E214" s="940"/>
      <c r="F214" s="940"/>
      <c r="G214" s="940"/>
      <c r="H214" s="940"/>
      <c r="I214" s="940"/>
      <c r="J214" s="940"/>
      <c r="K214" s="940"/>
      <c r="L214" s="940"/>
      <c r="M214" s="940"/>
      <c r="N214" s="940"/>
      <c r="O214" s="940"/>
      <c r="P214" s="940"/>
      <c r="Q214" s="940"/>
      <c r="R214" s="940"/>
      <c r="S214" s="940"/>
      <c r="T214" s="941"/>
    </row>
    <row r="215" spans="2:20" s="142" customFormat="1" ht="30" outlineLevel="1" x14ac:dyDescent="0.2">
      <c r="B215" s="60" t="s">
        <v>3785</v>
      </c>
      <c r="C215" s="679">
        <v>18</v>
      </c>
      <c r="D215" s="687" t="s">
        <v>1158</v>
      </c>
      <c r="E215" s="934"/>
      <c r="F215" s="934"/>
      <c r="G215" s="934"/>
      <c r="H215" s="934"/>
      <c r="I215" s="934"/>
      <c r="J215" s="934"/>
      <c r="K215" s="934"/>
      <c r="L215" s="934"/>
      <c r="M215" s="934"/>
      <c r="N215" s="934"/>
      <c r="O215" s="934"/>
      <c r="P215" s="934"/>
      <c r="Q215" s="934"/>
      <c r="R215" s="934"/>
      <c r="S215" s="934"/>
      <c r="T215" s="935"/>
    </row>
    <row r="216" spans="2:20" s="142" customFormat="1" ht="31.5" customHeight="1" outlineLevel="1" x14ac:dyDescent="0.2">
      <c r="B216" s="60" t="s">
        <v>3786</v>
      </c>
      <c r="C216" s="679">
        <v>19</v>
      </c>
      <c r="D216" s="695" t="s">
        <v>3398</v>
      </c>
      <c r="E216" s="934">
        <f>SUM(E217:H218)</f>
        <v>0</v>
      </c>
      <c r="F216" s="934"/>
      <c r="G216" s="934"/>
      <c r="H216" s="934"/>
      <c r="I216" s="934">
        <f>SUM(I217:L218)</f>
        <v>0</v>
      </c>
      <c r="J216" s="934"/>
      <c r="K216" s="934"/>
      <c r="L216" s="934"/>
      <c r="M216" s="934">
        <f>SUM(M217:P218)</f>
        <v>0</v>
      </c>
      <c r="N216" s="934"/>
      <c r="O216" s="934"/>
      <c r="P216" s="934"/>
      <c r="Q216" s="934">
        <f>SUM(Q217:T218)</f>
        <v>0</v>
      </c>
      <c r="R216" s="934"/>
      <c r="S216" s="934"/>
      <c r="T216" s="935"/>
    </row>
    <row r="217" spans="2:20" outlineLevel="1" x14ac:dyDescent="0.3">
      <c r="B217" s="60" t="s">
        <v>3787</v>
      </c>
      <c r="C217" s="683">
        <v>20</v>
      </c>
      <c r="D217" s="682" t="s">
        <v>1160</v>
      </c>
      <c r="E217" s="940"/>
      <c r="F217" s="940"/>
      <c r="G217" s="940"/>
      <c r="H217" s="940"/>
      <c r="I217" s="940"/>
      <c r="J217" s="940"/>
      <c r="K217" s="940"/>
      <c r="L217" s="940"/>
      <c r="M217" s="940"/>
      <c r="N217" s="940"/>
      <c r="O217" s="940"/>
      <c r="P217" s="940"/>
      <c r="Q217" s="940"/>
      <c r="R217" s="940"/>
      <c r="S217" s="940"/>
      <c r="T217" s="941"/>
    </row>
    <row r="218" spans="2:20" ht="30" outlineLevel="1" x14ac:dyDescent="0.2">
      <c r="B218" s="60" t="s">
        <v>3788</v>
      </c>
      <c r="C218" s="683">
        <v>21</v>
      </c>
      <c r="D218" s="684" t="s">
        <v>1161</v>
      </c>
      <c r="E218" s="940"/>
      <c r="F218" s="940"/>
      <c r="G218" s="940"/>
      <c r="H218" s="940"/>
      <c r="I218" s="940"/>
      <c r="J218" s="940"/>
      <c r="K218" s="940"/>
      <c r="L218" s="940"/>
      <c r="M218" s="940"/>
      <c r="N218" s="940"/>
      <c r="O218" s="940"/>
      <c r="P218" s="940"/>
      <c r="Q218" s="940"/>
      <c r="R218" s="940"/>
      <c r="S218" s="940"/>
      <c r="T218" s="941"/>
    </row>
    <row r="219" spans="2:20" s="142" customFormat="1" outlineLevel="1" x14ac:dyDescent="0.3">
      <c r="B219" s="60" t="s">
        <v>3789</v>
      </c>
      <c r="C219" s="679">
        <v>22</v>
      </c>
      <c r="D219" s="680" t="s">
        <v>84</v>
      </c>
      <c r="E219" s="934"/>
      <c r="F219" s="934"/>
      <c r="G219" s="934"/>
      <c r="H219" s="934"/>
      <c r="I219" s="934"/>
      <c r="J219" s="934"/>
      <c r="K219" s="934"/>
      <c r="L219" s="934"/>
      <c r="M219" s="934"/>
      <c r="N219" s="934"/>
      <c r="O219" s="934"/>
      <c r="P219" s="934"/>
      <c r="Q219" s="934"/>
      <c r="R219" s="934"/>
      <c r="S219" s="934"/>
      <c r="T219" s="935"/>
    </row>
    <row r="220" spans="2:20" s="142" customFormat="1" ht="30" outlineLevel="1" x14ac:dyDescent="0.2">
      <c r="B220" s="60" t="s">
        <v>3790</v>
      </c>
      <c r="C220" s="679">
        <v>23</v>
      </c>
      <c r="D220" s="687" t="s">
        <v>4637</v>
      </c>
      <c r="E220" s="934"/>
      <c r="F220" s="934"/>
      <c r="G220" s="934"/>
      <c r="H220" s="934"/>
      <c r="I220" s="934"/>
      <c r="J220" s="934"/>
      <c r="K220" s="934"/>
      <c r="L220" s="934"/>
      <c r="M220" s="934"/>
      <c r="N220" s="934"/>
      <c r="O220" s="934"/>
      <c r="P220" s="934"/>
      <c r="Q220" s="934"/>
      <c r="R220" s="934"/>
      <c r="S220" s="934"/>
      <c r="T220" s="935"/>
    </row>
    <row r="221" spans="2:20" s="142" customFormat="1" outlineLevel="1" x14ac:dyDescent="0.3">
      <c r="B221" s="60" t="s">
        <v>3791</v>
      </c>
      <c r="C221" s="679">
        <v>24</v>
      </c>
      <c r="D221" s="680" t="s">
        <v>85</v>
      </c>
      <c r="E221" s="934"/>
      <c r="F221" s="934"/>
      <c r="G221" s="934"/>
      <c r="H221" s="934"/>
      <c r="I221" s="934"/>
      <c r="J221" s="934"/>
      <c r="K221" s="934"/>
      <c r="L221" s="934"/>
      <c r="M221" s="934"/>
      <c r="N221" s="934"/>
      <c r="O221" s="934"/>
      <c r="P221" s="934"/>
      <c r="Q221" s="934"/>
      <c r="R221" s="934"/>
      <c r="S221" s="934"/>
      <c r="T221" s="935"/>
    </row>
    <row r="222" spans="2:20" s="142" customFormat="1" outlineLevel="1" x14ac:dyDescent="0.3">
      <c r="B222" s="60" t="s">
        <v>3792</v>
      </c>
      <c r="C222" s="679">
        <v>25</v>
      </c>
      <c r="D222" s="680" t="s">
        <v>1146</v>
      </c>
      <c r="E222" s="934">
        <f>SUM(E223:H225)</f>
        <v>0</v>
      </c>
      <c r="F222" s="934"/>
      <c r="G222" s="934"/>
      <c r="H222" s="934"/>
      <c r="I222" s="934">
        <f>SUM(I223:L225)</f>
        <v>0</v>
      </c>
      <c r="J222" s="934"/>
      <c r="K222" s="934"/>
      <c r="L222" s="934"/>
      <c r="M222" s="934">
        <f>SUM(M223:P225)</f>
        <v>0</v>
      </c>
      <c r="N222" s="934"/>
      <c r="O222" s="934"/>
      <c r="P222" s="934"/>
      <c r="Q222" s="934">
        <f>SUM(Q223:T225)</f>
        <v>0</v>
      </c>
      <c r="R222" s="934"/>
      <c r="S222" s="934"/>
      <c r="T222" s="935"/>
    </row>
    <row r="223" spans="2:20" ht="30" outlineLevel="1" x14ac:dyDescent="0.2">
      <c r="B223" s="60" t="s">
        <v>3793</v>
      </c>
      <c r="C223" s="683">
        <v>26</v>
      </c>
      <c r="D223" s="684" t="s">
        <v>41</v>
      </c>
      <c r="E223" s="940"/>
      <c r="F223" s="940"/>
      <c r="G223" s="940"/>
      <c r="H223" s="940"/>
      <c r="I223" s="940"/>
      <c r="J223" s="940"/>
      <c r="K223" s="940"/>
      <c r="L223" s="940"/>
      <c r="M223" s="940"/>
      <c r="N223" s="940"/>
      <c r="O223" s="940"/>
      <c r="P223" s="940"/>
      <c r="Q223" s="940"/>
      <c r="R223" s="940"/>
      <c r="S223" s="940"/>
      <c r="T223" s="941"/>
    </row>
    <row r="224" spans="2:20" outlineLevel="1" x14ac:dyDescent="0.3">
      <c r="B224" s="60" t="s">
        <v>3794</v>
      </c>
      <c r="C224" s="683">
        <v>27</v>
      </c>
      <c r="D224" s="682" t="s">
        <v>47</v>
      </c>
      <c r="E224" s="940"/>
      <c r="F224" s="940"/>
      <c r="G224" s="940"/>
      <c r="H224" s="940"/>
      <c r="I224" s="940"/>
      <c r="J224" s="940"/>
      <c r="K224" s="940"/>
      <c r="L224" s="940"/>
      <c r="M224" s="940"/>
      <c r="N224" s="940"/>
      <c r="O224" s="940"/>
      <c r="P224" s="940"/>
      <c r="Q224" s="940"/>
      <c r="R224" s="940"/>
      <c r="S224" s="940"/>
      <c r="T224" s="941"/>
    </row>
    <row r="225" spans="2:20" outlineLevel="1" x14ac:dyDescent="0.3">
      <c r="B225" s="60" t="s">
        <v>3795</v>
      </c>
      <c r="C225" s="683">
        <v>28</v>
      </c>
      <c r="D225" s="682" t="s">
        <v>48</v>
      </c>
      <c r="E225" s="940"/>
      <c r="F225" s="940"/>
      <c r="G225" s="940"/>
      <c r="H225" s="940"/>
      <c r="I225" s="940"/>
      <c r="J225" s="940"/>
      <c r="K225" s="940"/>
      <c r="L225" s="940"/>
      <c r="M225" s="940"/>
      <c r="N225" s="940"/>
      <c r="O225" s="940"/>
      <c r="P225" s="940"/>
      <c r="Q225" s="940"/>
      <c r="R225" s="940"/>
      <c r="S225" s="940"/>
      <c r="T225" s="941"/>
    </row>
    <row r="226" spans="2:20" s="142" customFormat="1" outlineLevel="1" x14ac:dyDescent="0.3">
      <c r="B226" s="60" t="s">
        <v>3796</v>
      </c>
      <c r="C226" s="679">
        <v>29</v>
      </c>
      <c r="D226" s="694" t="s">
        <v>86</v>
      </c>
      <c r="E226" s="934"/>
      <c r="F226" s="934"/>
      <c r="G226" s="934"/>
      <c r="H226" s="934"/>
      <c r="I226" s="934"/>
      <c r="J226" s="934"/>
      <c r="K226" s="934"/>
      <c r="L226" s="934"/>
      <c r="M226" s="934"/>
      <c r="N226" s="934"/>
      <c r="O226" s="934"/>
      <c r="P226" s="934"/>
      <c r="Q226" s="934"/>
      <c r="R226" s="934"/>
      <c r="S226" s="934"/>
      <c r="T226" s="935"/>
    </row>
    <row r="227" spans="2:20" s="142" customFormat="1" ht="45" outlineLevel="1" x14ac:dyDescent="0.2">
      <c r="B227" s="60" t="s">
        <v>3797</v>
      </c>
      <c r="C227" s="679">
        <v>30</v>
      </c>
      <c r="D227" s="687" t="s">
        <v>4638</v>
      </c>
      <c r="E227" s="934">
        <f>SUM(E228:H230)</f>
        <v>0</v>
      </c>
      <c r="F227" s="934"/>
      <c r="G227" s="934"/>
      <c r="H227" s="934"/>
      <c r="I227" s="934">
        <f>SUM(I228:L230)</f>
        <v>0</v>
      </c>
      <c r="J227" s="934"/>
      <c r="K227" s="934"/>
      <c r="L227" s="934"/>
      <c r="M227" s="934">
        <f>SUM(M228:P230)</f>
        <v>0</v>
      </c>
      <c r="N227" s="934"/>
      <c r="O227" s="934"/>
      <c r="P227" s="934"/>
      <c r="Q227" s="934">
        <f>SUM(Q228:T230)</f>
        <v>0</v>
      </c>
      <c r="R227" s="934"/>
      <c r="S227" s="934"/>
      <c r="T227" s="935"/>
    </row>
    <row r="228" spans="2:20" outlineLevel="1" x14ac:dyDescent="0.3">
      <c r="B228" s="60" t="s">
        <v>3798</v>
      </c>
      <c r="C228" s="683">
        <v>31</v>
      </c>
      <c r="D228" s="693" t="s">
        <v>49</v>
      </c>
      <c r="E228" s="940"/>
      <c r="F228" s="940"/>
      <c r="G228" s="940"/>
      <c r="H228" s="940"/>
      <c r="I228" s="940"/>
      <c r="J228" s="940"/>
      <c r="K228" s="940"/>
      <c r="L228" s="940"/>
      <c r="M228" s="940"/>
      <c r="N228" s="940"/>
      <c r="O228" s="940"/>
      <c r="P228" s="940"/>
      <c r="Q228" s="940"/>
      <c r="R228" s="940"/>
      <c r="S228" s="940"/>
      <c r="T228" s="941"/>
    </row>
    <row r="229" spans="2:20" outlineLevel="1" x14ac:dyDescent="0.3">
      <c r="B229" s="60" t="s">
        <v>3799</v>
      </c>
      <c r="C229" s="683">
        <v>32</v>
      </c>
      <c r="D229" s="693" t="s">
        <v>50</v>
      </c>
      <c r="E229" s="940"/>
      <c r="F229" s="940"/>
      <c r="G229" s="940"/>
      <c r="H229" s="940"/>
      <c r="I229" s="940"/>
      <c r="J229" s="940"/>
      <c r="K229" s="940"/>
      <c r="L229" s="940"/>
      <c r="M229" s="940"/>
      <c r="N229" s="940"/>
      <c r="O229" s="940"/>
      <c r="P229" s="940"/>
      <c r="Q229" s="940"/>
      <c r="R229" s="940"/>
      <c r="S229" s="940"/>
      <c r="T229" s="941"/>
    </row>
    <row r="230" spans="2:20" outlineLevel="1" x14ac:dyDescent="0.3">
      <c r="B230" s="60" t="s">
        <v>3800</v>
      </c>
      <c r="C230" s="683">
        <v>33</v>
      </c>
      <c r="D230" s="693" t="s">
        <v>1159</v>
      </c>
      <c r="E230" s="940"/>
      <c r="F230" s="940"/>
      <c r="G230" s="940"/>
      <c r="H230" s="940"/>
      <c r="I230" s="940"/>
      <c r="J230" s="940"/>
      <c r="K230" s="940"/>
      <c r="L230" s="940"/>
      <c r="M230" s="940"/>
      <c r="N230" s="940"/>
      <c r="O230" s="940"/>
      <c r="P230" s="940"/>
      <c r="Q230" s="940"/>
      <c r="R230" s="940"/>
      <c r="S230" s="940"/>
      <c r="T230" s="941"/>
    </row>
    <row r="231" spans="2:20" s="142" customFormat="1" outlineLevel="1" x14ac:dyDescent="0.3">
      <c r="B231" s="60" t="s">
        <v>3801</v>
      </c>
      <c r="C231" s="696">
        <v>34</v>
      </c>
      <c r="D231" s="694" t="s">
        <v>52</v>
      </c>
      <c r="E231" s="942"/>
      <c r="F231" s="943"/>
      <c r="G231" s="943"/>
      <c r="H231" s="943"/>
      <c r="I231" s="934"/>
      <c r="J231" s="934"/>
      <c r="K231" s="934"/>
      <c r="L231" s="934"/>
      <c r="M231" s="934"/>
      <c r="N231" s="934"/>
      <c r="O231" s="934"/>
      <c r="P231" s="934"/>
      <c r="Q231" s="934"/>
      <c r="R231" s="934"/>
      <c r="S231" s="934"/>
      <c r="T231" s="935"/>
    </row>
    <row r="232" spans="2:20" s="142" customFormat="1" ht="28.5" customHeight="1" thickBot="1" x14ac:dyDescent="0.35">
      <c r="B232" s="491" t="s">
        <v>3802</v>
      </c>
      <c r="C232" s="964" t="s">
        <v>1150</v>
      </c>
      <c r="D232" s="965"/>
      <c r="E232" s="1007">
        <f>E198+E199+E202+E203+E206+E210+E211+E212+E215+E216+E219+E220+E221+E222+E226+E227+E231</f>
        <v>0</v>
      </c>
      <c r="F232" s="1008"/>
      <c r="G232" s="1008"/>
      <c r="H232" s="1009"/>
      <c r="I232" s="936">
        <f>I198+I199+I202+I203+I206+I210+I211+I212+I215+I216+I219+I220+I221+I222+I226+I227+I231</f>
        <v>0</v>
      </c>
      <c r="J232" s="937"/>
      <c r="K232" s="937"/>
      <c r="L232" s="939"/>
      <c r="M232" s="936">
        <f>M198+M199+M202+M203+M206+M210+M211+M212+M215+M216+M219+M220+M221+M222+M226+M227+M231</f>
        <v>0</v>
      </c>
      <c r="N232" s="937"/>
      <c r="O232" s="937"/>
      <c r="P232" s="939"/>
      <c r="Q232" s="936">
        <f>Q198+Q199+Q202+Q203+Q206+Q210+Q211+Q212+Q215+Q216+Q219+Q220+Q221+Q222+Q226+Q227+Q231</f>
        <v>0</v>
      </c>
      <c r="R232" s="937"/>
      <c r="S232" s="937"/>
      <c r="T232" s="938"/>
    </row>
    <row r="233" spans="2:20" s="138" customFormat="1" x14ac:dyDescent="0.2">
      <c r="B233" s="213"/>
      <c r="C233" s="315"/>
      <c r="D233" s="24"/>
      <c r="E233" s="330"/>
      <c r="F233" s="330"/>
      <c r="G233" s="330"/>
      <c r="H233" s="330"/>
      <c r="I233" s="330"/>
      <c r="J233" s="330"/>
      <c r="K233" s="330"/>
      <c r="L233" s="330"/>
      <c r="M233" s="330"/>
      <c r="N233" s="330"/>
      <c r="O233" s="330"/>
      <c r="P233" s="330"/>
      <c r="Q233" s="330"/>
      <c r="R233" s="330"/>
      <c r="S233" s="330"/>
      <c r="T233" s="330"/>
    </row>
    <row r="234" spans="2:20" s="138" customFormat="1" x14ac:dyDescent="0.3">
      <c r="B234" s="30"/>
      <c r="C234" s="782"/>
      <c r="D234" s="782"/>
      <c r="E234" s="782"/>
      <c r="F234" s="782"/>
      <c r="G234" s="782"/>
      <c r="H234" s="782"/>
      <c r="I234" s="782"/>
      <c r="J234" s="782"/>
      <c r="K234" s="330"/>
      <c r="L234" s="330"/>
      <c r="M234" s="330"/>
      <c r="N234" s="330"/>
      <c r="O234" s="330"/>
      <c r="P234" s="330"/>
      <c r="Q234" s="330"/>
      <c r="R234" s="330"/>
      <c r="S234" s="330"/>
      <c r="T234" s="330"/>
    </row>
    <row r="235" spans="2:20" s="138" customFormat="1" ht="9" customHeight="1" x14ac:dyDescent="0.2">
      <c r="B235" s="30"/>
      <c r="C235" s="845"/>
      <c r="D235" s="845"/>
      <c r="E235" s="845"/>
      <c r="F235" s="625"/>
      <c r="G235" s="625"/>
      <c r="H235" s="625"/>
      <c r="I235" s="633"/>
      <c r="J235" s="330"/>
      <c r="K235" s="330"/>
      <c r="L235" s="330"/>
      <c r="M235" s="330"/>
      <c r="N235" s="330"/>
      <c r="O235" s="330"/>
      <c r="P235" s="330"/>
      <c r="Q235" s="330"/>
      <c r="R235" s="330"/>
      <c r="S235" s="330"/>
      <c r="T235" s="330"/>
    </row>
    <row r="236" spans="2:20" s="138" customFormat="1" x14ac:dyDescent="0.3">
      <c r="B236" s="30"/>
      <c r="C236" s="782"/>
      <c r="D236" s="782"/>
      <c r="E236" s="782"/>
      <c r="F236" s="782"/>
      <c r="G236" s="782"/>
      <c r="H236" s="782"/>
      <c r="I236" s="782"/>
      <c r="J236" s="782"/>
      <c r="K236" s="330"/>
      <c r="L236" s="330"/>
      <c r="M236" s="330"/>
      <c r="N236" s="330"/>
      <c r="O236" s="330"/>
      <c r="P236" s="330"/>
      <c r="Q236" s="330"/>
      <c r="R236" s="330"/>
      <c r="S236" s="330"/>
      <c r="T236" s="330"/>
    </row>
    <row r="237" spans="2:20" s="138" customFormat="1" ht="9" customHeight="1" x14ac:dyDescent="0.2">
      <c r="B237" s="30"/>
      <c r="C237" s="1011"/>
      <c r="D237" s="1011"/>
      <c r="E237" s="1011"/>
      <c r="F237" s="31"/>
      <c r="G237" s="31"/>
      <c r="H237" s="31"/>
      <c r="I237" s="330"/>
      <c r="J237" s="330"/>
      <c r="K237" s="330"/>
      <c r="L237" s="330"/>
      <c r="M237" s="330"/>
      <c r="N237" s="330"/>
      <c r="O237" s="330"/>
      <c r="P237" s="330"/>
      <c r="Q237" s="330"/>
      <c r="R237" s="330"/>
      <c r="S237" s="330"/>
      <c r="T237" s="330"/>
    </row>
    <row r="238" spans="2:20" s="138" customFormat="1" x14ac:dyDescent="0.3">
      <c r="B238" s="30"/>
      <c r="C238" s="782"/>
      <c r="D238" s="782"/>
      <c r="E238" s="782"/>
      <c r="F238" s="782"/>
      <c r="G238" s="782"/>
      <c r="H238" s="782"/>
      <c r="I238" s="782"/>
      <c r="J238" s="782"/>
      <c r="K238" s="330"/>
      <c r="L238" s="330"/>
      <c r="M238" s="330"/>
      <c r="N238" s="330"/>
      <c r="O238" s="330"/>
      <c r="P238" s="330"/>
      <c r="Q238" s="330"/>
      <c r="R238" s="330"/>
      <c r="S238" s="330"/>
      <c r="T238" s="330"/>
    </row>
    <row r="239" spans="2:20" s="138" customFormat="1" x14ac:dyDescent="0.2">
      <c r="B239" s="30"/>
      <c r="C239" s="315"/>
      <c r="D239" s="24"/>
      <c r="E239" s="330"/>
      <c r="F239" s="330"/>
      <c r="G239" s="330"/>
      <c r="H239" s="330"/>
      <c r="I239" s="330"/>
      <c r="J239" s="330"/>
      <c r="K239" s="330"/>
      <c r="L239" s="330"/>
      <c r="M239" s="330"/>
      <c r="N239" s="330"/>
      <c r="O239" s="330"/>
      <c r="P239" s="330"/>
      <c r="Q239" s="330"/>
      <c r="R239" s="330"/>
      <c r="S239" s="330"/>
      <c r="T239" s="330"/>
    </row>
    <row r="240" spans="2:20" x14ac:dyDescent="0.2">
      <c r="B240" s="79"/>
    </row>
    <row r="241" spans="2:20" ht="15.75" thickBot="1" x14ac:dyDescent="0.25">
      <c r="B241" s="517"/>
      <c r="C241" s="783" t="s">
        <v>1166</v>
      </c>
      <c r="D241" s="783"/>
      <c r="E241" s="783"/>
      <c r="F241" s="783"/>
      <c r="G241" s="783"/>
      <c r="H241" s="783"/>
      <c r="I241" s="783"/>
      <c r="J241" s="783"/>
      <c r="K241" s="783"/>
      <c r="L241" s="783"/>
      <c r="M241" s="783"/>
      <c r="N241" s="783"/>
      <c r="O241" s="783"/>
      <c r="P241" s="783"/>
      <c r="Q241" s="783"/>
      <c r="R241" s="783"/>
      <c r="S241" s="844" t="s">
        <v>1176</v>
      </c>
      <c r="T241" s="844"/>
    </row>
    <row r="242" spans="2:20" ht="18" customHeight="1" x14ac:dyDescent="0.2">
      <c r="B242" s="602"/>
      <c r="C242" s="962" t="s">
        <v>1211</v>
      </c>
      <c r="D242" s="995" t="s">
        <v>95</v>
      </c>
      <c r="E242" s="997" t="s">
        <v>3330</v>
      </c>
      <c r="F242" s="997"/>
      <c r="G242" s="997"/>
      <c r="H242" s="997"/>
      <c r="I242" s="997"/>
      <c r="J242" s="997"/>
      <c r="K242" s="997"/>
      <c r="L242" s="997"/>
      <c r="M242" s="997" t="s">
        <v>3331</v>
      </c>
      <c r="N242" s="997"/>
      <c r="O242" s="997"/>
      <c r="P242" s="997"/>
      <c r="Q242" s="997"/>
      <c r="R242" s="997"/>
      <c r="S242" s="997"/>
      <c r="T242" s="998"/>
    </row>
    <row r="243" spans="2:20" ht="14.25" customHeight="1" x14ac:dyDescent="0.2">
      <c r="B243" s="603"/>
      <c r="C243" s="963"/>
      <c r="D243" s="996"/>
      <c r="E243" s="990" t="s">
        <v>104</v>
      </c>
      <c r="F243" s="990"/>
      <c r="G243" s="990"/>
      <c r="H243" s="990"/>
      <c r="I243" s="990" t="s">
        <v>101</v>
      </c>
      <c r="J243" s="990"/>
      <c r="K243" s="990"/>
      <c r="L243" s="990"/>
      <c r="M243" s="990" t="s">
        <v>104</v>
      </c>
      <c r="N243" s="990"/>
      <c r="O243" s="990"/>
      <c r="P243" s="990"/>
      <c r="Q243" s="990" t="s">
        <v>101</v>
      </c>
      <c r="R243" s="990"/>
      <c r="S243" s="990"/>
      <c r="T243" s="991"/>
    </row>
    <row r="244" spans="2:20" s="339" customFormat="1" ht="12.75" outlineLevel="1" x14ac:dyDescent="0.2">
      <c r="B244" s="607"/>
      <c r="C244" s="345"/>
      <c r="D244" s="345"/>
      <c r="E244" s="947" t="s">
        <v>401</v>
      </c>
      <c r="F244" s="947"/>
      <c r="G244" s="947"/>
      <c r="H244" s="947"/>
      <c r="I244" s="977" t="s">
        <v>402</v>
      </c>
      <c r="J244" s="977"/>
      <c r="K244" s="977"/>
      <c r="L244" s="977"/>
      <c r="M244" s="977" t="s">
        <v>403</v>
      </c>
      <c r="N244" s="977"/>
      <c r="O244" s="977"/>
      <c r="P244" s="977"/>
      <c r="Q244" s="977" t="s">
        <v>404</v>
      </c>
      <c r="R244" s="977"/>
      <c r="S244" s="977"/>
      <c r="T244" s="989"/>
    </row>
    <row r="245" spans="2:20" outlineLevel="1" x14ac:dyDescent="0.3">
      <c r="B245" s="60" t="s">
        <v>3803</v>
      </c>
      <c r="C245" s="679">
        <v>1</v>
      </c>
      <c r="D245" s="680" t="s">
        <v>83</v>
      </c>
      <c r="E245" s="934"/>
      <c r="F245" s="934"/>
      <c r="G245" s="934"/>
      <c r="H245" s="934"/>
      <c r="I245" s="934"/>
      <c r="J245" s="934"/>
      <c r="K245" s="934"/>
      <c r="L245" s="934"/>
      <c r="M245" s="934"/>
      <c r="N245" s="934"/>
      <c r="O245" s="934"/>
      <c r="P245" s="934"/>
      <c r="Q245" s="934"/>
      <c r="R245" s="934"/>
      <c r="S245" s="934"/>
      <c r="T245" s="935"/>
    </row>
    <row r="246" spans="2:20" outlineLevel="1" x14ac:dyDescent="0.3">
      <c r="B246" s="60" t="s">
        <v>3804</v>
      </c>
      <c r="C246" s="685">
        <v>2</v>
      </c>
      <c r="D246" s="680" t="s">
        <v>1202</v>
      </c>
      <c r="E246" s="934">
        <f>SUM(E247:H248)</f>
        <v>0</v>
      </c>
      <c r="F246" s="934"/>
      <c r="G246" s="934"/>
      <c r="H246" s="934"/>
      <c r="I246" s="934">
        <f>SUM(I247:L248)</f>
        <v>0</v>
      </c>
      <c r="J246" s="934"/>
      <c r="K246" s="934"/>
      <c r="L246" s="934"/>
      <c r="M246" s="934">
        <f>SUM(M247:P248)</f>
        <v>0</v>
      </c>
      <c r="N246" s="934"/>
      <c r="O246" s="934"/>
      <c r="P246" s="934"/>
      <c r="Q246" s="934">
        <f>SUM(Q247:T248)</f>
        <v>0</v>
      </c>
      <c r="R246" s="934"/>
      <c r="S246" s="934"/>
      <c r="T246" s="935"/>
    </row>
    <row r="247" spans="2:20" outlineLevel="1" x14ac:dyDescent="0.3">
      <c r="B247" s="60" t="s">
        <v>3805</v>
      </c>
      <c r="C247" s="683">
        <v>3</v>
      </c>
      <c r="D247" s="682" t="s">
        <v>1200</v>
      </c>
      <c r="E247" s="940"/>
      <c r="F247" s="940"/>
      <c r="G247" s="940"/>
      <c r="H247" s="940"/>
      <c r="I247" s="940"/>
      <c r="J247" s="940"/>
      <c r="K247" s="940"/>
      <c r="L247" s="940"/>
      <c r="M247" s="940"/>
      <c r="N247" s="940"/>
      <c r="O247" s="940"/>
      <c r="P247" s="940"/>
      <c r="Q247" s="940"/>
      <c r="R247" s="940"/>
      <c r="S247" s="940"/>
      <c r="T247" s="941"/>
    </row>
    <row r="248" spans="2:20" ht="30" outlineLevel="1" x14ac:dyDescent="0.2">
      <c r="B248" s="60" t="s">
        <v>3806</v>
      </c>
      <c r="C248" s="683">
        <v>4</v>
      </c>
      <c r="D248" s="684" t="s">
        <v>1201</v>
      </c>
      <c r="E248" s="940"/>
      <c r="F248" s="940"/>
      <c r="G248" s="940"/>
      <c r="H248" s="940"/>
      <c r="I248" s="940"/>
      <c r="J248" s="940"/>
      <c r="K248" s="940"/>
      <c r="L248" s="940"/>
      <c r="M248" s="940"/>
      <c r="N248" s="940"/>
      <c r="O248" s="940"/>
      <c r="P248" s="940"/>
      <c r="Q248" s="940"/>
      <c r="R248" s="940"/>
      <c r="S248" s="940"/>
      <c r="T248" s="941"/>
    </row>
    <row r="249" spans="2:20" outlineLevel="1" x14ac:dyDescent="0.3">
      <c r="B249" s="60" t="s">
        <v>3807</v>
      </c>
      <c r="C249" s="679">
        <v>5</v>
      </c>
      <c r="D249" s="680" t="s">
        <v>51</v>
      </c>
      <c r="E249" s="934"/>
      <c r="F249" s="934"/>
      <c r="G249" s="934"/>
      <c r="H249" s="934"/>
      <c r="I249" s="934"/>
      <c r="J249" s="934"/>
      <c r="K249" s="934"/>
      <c r="L249" s="934"/>
      <c r="M249" s="934"/>
      <c r="N249" s="934"/>
      <c r="O249" s="934"/>
      <c r="P249" s="934"/>
      <c r="Q249" s="934"/>
      <c r="R249" s="934"/>
      <c r="S249" s="934"/>
      <c r="T249" s="935"/>
    </row>
    <row r="250" spans="2:20" ht="30" outlineLevel="1" x14ac:dyDescent="0.2">
      <c r="B250" s="60" t="s">
        <v>3808</v>
      </c>
      <c r="C250" s="679">
        <v>6</v>
      </c>
      <c r="D250" s="687" t="s">
        <v>1203</v>
      </c>
      <c r="E250" s="934">
        <f>SUM(E251:H252)</f>
        <v>0</v>
      </c>
      <c r="F250" s="934"/>
      <c r="G250" s="934"/>
      <c r="H250" s="934"/>
      <c r="I250" s="934">
        <f>SUM(I251:L252)</f>
        <v>0</v>
      </c>
      <c r="J250" s="934"/>
      <c r="K250" s="934"/>
      <c r="L250" s="934"/>
      <c r="M250" s="934">
        <f>SUM(M251:P252)</f>
        <v>0</v>
      </c>
      <c r="N250" s="934"/>
      <c r="O250" s="934"/>
      <c r="P250" s="934"/>
      <c r="Q250" s="934">
        <f>SUM(Q251:T252)</f>
        <v>0</v>
      </c>
      <c r="R250" s="934"/>
      <c r="S250" s="934"/>
      <c r="T250" s="935"/>
    </row>
    <row r="251" spans="2:20" ht="30" outlineLevel="1" x14ac:dyDescent="0.2">
      <c r="B251" s="60" t="s">
        <v>3809</v>
      </c>
      <c r="C251" s="683">
        <v>7</v>
      </c>
      <c r="D251" s="688" t="s">
        <v>3402</v>
      </c>
      <c r="E251" s="940"/>
      <c r="F251" s="940"/>
      <c r="G251" s="940"/>
      <c r="H251" s="940"/>
      <c r="I251" s="940"/>
      <c r="J251" s="940"/>
      <c r="K251" s="940"/>
      <c r="L251" s="940"/>
      <c r="M251" s="940"/>
      <c r="N251" s="940"/>
      <c r="O251" s="940"/>
      <c r="P251" s="940"/>
      <c r="Q251" s="940"/>
      <c r="R251" s="940"/>
      <c r="S251" s="940"/>
      <c r="T251" s="941"/>
    </row>
    <row r="252" spans="2:20" outlineLevel="1" x14ac:dyDescent="0.3">
      <c r="B252" s="60" t="s">
        <v>3810</v>
      </c>
      <c r="C252" s="683">
        <v>8</v>
      </c>
      <c r="D252" s="693" t="s">
        <v>44</v>
      </c>
      <c r="E252" s="940"/>
      <c r="F252" s="940"/>
      <c r="G252" s="940"/>
      <c r="H252" s="940"/>
      <c r="I252" s="940"/>
      <c r="J252" s="940"/>
      <c r="K252" s="940"/>
      <c r="L252" s="940"/>
      <c r="M252" s="940"/>
      <c r="N252" s="940"/>
      <c r="O252" s="940"/>
      <c r="P252" s="940"/>
      <c r="Q252" s="940"/>
      <c r="R252" s="940"/>
      <c r="S252" s="940"/>
      <c r="T252" s="941"/>
    </row>
    <row r="253" spans="2:20" ht="45" outlineLevel="1" x14ac:dyDescent="0.2">
      <c r="B253" s="60" t="s">
        <v>3811</v>
      </c>
      <c r="C253" s="679">
        <v>9</v>
      </c>
      <c r="D253" s="687" t="s">
        <v>1204</v>
      </c>
      <c r="E253" s="942">
        <f>SUM(E254:H256)</f>
        <v>0</v>
      </c>
      <c r="F253" s="943"/>
      <c r="G253" s="943"/>
      <c r="H253" s="944"/>
      <c r="I253" s="942">
        <f>SUM(I254:L256)</f>
        <v>0</v>
      </c>
      <c r="J253" s="943"/>
      <c r="K253" s="943"/>
      <c r="L253" s="944"/>
      <c r="M253" s="942">
        <f>SUM(M254:P256)</f>
        <v>0</v>
      </c>
      <c r="N253" s="943"/>
      <c r="O253" s="943"/>
      <c r="P253" s="944"/>
      <c r="Q253" s="942">
        <f>SUM(Q254:T256)</f>
        <v>0</v>
      </c>
      <c r="R253" s="943"/>
      <c r="S253" s="943"/>
      <c r="T253" s="1006"/>
    </row>
    <row r="254" spans="2:20" ht="30" outlineLevel="1" x14ac:dyDescent="0.2">
      <c r="B254" s="60" t="s">
        <v>3812</v>
      </c>
      <c r="C254" s="683">
        <v>10</v>
      </c>
      <c r="D254" s="688" t="s">
        <v>1157</v>
      </c>
      <c r="E254" s="940"/>
      <c r="F254" s="940"/>
      <c r="G254" s="940"/>
      <c r="H254" s="940"/>
      <c r="I254" s="940"/>
      <c r="J254" s="940"/>
      <c r="K254" s="940"/>
      <c r="L254" s="940"/>
      <c r="M254" s="940"/>
      <c r="N254" s="940"/>
      <c r="O254" s="940"/>
      <c r="P254" s="940"/>
      <c r="Q254" s="940"/>
      <c r="R254" s="940"/>
      <c r="S254" s="940"/>
      <c r="T254" s="941"/>
    </row>
    <row r="255" spans="2:20" ht="30" outlineLevel="1" x14ac:dyDescent="0.2">
      <c r="B255" s="60" t="s">
        <v>3813</v>
      </c>
      <c r="C255" s="683">
        <v>11</v>
      </c>
      <c r="D255" s="688" t="s">
        <v>45</v>
      </c>
      <c r="E255" s="940"/>
      <c r="F255" s="940"/>
      <c r="G255" s="940"/>
      <c r="H255" s="940"/>
      <c r="I255" s="940"/>
      <c r="J255" s="940"/>
      <c r="K255" s="940"/>
      <c r="L255" s="940"/>
      <c r="M255" s="940"/>
      <c r="N255" s="940"/>
      <c r="O255" s="940"/>
      <c r="P255" s="940"/>
      <c r="Q255" s="940"/>
      <c r="R255" s="940"/>
      <c r="S255" s="940"/>
      <c r="T255" s="941"/>
    </row>
    <row r="256" spans="2:20" ht="30" outlineLevel="1" x14ac:dyDescent="0.2">
      <c r="B256" s="60" t="s">
        <v>3814</v>
      </c>
      <c r="C256" s="683">
        <v>12</v>
      </c>
      <c r="D256" s="688" t="s">
        <v>46</v>
      </c>
      <c r="E256" s="940"/>
      <c r="F256" s="940"/>
      <c r="G256" s="940"/>
      <c r="H256" s="940"/>
      <c r="I256" s="940"/>
      <c r="J256" s="940"/>
      <c r="K256" s="940"/>
      <c r="L256" s="940"/>
      <c r="M256" s="940"/>
      <c r="N256" s="940"/>
      <c r="O256" s="940"/>
      <c r="P256" s="940"/>
      <c r="Q256" s="940"/>
      <c r="R256" s="940"/>
      <c r="S256" s="940"/>
      <c r="T256" s="941"/>
    </row>
    <row r="257" spans="2:20" outlineLevel="1" x14ac:dyDescent="0.3">
      <c r="B257" s="60" t="s">
        <v>3815</v>
      </c>
      <c r="C257" s="679">
        <v>13</v>
      </c>
      <c r="D257" s="694" t="s">
        <v>87</v>
      </c>
      <c r="E257" s="934"/>
      <c r="F257" s="934"/>
      <c r="G257" s="934"/>
      <c r="H257" s="934"/>
      <c r="I257" s="934"/>
      <c r="J257" s="934"/>
      <c r="K257" s="934"/>
      <c r="L257" s="934"/>
      <c r="M257" s="934"/>
      <c r="N257" s="934"/>
      <c r="O257" s="934"/>
      <c r="P257" s="934"/>
      <c r="Q257" s="934"/>
      <c r="R257" s="934"/>
      <c r="S257" s="934"/>
      <c r="T257" s="935"/>
    </row>
    <row r="258" spans="2:20" ht="30" outlineLevel="1" x14ac:dyDescent="0.2">
      <c r="B258" s="60" t="s">
        <v>3816</v>
      </c>
      <c r="C258" s="679">
        <v>14</v>
      </c>
      <c r="D258" s="687" t="s">
        <v>1143</v>
      </c>
      <c r="E258" s="934"/>
      <c r="F258" s="934"/>
      <c r="G258" s="934"/>
      <c r="H258" s="934"/>
      <c r="I258" s="934"/>
      <c r="J258" s="934"/>
      <c r="K258" s="934"/>
      <c r="L258" s="934"/>
      <c r="M258" s="934"/>
      <c r="N258" s="934"/>
      <c r="O258" s="934"/>
      <c r="P258" s="934"/>
      <c r="Q258" s="934"/>
      <c r="R258" s="934"/>
      <c r="S258" s="934"/>
      <c r="T258" s="935"/>
    </row>
    <row r="259" spans="2:20" ht="31.5" customHeight="1" outlineLevel="1" x14ac:dyDescent="0.2">
      <c r="B259" s="60" t="s">
        <v>3817</v>
      </c>
      <c r="C259" s="679">
        <v>15</v>
      </c>
      <c r="D259" s="695" t="s">
        <v>53</v>
      </c>
      <c r="E259" s="934">
        <f>SUM(E260:H261)</f>
        <v>0</v>
      </c>
      <c r="F259" s="934"/>
      <c r="G259" s="934"/>
      <c r="H259" s="934"/>
      <c r="I259" s="934">
        <f>SUM(I260:L261)</f>
        <v>0</v>
      </c>
      <c r="J259" s="934"/>
      <c r="K259" s="934"/>
      <c r="L259" s="934"/>
      <c r="M259" s="934">
        <f>SUM(M260:P261)</f>
        <v>0</v>
      </c>
      <c r="N259" s="934"/>
      <c r="O259" s="934"/>
      <c r="P259" s="934"/>
      <c r="Q259" s="934">
        <f>SUM(Q260:T261)</f>
        <v>0</v>
      </c>
      <c r="R259" s="934"/>
      <c r="S259" s="934"/>
      <c r="T259" s="935"/>
    </row>
    <row r="260" spans="2:20" outlineLevel="1" x14ac:dyDescent="0.3">
      <c r="B260" s="60" t="s">
        <v>3818</v>
      </c>
      <c r="C260" s="683">
        <v>16</v>
      </c>
      <c r="D260" s="682" t="s">
        <v>54</v>
      </c>
      <c r="E260" s="940"/>
      <c r="F260" s="940"/>
      <c r="G260" s="940"/>
      <c r="H260" s="940"/>
      <c r="I260" s="940"/>
      <c r="J260" s="940"/>
      <c r="K260" s="940"/>
      <c r="L260" s="940"/>
      <c r="M260" s="940"/>
      <c r="N260" s="940"/>
      <c r="O260" s="940"/>
      <c r="P260" s="940"/>
      <c r="Q260" s="940"/>
      <c r="R260" s="940"/>
      <c r="S260" s="940"/>
      <c r="T260" s="941"/>
    </row>
    <row r="261" spans="2:20" ht="30" outlineLevel="1" x14ac:dyDescent="0.2">
      <c r="B261" s="60" t="s">
        <v>3819</v>
      </c>
      <c r="C261" s="683">
        <v>17</v>
      </c>
      <c r="D261" s="684" t="s">
        <v>1144</v>
      </c>
      <c r="E261" s="940"/>
      <c r="F261" s="940"/>
      <c r="G261" s="940"/>
      <c r="H261" s="940"/>
      <c r="I261" s="940"/>
      <c r="J261" s="940"/>
      <c r="K261" s="940"/>
      <c r="L261" s="940"/>
      <c r="M261" s="940"/>
      <c r="N261" s="940"/>
      <c r="O261" s="940"/>
      <c r="P261" s="940"/>
      <c r="Q261" s="940"/>
      <c r="R261" s="940"/>
      <c r="S261" s="940"/>
      <c r="T261" s="941"/>
    </row>
    <row r="262" spans="2:20" ht="30" outlineLevel="1" x14ac:dyDescent="0.2">
      <c r="B262" s="60" t="s">
        <v>3820</v>
      </c>
      <c r="C262" s="679">
        <v>18</v>
      </c>
      <c r="D262" s="687" t="s">
        <v>1158</v>
      </c>
      <c r="E262" s="934"/>
      <c r="F262" s="934"/>
      <c r="G262" s="934"/>
      <c r="H262" s="934"/>
      <c r="I262" s="934"/>
      <c r="J262" s="934"/>
      <c r="K262" s="934"/>
      <c r="L262" s="934"/>
      <c r="M262" s="934"/>
      <c r="N262" s="934"/>
      <c r="O262" s="934"/>
      <c r="P262" s="934"/>
      <c r="Q262" s="934"/>
      <c r="R262" s="934"/>
      <c r="S262" s="934"/>
      <c r="T262" s="935"/>
    </row>
    <row r="263" spans="2:20" ht="30" customHeight="1" outlineLevel="1" x14ac:dyDescent="0.2">
      <c r="B263" s="60" t="s">
        <v>3821</v>
      </c>
      <c r="C263" s="679">
        <v>19</v>
      </c>
      <c r="D263" s="695" t="s">
        <v>3398</v>
      </c>
      <c r="E263" s="934">
        <f>SUM(E264:H265)</f>
        <v>0</v>
      </c>
      <c r="F263" s="934"/>
      <c r="G263" s="934"/>
      <c r="H263" s="934"/>
      <c r="I263" s="934">
        <f>SUM(I264:L265)</f>
        <v>0</v>
      </c>
      <c r="J263" s="934"/>
      <c r="K263" s="934"/>
      <c r="L263" s="934"/>
      <c r="M263" s="934">
        <f>SUM(M264:P265)</f>
        <v>0</v>
      </c>
      <c r="N263" s="934"/>
      <c r="O263" s="934"/>
      <c r="P263" s="934"/>
      <c r="Q263" s="934">
        <f>SUM(Q264:T265)</f>
        <v>0</v>
      </c>
      <c r="R263" s="934"/>
      <c r="S263" s="934"/>
      <c r="T263" s="935"/>
    </row>
    <row r="264" spans="2:20" outlineLevel="1" x14ac:dyDescent="0.3">
      <c r="B264" s="60" t="s">
        <v>3822</v>
      </c>
      <c r="C264" s="683">
        <v>20</v>
      </c>
      <c r="D264" s="682" t="s">
        <v>1160</v>
      </c>
      <c r="E264" s="940"/>
      <c r="F264" s="940"/>
      <c r="G264" s="940"/>
      <c r="H264" s="940"/>
      <c r="I264" s="940"/>
      <c r="J264" s="940"/>
      <c r="K264" s="940"/>
      <c r="L264" s="940"/>
      <c r="M264" s="940"/>
      <c r="N264" s="940"/>
      <c r="O264" s="940"/>
      <c r="P264" s="940"/>
      <c r="Q264" s="940"/>
      <c r="R264" s="940"/>
      <c r="S264" s="940"/>
      <c r="T264" s="941"/>
    </row>
    <row r="265" spans="2:20" ht="30" outlineLevel="1" x14ac:dyDescent="0.2">
      <c r="B265" s="60" t="s">
        <v>3823</v>
      </c>
      <c r="C265" s="683">
        <v>21</v>
      </c>
      <c r="D265" s="684" t="s">
        <v>1161</v>
      </c>
      <c r="E265" s="940"/>
      <c r="F265" s="940"/>
      <c r="G265" s="940"/>
      <c r="H265" s="940"/>
      <c r="I265" s="940"/>
      <c r="J265" s="940"/>
      <c r="K265" s="940"/>
      <c r="L265" s="940"/>
      <c r="M265" s="940"/>
      <c r="N265" s="940"/>
      <c r="O265" s="940"/>
      <c r="P265" s="940"/>
      <c r="Q265" s="940"/>
      <c r="R265" s="940"/>
      <c r="S265" s="940"/>
      <c r="T265" s="941"/>
    </row>
    <row r="266" spans="2:20" outlineLevel="1" x14ac:dyDescent="0.3">
      <c r="B266" s="60" t="s">
        <v>3824</v>
      </c>
      <c r="C266" s="679">
        <v>22</v>
      </c>
      <c r="D266" s="680" t="s">
        <v>84</v>
      </c>
      <c r="E266" s="934"/>
      <c r="F266" s="934"/>
      <c r="G266" s="934"/>
      <c r="H266" s="934"/>
      <c r="I266" s="934"/>
      <c r="J266" s="934"/>
      <c r="K266" s="934"/>
      <c r="L266" s="934"/>
      <c r="M266" s="934"/>
      <c r="N266" s="934"/>
      <c r="O266" s="934"/>
      <c r="P266" s="934"/>
      <c r="Q266" s="934"/>
      <c r="R266" s="934"/>
      <c r="S266" s="934"/>
      <c r="T266" s="935"/>
    </row>
    <row r="267" spans="2:20" ht="30" outlineLevel="1" x14ac:dyDescent="0.2">
      <c r="B267" s="60" t="s">
        <v>3825</v>
      </c>
      <c r="C267" s="679">
        <v>23</v>
      </c>
      <c r="D267" s="687" t="s">
        <v>4639</v>
      </c>
      <c r="E267" s="934"/>
      <c r="F267" s="934"/>
      <c r="G267" s="934"/>
      <c r="H267" s="934"/>
      <c r="I267" s="934"/>
      <c r="J267" s="934"/>
      <c r="K267" s="934"/>
      <c r="L267" s="934"/>
      <c r="M267" s="934"/>
      <c r="N267" s="934"/>
      <c r="O267" s="934"/>
      <c r="P267" s="934"/>
      <c r="Q267" s="934"/>
      <c r="R267" s="934"/>
      <c r="S267" s="934"/>
      <c r="T267" s="935"/>
    </row>
    <row r="268" spans="2:20" outlineLevel="1" x14ac:dyDescent="0.3">
      <c r="B268" s="60" t="s">
        <v>3826</v>
      </c>
      <c r="C268" s="679">
        <v>24</v>
      </c>
      <c r="D268" s="680" t="s">
        <v>85</v>
      </c>
      <c r="E268" s="934"/>
      <c r="F268" s="934"/>
      <c r="G268" s="934"/>
      <c r="H268" s="934"/>
      <c r="I268" s="934"/>
      <c r="J268" s="934"/>
      <c r="K268" s="934"/>
      <c r="L268" s="934"/>
      <c r="M268" s="934"/>
      <c r="N268" s="934"/>
      <c r="O268" s="934"/>
      <c r="P268" s="934"/>
      <c r="Q268" s="934"/>
      <c r="R268" s="934"/>
      <c r="S268" s="934"/>
      <c r="T268" s="935"/>
    </row>
    <row r="269" spans="2:20" outlineLevel="1" x14ac:dyDescent="0.3">
      <c r="B269" s="60" t="s">
        <v>3827</v>
      </c>
      <c r="C269" s="679">
        <v>25</v>
      </c>
      <c r="D269" s="680" t="s">
        <v>1146</v>
      </c>
      <c r="E269" s="934">
        <f>SUM(E270:H272)</f>
        <v>0</v>
      </c>
      <c r="F269" s="934"/>
      <c r="G269" s="934"/>
      <c r="H269" s="934"/>
      <c r="I269" s="934">
        <f>SUM(I270:L272)</f>
        <v>0</v>
      </c>
      <c r="J269" s="934"/>
      <c r="K269" s="934"/>
      <c r="L269" s="934"/>
      <c r="M269" s="934">
        <f>SUM(M270:P272)</f>
        <v>0</v>
      </c>
      <c r="N269" s="934"/>
      <c r="O269" s="934"/>
      <c r="P269" s="934"/>
      <c r="Q269" s="934">
        <f>SUM(Q270:T272)</f>
        <v>0</v>
      </c>
      <c r="R269" s="934"/>
      <c r="S269" s="934"/>
      <c r="T269" s="935"/>
    </row>
    <row r="270" spans="2:20" ht="30" outlineLevel="1" x14ac:dyDescent="0.2">
      <c r="B270" s="60" t="s">
        <v>3828</v>
      </c>
      <c r="C270" s="683">
        <v>26</v>
      </c>
      <c r="D270" s="684" t="s">
        <v>41</v>
      </c>
      <c r="E270" s="940"/>
      <c r="F270" s="940"/>
      <c r="G270" s="940"/>
      <c r="H270" s="940"/>
      <c r="I270" s="940"/>
      <c r="J270" s="940"/>
      <c r="K270" s="940"/>
      <c r="L270" s="940"/>
      <c r="M270" s="940"/>
      <c r="N270" s="940"/>
      <c r="O270" s="940"/>
      <c r="P270" s="940"/>
      <c r="Q270" s="940"/>
      <c r="R270" s="940"/>
      <c r="S270" s="940"/>
      <c r="T270" s="941"/>
    </row>
    <row r="271" spans="2:20" outlineLevel="1" x14ac:dyDescent="0.3">
      <c r="B271" s="60" t="s">
        <v>3829</v>
      </c>
      <c r="C271" s="683">
        <v>27</v>
      </c>
      <c r="D271" s="682" t="s">
        <v>47</v>
      </c>
      <c r="E271" s="940"/>
      <c r="F271" s="940"/>
      <c r="G271" s="940"/>
      <c r="H271" s="940"/>
      <c r="I271" s="940"/>
      <c r="J271" s="940"/>
      <c r="K271" s="940"/>
      <c r="L271" s="940"/>
      <c r="M271" s="940"/>
      <c r="N271" s="940"/>
      <c r="O271" s="940"/>
      <c r="P271" s="940"/>
      <c r="Q271" s="940"/>
      <c r="R271" s="940"/>
      <c r="S271" s="940"/>
      <c r="T271" s="941"/>
    </row>
    <row r="272" spans="2:20" outlineLevel="1" x14ac:dyDescent="0.3">
      <c r="B272" s="60" t="s">
        <v>3830</v>
      </c>
      <c r="C272" s="683">
        <v>28</v>
      </c>
      <c r="D272" s="682" t="s">
        <v>48</v>
      </c>
      <c r="E272" s="940"/>
      <c r="F272" s="940"/>
      <c r="G272" s="940"/>
      <c r="H272" s="940"/>
      <c r="I272" s="940"/>
      <c r="J272" s="940"/>
      <c r="K272" s="940"/>
      <c r="L272" s="940"/>
      <c r="M272" s="940"/>
      <c r="N272" s="940"/>
      <c r="O272" s="940"/>
      <c r="P272" s="940"/>
      <c r="Q272" s="940"/>
      <c r="R272" s="940"/>
      <c r="S272" s="940"/>
      <c r="T272" s="941"/>
    </row>
    <row r="273" spans="2:20" outlineLevel="1" x14ac:dyDescent="0.3">
      <c r="B273" s="60" t="s">
        <v>3831</v>
      </c>
      <c r="C273" s="679">
        <v>29</v>
      </c>
      <c r="D273" s="694" t="s">
        <v>86</v>
      </c>
      <c r="E273" s="934"/>
      <c r="F273" s="934"/>
      <c r="G273" s="934"/>
      <c r="H273" s="934"/>
      <c r="I273" s="934"/>
      <c r="J273" s="934"/>
      <c r="K273" s="934"/>
      <c r="L273" s="934"/>
      <c r="M273" s="934"/>
      <c r="N273" s="934"/>
      <c r="O273" s="934"/>
      <c r="P273" s="934"/>
      <c r="Q273" s="934"/>
      <c r="R273" s="934"/>
      <c r="S273" s="934"/>
      <c r="T273" s="935"/>
    </row>
    <row r="274" spans="2:20" ht="45" outlineLevel="1" x14ac:dyDescent="0.2">
      <c r="B274" s="60" t="s">
        <v>3832</v>
      </c>
      <c r="C274" s="679">
        <v>30</v>
      </c>
      <c r="D274" s="687" t="s">
        <v>4640</v>
      </c>
      <c r="E274" s="934">
        <f>SUM(E275:H277)</f>
        <v>0</v>
      </c>
      <c r="F274" s="934"/>
      <c r="G274" s="934"/>
      <c r="H274" s="934"/>
      <c r="I274" s="934">
        <f>SUM(I275:L277)</f>
        <v>0</v>
      </c>
      <c r="J274" s="934"/>
      <c r="K274" s="934"/>
      <c r="L274" s="934"/>
      <c r="M274" s="934">
        <f>SUM(M275:P277)</f>
        <v>0</v>
      </c>
      <c r="N274" s="934"/>
      <c r="O274" s="934"/>
      <c r="P274" s="934"/>
      <c r="Q274" s="934">
        <f>SUM(Q275:T277)</f>
        <v>0</v>
      </c>
      <c r="R274" s="934"/>
      <c r="S274" s="934"/>
      <c r="T274" s="935"/>
    </row>
    <row r="275" spans="2:20" outlineLevel="1" x14ac:dyDescent="0.3">
      <c r="B275" s="60" t="s">
        <v>3833</v>
      </c>
      <c r="C275" s="683">
        <v>31</v>
      </c>
      <c r="D275" s="693" t="s">
        <v>49</v>
      </c>
      <c r="E275" s="940"/>
      <c r="F275" s="940"/>
      <c r="G275" s="940"/>
      <c r="H275" s="940"/>
      <c r="I275" s="940"/>
      <c r="J275" s="940"/>
      <c r="K275" s="940"/>
      <c r="L275" s="940"/>
      <c r="M275" s="940"/>
      <c r="N275" s="940"/>
      <c r="O275" s="940"/>
      <c r="P275" s="940"/>
      <c r="Q275" s="940"/>
      <c r="R275" s="940"/>
      <c r="S275" s="940"/>
      <c r="T275" s="941"/>
    </row>
    <row r="276" spans="2:20" outlineLevel="1" x14ac:dyDescent="0.3">
      <c r="B276" s="60" t="s">
        <v>3834</v>
      </c>
      <c r="C276" s="683">
        <v>32</v>
      </c>
      <c r="D276" s="693" t="s">
        <v>50</v>
      </c>
      <c r="E276" s="940"/>
      <c r="F276" s="940"/>
      <c r="G276" s="940"/>
      <c r="H276" s="940"/>
      <c r="I276" s="940"/>
      <c r="J276" s="940"/>
      <c r="K276" s="940"/>
      <c r="L276" s="940"/>
      <c r="M276" s="940"/>
      <c r="N276" s="940"/>
      <c r="O276" s="940"/>
      <c r="P276" s="940"/>
      <c r="Q276" s="940"/>
      <c r="R276" s="940"/>
      <c r="S276" s="940"/>
      <c r="T276" s="941"/>
    </row>
    <row r="277" spans="2:20" outlineLevel="1" x14ac:dyDescent="0.3">
      <c r="B277" s="60" t="s">
        <v>3835</v>
      </c>
      <c r="C277" s="683">
        <v>33</v>
      </c>
      <c r="D277" s="693" t="s">
        <v>1159</v>
      </c>
      <c r="E277" s="940"/>
      <c r="F277" s="940"/>
      <c r="G277" s="940"/>
      <c r="H277" s="940"/>
      <c r="I277" s="940"/>
      <c r="J277" s="940"/>
      <c r="K277" s="940"/>
      <c r="L277" s="940"/>
      <c r="M277" s="940"/>
      <c r="N277" s="940"/>
      <c r="O277" s="940"/>
      <c r="P277" s="940"/>
      <c r="Q277" s="940"/>
      <c r="R277" s="940"/>
      <c r="S277" s="940"/>
      <c r="T277" s="941"/>
    </row>
    <row r="278" spans="2:20" outlineLevel="1" x14ac:dyDescent="0.3">
      <c r="B278" s="60" t="s">
        <v>3836</v>
      </c>
      <c r="C278" s="696">
        <v>34</v>
      </c>
      <c r="D278" s="694" t="s">
        <v>52</v>
      </c>
      <c r="E278" s="942"/>
      <c r="F278" s="943"/>
      <c r="G278" s="943"/>
      <c r="H278" s="943"/>
      <c r="I278" s="934"/>
      <c r="J278" s="934"/>
      <c r="K278" s="934"/>
      <c r="L278" s="934"/>
      <c r="M278" s="934"/>
      <c r="N278" s="934"/>
      <c r="O278" s="934"/>
      <c r="P278" s="934"/>
      <c r="Q278" s="934"/>
      <c r="R278" s="934"/>
      <c r="S278" s="934"/>
      <c r="T278" s="935"/>
    </row>
    <row r="279" spans="2:20" ht="33.75" customHeight="1" thickBot="1" x14ac:dyDescent="0.25">
      <c r="B279" s="491" t="s">
        <v>3837</v>
      </c>
      <c r="C279" s="952" t="s">
        <v>1151</v>
      </c>
      <c r="D279" s="953"/>
      <c r="E279" s="936">
        <f>E245+E246+E249+E250+E253+E257+E258+E259+E262+E263+E266+E267+E268+E269+E273+E274+E278</f>
        <v>0</v>
      </c>
      <c r="F279" s="937"/>
      <c r="G279" s="937"/>
      <c r="H279" s="939"/>
      <c r="I279" s="936">
        <f>I245+I246+I249+I250+I253+I257+I258+I259+I262+I263+I266+I267+I268+I269+I273+I274+I278</f>
        <v>0</v>
      </c>
      <c r="J279" s="937"/>
      <c r="K279" s="937"/>
      <c r="L279" s="939"/>
      <c r="M279" s="936">
        <f>M245+M246+M249+M250+M253+M257+M258+M259+M262+M263+M266+M267+M268+M269+M273+M274+M278</f>
        <v>0</v>
      </c>
      <c r="N279" s="937"/>
      <c r="O279" s="937"/>
      <c r="P279" s="939"/>
      <c r="Q279" s="936">
        <f>Q245+Q246+Q249+Q250+Q253+Q257+Q258+Q259+Q262+Q263+Q266+Q267+Q268+Q269+Q273+Q274+Q278</f>
        <v>0</v>
      </c>
      <c r="R279" s="937"/>
      <c r="S279" s="937"/>
      <c r="T279" s="938"/>
    </row>
    <row r="280" spans="2:20" s="138" customFormat="1" x14ac:dyDescent="0.2">
      <c r="C280" s="315"/>
      <c r="D280" s="24"/>
      <c r="E280" s="330"/>
      <c r="F280" s="330"/>
      <c r="G280" s="330"/>
      <c r="H280" s="330"/>
      <c r="I280" s="330"/>
      <c r="J280" s="330"/>
      <c r="K280" s="330"/>
      <c r="L280" s="330"/>
      <c r="M280" s="330"/>
      <c r="N280" s="330"/>
      <c r="O280" s="330"/>
      <c r="P280" s="330"/>
      <c r="Q280" s="330"/>
      <c r="R280" s="330"/>
      <c r="S280" s="330"/>
      <c r="T280" s="330"/>
    </row>
    <row r="281" spans="2:20" s="138" customFormat="1" x14ac:dyDescent="0.3">
      <c r="C281" s="782"/>
      <c r="D281" s="782"/>
      <c r="E281" s="782"/>
      <c r="F281" s="782"/>
      <c r="G281" s="782"/>
      <c r="H281" s="782"/>
      <c r="I281" s="782"/>
      <c r="J281" s="782"/>
      <c r="K281" s="330"/>
      <c r="L281" s="330"/>
      <c r="M281" s="330"/>
      <c r="N281" s="330"/>
      <c r="O281" s="330"/>
      <c r="P281" s="330"/>
      <c r="Q281" s="330"/>
      <c r="R281" s="330"/>
      <c r="S281" s="330"/>
      <c r="T281" s="330"/>
    </row>
    <row r="282" spans="2:20" s="138" customFormat="1" ht="9" customHeight="1" x14ac:dyDescent="0.2">
      <c r="C282" s="845"/>
      <c r="D282" s="845"/>
      <c r="E282" s="845"/>
      <c r="F282" s="625"/>
      <c r="G282" s="625"/>
      <c r="H282" s="625"/>
      <c r="I282" s="633"/>
      <c r="J282" s="330"/>
      <c r="K282" s="330"/>
      <c r="L282" s="330"/>
      <c r="M282" s="330"/>
      <c r="N282" s="330"/>
      <c r="O282" s="330"/>
      <c r="P282" s="330"/>
      <c r="Q282" s="330"/>
      <c r="R282" s="330"/>
      <c r="S282" s="330"/>
      <c r="T282" s="330"/>
    </row>
    <row r="283" spans="2:20" s="138" customFormat="1" x14ac:dyDescent="0.3">
      <c r="C283" s="782"/>
      <c r="D283" s="782"/>
      <c r="E283" s="782"/>
      <c r="F283" s="782"/>
      <c r="G283" s="782"/>
      <c r="H283" s="782"/>
      <c r="I283" s="782"/>
      <c r="J283" s="782"/>
      <c r="K283" s="330"/>
      <c r="L283" s="330"/>
      <c r="M283" s="330"/>
      <c r="N283" s="330"/>
      <c r="O283" s="330"/>
      <c r="P283" s="330"/>
      <c r="Q283" s="330"/>
      <c r="R283" s="330"/>
      <c r="S283" s="330"/>
      <c r="T283" s="330"/>
    </row>
    <row r="284" spans="2:20" s="138" customFormat="1" ht="9" customHeight="1" x14ac:dyDescent="0.2">
      <c r="C284" s="1011"/>
      <c r="D284" s="1011"/>
      <c r="E284" s="1011"/>
      <c r="F284" s="31"/>
      <c r="G284" s="31"/>
      <c r="H284" s="31"/>
      <c r="I284" s="330"/>
      <c r="J284" s="330"/>
      <c r="K284" s="330"/>
      <c r="L284" s="330"/>
      <c r="M284" s="330"/>
      <c r="N284" s="330"/>
      <c r="O284" s="330"/>
      <c r="P284" s="330"/>
      <c r="Q284" s="330"/>
      <c r="R284" s="330"/>
      <c r="S284" s="330"/>
      <c r="T284" s="330"/>
    </row>
    <row r="285" spans="2:20" s="138" customFormat="1" x14ac:dyDescent="0.3">
      <c r="C285" s="782"/>
      <c r="D285" s="782"/>
      <c r="E285" s="782"/>
      <c r="F285" s="782"/>
      <c r="G285" s="782"/>
      <c r="H285" s="782"/>
      <c r="I285" s="782"/>
      <c r="J285" s="782"/>
      <c r="K285" s="330"/>
      <c r="L285" s="330"/>
      <c r="M285" s="330"/>
      <c r="N285" s="330"/>
      <c r="O285" s="330"/>
      <c r="P285" s="330"/>
      <c r="Q285" s="330"/>
      <c r="R285" s="330"/>
      <c r="S285" s="330"/>
      <c r="T285" s="330"/>
    </row>
    <row r="286" spans="2:20" s="138" customFormat="1" x14ac:dyDescent="0.2">
      <c r="C286" s="315"/>
      <c r="D286" s="24"/>
      <c r="E286" s="330"/>
      <c r="F286" s="330"/>
      <c r="G286" s="330"/>
      <c r="H286" s="330"/>
      <c r="I286" s="330"/>
      <c r="J286" s="330"/>
      <c r="K286" s="330"/>
      <c r="L286" s="330"/>
      <c r="M286" s="330"/>
      <c r="N286" s="330"/>
      <c r="O286" s="330"/>
      <c r="P286" s="330"/>
      <c r="Q286" s="330"/>
      <c r="R286" s="330"/>
      <c r="S286" s="330"/>
      <c r="T286" s="330"/>
    </row>
    <row r="288" spans="2:20" ht="15.75" thickBot="1" x14ac:dyDescent="0.25">
      <c r="C288" s="915" t="s">
        <v>42</v>
      </c>
      <c r="D288" s="915"/>
      <c r="E288" s="915"/>
      <c r="F288" s="915"/>
      <c r="G288" s="915"/>
      <c r="H288" s="915"/>
      <c r="I288" s="915"/>
      <c r="J288" s="915"/>
      <c r="K288" s="915"/>
      <c r="L288" s="915"/>
      <c r="M288" s="915"/>
      <c r="N288" s="915"/>
      <c r="O288" s="915"/>
      <c r="P288" s="915"/>
      <c r="Q288" s="915"/>
      <c r="R288" s="915"/>
      <c r="S288" s="844" t="s">
        <v>1180</v>
      </c>
      <c r="T288" s="844"/>
    </row>
    <row r="289" spans="2:20" ht="18" customHeight="1" x14ac:dyDescent="0.2">
      <c r="B289" s="602"/>
      <c r="C289" s="959" t="s">
        <v>1211</v>
      </c>
      <c r="D289" s="931" t="s">
        <v>95</v>
      </c>
      <c r="E289" s="997" t="s">
        <v>3330</v>
      </c>
      <c r="F289" s="997"/>
      <c r="G289" s="997"/>
      <c r="H289" s="997"/>
      <c r="I289" s="997"/>
      <c r="J289" s="997"/>
      <c r="K289" s="997"/>
      <c r="L289" s="997"/>
      <c r="M289" s="997" t="s">
        <v>3331</v>
      </c>
      <c r="N289" s="997"/>
      <c r="O289" s="997"/>
      <c r="P289" s="997"/>
      <c r="Q289" s="997"/>
      <c r="R289" s="997"/>
      <c r="S289" s="997"/>
      <c r="T289" s="998"/>
    </row>
    <row r="290" spans="2:20" ht="13.5" customHeight="1" x14ac:dyDescent="0.2">
      <c r="B290" s="603"/>
      <c r="C290" s="961"/>
      <c r="D290" s="933"/>
      <c r="E290" s="990" t="s">
        <v>104</v>
      </c>
      <c r="F290" s="990"/>
      <c r="G290" s="990"/>
      <c r="H290" s="990"/>
      <c r="I290" s="990" t="s">
        <v>101</v>
      </c>
      <c r="J290" s="990"/>
      <c r="K290" s="990"/>
      <c r="L290" s="990"/>
      <c r="M290" s="990" t="s">
        <v>104</v>
      </c>
      <c r="N290" s="990"/>
      <c r="O290" s="990"/>
      <c r="P290" s="990"/>
      <c r="Q290" s="990" t="s">
        <v>101</v>
      </c>
      <c r="R290" s="990"/>
      <c r="S290" s="990"/>
      <c r="T290" s="991"/>
    </row>
    <row r="291" spans="2:20" s="79" customFormat="1" outlineLevel="1" x14ac:dyDescent="0.2">
      <c r="B291" s="603"/>
      <c r="C291" s="634"/>
      <c r="D291" s="343"/>
      <c r="E291" s="947" t="s">
        <v>401</v>
      </c>
      <c r="F291" s="947"/>
      <c r="G291" s="947"/>
      <c r="H291" s="947"/>
      <c r="I291" s="977" t="s">
        <v>402</v>
      </c>
      <c r="J291" s="977"/>
      <c r="K291" s="977"/>
      <c r="L291" s="977"/>
      <c r="M291" s="977" t="s">
        <v>403</v>
      </c>
      <c r="N291" s="977"/>
      <c r="O291" s="977"/>
      <c r="P291" s="977"/>
      <c r="Q291" s="977" t="s">
        <v>404</v>
      </c>
      <c r="R291" s="977"/>
      <c r="S291" s="977"/>
      <c r="T291" s="989"/>
    </row>
    <row r="292" spans="2:20" outlineLevel="1" x14ac:dyDescent="0.2">
      <c r="B292" s="60" t="s">
        <v>3838</v>
      </c>
      <c r="C292" s="679">
        <v>1</v>
      </c>
      <c r="D292" s="687" t="s">
        <v>83</v>
      </c>
      <c r="E292" s="934"/>
      <c r="F292" s="934"/>
      <c r="G292" s="934"/>
      <c r="H292" s="934"/>
      <c r="I292" s="934"/>
      <c r="J292" s="934"/>
      <c r="K292" s="934"/>
      <c r="L292" s="934"/>
      <c r="M292" s="934"/>
      <c r="N292" s="934"/>
      <c r="O292" s="934"/>
      <c r="P292" s="934"/>
      <c r="Q292" s="934"/>
      <c r="R292" s="934"/>
      <c r="S292" s="934"/>
      <c r="T292" s="935"/>
    </row>
    <row r="293" spans="2:20" outlineLevel="1" x14ac:dyDescent="0.2">
      <c r="B293" s="60" t="s">
        <v>3839</v>
      </c>
      <c r="C293" s="679">
        <v>2</v>
      </c>
      <c r="D293" s="695" t="s">
        <v>1202</v>
      </c>
      <c r="E293" s="934">
        <f>SUM(E294:H295)</f>
        <v>0</v>
      </c>
      <c r="F293" s="934"/>
      <c r="G293" s="934"/>
      <c r="H293" s="934"/>
      <c r="I293" s="934">
        <f>SUM(I294:L295)</f>
        <v>0</v>
      </c>
      <c r="J293" s="934"/>
      <c r="K293" s="934"/>
      <c r="L293" s="934"/>
      <c r="M293" s="934">
        <f>SUM(M294:P295)</f>
        <v>0</v>
      </c>
      <c r="N293" s="934"/>
      <c r="O293" s="934"/>
      <c r="P293" s="934"/>
      <c r="Q293" s="934">
        <f>SUM(Q294:T295)</f>
        <v>0</v>
      </c>
      <c r="R293" s="934"/>
      <c r="S293" s="934"/>
      <c r="T293" s="935"/>
    </row>
    <row r="294" spans="2:20" outlineLevel="1" x14ac:dyDescent="0.2">
      <c r="B294" s="60" t="s">
        <v>3840</v>
      </c>
      <c r="C294" s="683">
        <v>3</v>
      </c>
      <c r="D294" s="692" t="s">
        <v>1200</v>
      </c>
      <c r="E294" s="940"/>
      <c r="F294" s="940"/>
      <c r="G294" s="940"/>
      <c r="H294" s="940"/>
      <c r="I294" s="940"/>
      <c r="J294" s="940"/>
      <c r="K294" s="940"/>
      <c r="L294" s="940"/>
      <c r="M294" s="940"/>
      <c r="N294" s="940"/>
      <c r="O294" s="940"/>
      <c r="P294" s="940"/>
      <c r="Q294" s="940"/>
      <c r="R294" s="940"/>
      <c r="S294" s="940"/>
      <c r="T294" s="941"/>
    </row>
    <row r="295" spans="2:20" ht="30" outlineLevel="1" x14ac:dyDescent="0.2">
      <c r="B295" s="60" t="s">
        <v>3841</v>
      </c>
      <c r="C295" s="683">
        <v>4</v>
      </c>
      <c r="D295" s="684" t="s">
        <v>1201</v>
      </c>
      <c r="E295" s="940"/>
      <c r="F295" s="940"/>
      <c r="G295" s="940"/>
      <c r="H295" s="940"/>
      <c r="I295" s="940"/>
      <c r="J295" s="940"/>
      <c r="K295" s="940"/>
      <c r="L295" s="940"/>
      <c r="M295" s="940"/>
      <c r="N295" s="940"/>
      <c r="O295" s="940"/>
      <c r="P295" s="940"/>
      <c r="Q295" s="940"/>
      <c r="R295" s="940"/>
      <c r="S295" s="940"/>
      <c r="T295" s="941"/>
    </row>
    <row r="296" spans="2:20" outlineLevel="1" x14ac:dyDescent="0.2">
      <c r="B296" s="60" t="s">
        <v>3842</v>
      </c>
      <c r="C296" s="679">
        <v>5</v>
      </c>
      <c r="D296" s="695" t="s">
        <v>51</v>
      </c>
      <c r="E296" s="934"/>
      <c r="F296" s="934"/>
      <c r="G296" s="934"/>
      <c r="H296" s="934"/>
      <c r="I296" s="934"/>
      <c r="J296" s="934"/>
      <c r="K296" s="934"/>
      <c r="L296" s="934"/>
      <c r="M296" s="934"/>
      <c r="N296" s="934"/>
      <c r="O296" s="934"/>
      <c r="P296" s="934"/>
      <c r="Q296" s="934"/>
      <c r="R296" s="934"/>
      <c r="S296" s="934"/>
      <c r="T296" s="935"/>
    </row>
    <row r="297" spans="2:20" ht="30" outlineLevel="1" x14ac:dyDescent="0.2">
      <c r="B297" s="60" t="s">
        <v>3843</v>
      </c>
      <c r="C297" s="679">
        <v>6</v>
      </c>
      <c r="D297" s="695" t="s">
        <v>1203</v>
      </c>
      <c r="E297" s="934">
        <f>SUM(E298:H299)</f>
        <v>0</v>
      </c>
      <c r="F297" s="934"/>
      <c r="G297" s="934"/>
      <c r="H297" s="934"/>
      <c r="I297" s="934">
        <f>SUM(I298:L299)</f>
        <v>0</v>
      </c>
      <c r="J297" s="934"/>
      <c r="K297" s="934"/>
      <c r="L297" s="934"/>
      <c r="M297" s="934">
        <f>SUM(M298:P299)</f>
        <v>0</v>
      </c>
      <c r="N297" s="934"/>
      <c r="O297" s="934"/>
      <c r="P297" s="934"/>
      <c r="Q297" s="934">
        <f>SUM(Q298:T299)</f>
        <v>0</v>
      </c>
      <c r="R297" s="934"/>
      <c r="S297" s="934"/>
      <c r="T297" s="935"/>
    </row>
    <row r="298" spans="2:20" ht="30" outlineLevel="1" x14ac:dyDescent="0.2">
      <c r="B298" s="60" t="s">
        <v>3844</v>
      </c>
      <c r="C298" s="683">
        <v>7</v>
      </c>
      <c r="D298" s="684" t="s">
        <v>43</v>
      </c>
      <c r="E298" s="940"/>
      <c r="F298" s="940"/>
      <c r="G298" s="940"/>
      <c r="H298" s="940"/>
      <c r="I298" s="940"/>
      <c r="J298" s="940"/>
      <c r="K298" s="940"/>
      <c r="L298" s="940"/>
      <c r="M298" s="940"/>
      <c r="N298" s="940"/>
      <c r="O298" s="940"/>
      <c r="P298" s="940"/>
      <c r="Q298" s="940"/>
      <c r="R298" s="940"/>
      <c r="S298" s="940"/>
      <c r="T298" s="941"/>
    </row>
    <row r="299" spans="2:20" outlineLevel="1" x14ac:dyDescent="0.2">
      <c r="B299" s="60" t="s">
        <v>3845</v>
      </c>
      <c r="C299" s="683">
        <v>8</v>
      </c>
      <c r="D299" s="684" t="s">
        <v>44</v>
      </c>
      <c r="E299" s="940"/>
      <c r="F299" s="940"/>
      <c r="G299" s="940"/>
      <c r="H299" s="940"/>
      <c r="I299" s="940"/>
      <c r="J299" s="940"/>
      <c r="K299" s="940"/>
      <c r="L299" s="940"/>
      <c r="M299" s="940"/>
      <c r="N299" s="940"/>
      <c r="O299" s="940"/>
      <c r="P299" s="940"/>
      <c r="Q299" s="940"/>
      <c r="R299" s="940"/>
      <c r="S299" s="940"/>
      <c r="T299" s="941"/>
    </row>
    <row r="300" spans="2:20" ht="45" outlineLevel="1" x14ac:dyDescent="0.2">
      <c r="B300" s="60" t="s">
        <v>3846</v>
      </c>
      <c r="C300" s="679">
        <v>9</v>
      </c>
      <c r="D300" s="695" t="s">
        <v>1204</v>
      </c>
      <c r="E300" s="942">
        <f>SUM(E301:H303)</f>
        <v>0</v>
      </c>
      <c r="F300" s="943"/>
      <c r="G300" s="943"/>
      <c r="H300" s="944"/>
      <c r="I300" s="942">
        <f>SUM(I301:L303)</f>
        <v>0</v>
      </c>
      <c r="J300" s="943"/>
      <c r="K300" s="943"/>
      <c r="L300" s="944"/>
      <c r="M300" s="942">
        <f>SUM(M301:P303)</f>
        <v>0</v>
      </c>
      <c r="N300" s="943"/>
      <c r="O300" s="943"/>
      <c r="P300" s="944"/>
      <c r="Q300" s="942">
        <f>SUM(Q301:T303)</f>
        <v>0</v>
      </c>
      <c r="R300" s="943"/>
      <c r="S300" s="943"/>
      <c r="T300" s="1006"/>
    </row>
    <row r="301" spans="2:20" ht="30" outlineLevel="1" x14ac:dyDescent="0.2">
      <c r="B301" s="60" t="s">
        <v>3847</v>
      </c>
      <c r="C301" s="683">
        <v>10</v>
      </c>
      <c r="D301" s="684" t="s">
        <v>1157</v>
      </c>
      <c r="E301" s="940"/>
      <c r="F301" s="940"/>
      <c r="G301" s="940"/>
      <c r="H301" s="940"/>
      <c r="I301" s="940"/>
      <c r="J301" s="940"/>
      <c r="K301" s="940"/>
      <c r="L301" s="940"/>
      <c r="M301" s="940"/>
      <c r="N301" s="940"/>
      <c r="O301" s="940"/>
      <c r="P301" s="940"/>
      <c r="Q301" s="940"/>
      <c r="R301" s="940"/>
      <c r="S301" s="940"/>
      <c r="T301" s="941"/>
    </row>
    <row r="302" spans="2:20" ht="30" outlineLevel="1" x14ac:dyDescent="0.2">
      <c r="B302" s="60" t="s">
        <v>3848</v>
      </c>
      <c r="C302" s="683">
        <v>11</v>
      </c>
      <c r="D302" s="684" t="s">
        <v>45</v>
      </c>
      <c r="E302" s="940"/>
      <c r="F302" s="940"/>
      <c r="G302" s="940"/>
      <c r="H302" s="940"/>
      <c r="I302" s="940"/>
      <c r="J302" s="940"/>
      <c r="K302" s="940"/>
      <c r="L302" s="940"/>
      <c r="M302" s="940"/>
      <c r="N302" s="940"/>
      <c r="O302" s="940"/>
      <c r="P302" s="940"/>
      <c r="Q302" s="940"/>
      <c r="R302" s="940"/>
      <c r="S302" s="940"/>
      <c r="T302" s="941"/>
    </row>
    <row r="303" spans="2:20" ht="30" outlineLevel="1" x14ac:dyDescent="0.2">
      <c r="B303" s="60" t="s">
        <v>3849</v>
      </c>
      <c r="C303" s="683">
        <v>12</v>
      </c>
      <c r="D303" s="684" t="s">
        <v>46</v>
      </c>
      <c r="E303" s="940"/>
      <c r="F303" s="940"/>
      <c r="G303" s="940"/>
      <c r="H303" s="940"/>
      <c r="I303" s="940"/>
      <c r="J303" s="940"/>
      <c r="K303" s="940"/>
      <c r="L303" s="940"/>
      <c r="M303" s="940"/>
      <c r="N303" s="940"/>
      <c r="O303" s="940"/>
      <c r="P303" s="940"/>
      <c r="Q303" s="940"/>
      <c r="R303" s="940"/>
      <c r="S303" s="940"/>
      <c r="T303" s="941"/>
    </row>
    <row r="304" spans="2:20" outlineLevel="1" x14ac:dyDescent="0.2">
      <c r="B304" s="60" t="s">
        <v>3850</v>
      </c>
      <c r="C304" s="679">
        <v>13</v>
      </c>
      <c r="D304" s="695" t="s">
        <v>87</v>
      </c>
      <c r="E304" s="934"/>
      <c r="F304" s="934"/>
      <c r="G304" s="934"/>
      <c r="H304" s="934"/>
      <c r="I304" s="934"/>
      <c r="J304" s="934"/>
      <c r="K304" s="934"/>
      <c r="L304" s="934"/>
      <c r="M304" s="934"/>
      <c r="N304" s="934"/>
      <c r="O304" s="934"/>
      <c r="P304" s="934"/>
      <c r="Q304" s="934"/>
      <c r="R304" s="934"/>
      <c r="S304" s="934"/>
      <c r="T304" s="935"/>
    </row>
    <row r="305" spans="2:20" ht="30" outlineLevel="1" x14ac:dyDescent="0.2">
      <c r="B305" s="60" t="s">
        <v>3851</v>
      </c>
      <c r="C305" s="679">
        <v>14</v>
      </c>
      <c r="D305" s="695" t="s">
        <v>1143</v>
      </c>
      <c r="E305" s="934"/>
      <c r="F305" s="934"/>
      <c r="G305" s="934"/>
      <c r="H305" s="934"/>
      <c r="I305" s="934"/>
      <c r="J305" s="934"/>
      <c r="K305" s="934"/>
      <c r="L305" s="934"/>
      <c r="M305" s="934"/>
      <c r="N305" s="934"/>
      <c r="O305" s="934"/>
      <c r="P305" s="934"/>
      <c r="Q305" s="934"/>
      <c r="R305" s="934"/>
      <c r="S305" s="934"/>
      <c r="T305" s="935"/>
    </row>
    <row r="306" spans="2:20" ht="32.25" customHeight="1" outlineLevel="1" x14ac:dyDescent="0.2">
      <c r="B306" s="60" t="s">
        <v>3852</v>
      </c>
      <c r="C306" s="679">
        <v>15</v>
      </c>
      <c r="D306" s="695" t="s">
        <v>53</v>
      </c>
      <c r="E306" s="934">
        <f>SUM(E307:H308)</f>
        <v>0</v>
      </c>
      <c r="F306" s="934"/>
      <c r="G306" s="934"/>
      <c r="H306" s="934"/>
      <c r="I306" s="934">
        <f>SUM(I307:L308)</f>
        <v>0</v>
      </c>
      <c r="J306" s="934"/>
      <c r="K306" s="934"/>
      <c r="L306" s="934"/>
      <c r="M306" s="934">
        <f>SUM(M307:P308)</f>
        <v>0</v>
      </c>
      <c r="N306" s="934"/>
      <c r="O306" s="934"/>
      <c r="P306" s="934"/>
      <c r="Q306" s="934">
        <f>SUM(Q307:T308)</f>
        <v>0</v>
      </c>
      <c r="R306" s="934"/>
      <c r="S306" s="934"/>
      <c r="T306" s="935"/>
    </row>
    <row r="307" spans="2:20" outlineLevel="1" x14ac:dyDescent="0.2">
      <c r="B307" s="60" t="s">
        <v>3853</v>
      </c>
      <c r="C307" s="683">
        <v>16</v>
      </c>
      <c r="D307" s="684" t="s">
        <v>54</v>
      </c>
      <c r="E307" s="940"/>
      <c r="F307" s="940"/>
      <c r="G307" s="940"/>
      <c r="H307" s="940"/>
      <c r="I307" s="940"/>
      <c r="J307" s="940"/>
      <c r="K307" s="940"/>
      <c r="L307" s="940"/>
      <c r="M307" s="940"/>
      <c r="N307" s="940"/>
      <c r="O307" s="940"/>
      <c r="P307" s="940"/>
      <c r="Q307" s="940"/>
      <c r="R307" s="940"/>
      <c r="S307" s="940"/>
      <c r="T307" s="941"/>
    </row>
    <row r="308" spans="2:20" ht="30" outlineLevel="1" x14ac:dyDescent="0.2">
      <c r="B308" s="60" t="s">
        <v>3854</v>
      </c>
      <c r="C308" s="683">
        <v>17</v>
      </c>
      <c r="D308" s="684" t="s">
        <v>1144</v>
      </c>
      <c r="E308" s="940"/>
      <c r="F308" s="940"/>
      <c r="G308" s="940"/>
      <c r="H308" s="940"/>
      <c r="I308" s="940"/>
      <c r="J308" s="940"/>
      <c r="K308" s="940"/>
      <c r="L308" s="940"/>
      <c r="M308" s="940"/>
      <c r="N308" s="940"/>
      <c r="O308" s="940"/>
      <c r="P308" s="940"/>
      <c r="Q308" s="940"/>
      <c r="R308" s="940"/>
      <c r="S308" s="940"/>
      <c r="T308" s="941"/>
    </row>
    <row r="309" spans="2:20" ht="30" outlineLevel="1" x14ac:dyDescent="0.2">
      <c r="B309" s="60" t="s">
        <v>3855</v>
      </c>
      <c r="C309" s="679">
        <v>18</v>
      </c>
      <c r="D309" s="695" t="s">
        <v>1158</v>
      </c>
      <c r="E309" s="934"/>
      <c r="F309" s="934"/>
      <c r="G309" s="934"/>
      <c r="H309" s="934"/>
      <c r="I309" s="934"/>
      <c r="J309" s="934"/>
      <c r="K309" s="934"/>
      <c r="L309" s="934"/>
      <c r="M309" s="934"/>
      <c r="N309" s="934"/>
      <c r="O309" s="934"/>
      <c r="P309" s="934"/>
      <c r="Q309" s="934"/>
      <c r="R309" s="934"/>
      <c r="S309" s="934"/>
      <c r="T309" s="935"/>
    </row>
    <row r="310" spans="2:20" ht="31.5" customHeight="1" outlineLevel="1" x14ac:dyDescent="0.2">
      <c r="B310" s="60" t="s">
        <v>3856</v>
      </c>
      <c r="C310" s="679">
        <v>19</v>
      </c>
      <c r="D310" s="695" t="s">
        <v>1145</v>
      </c>
      <c r="E310" s="934">
        <f>SUM(E311:H312)</f>
        <v>0</v>
      </c>
      <c r="F310" s="934"/>
      <c r="G310" s="934"/>
      <c r="H310" s="934"/>
      <c r="I310" s="934">
        <f>SUM(I311:L312)</f>
        <v>0</v>
      </c>
      <c r="J310" s="934"/>
      <c r="K310" s="934"/>
      <c r="L310" s="934"/>
      <c r="M310" s="934">
        <f>SUM(M311:P312)</f>
        <v>0</v>
      </c>
      <c r="N310" s="934"/>
      <c r="O310" s="934"/>
      <c r="P310" s="934"/>
      <c r="Q310" s="934">
        <f>SUM(Q311:T312)</f>
        <v>0</v>
      </c>
      <c r="R310" s="934"/>
      <c r="S310" s="934"/>
      <c r="T310" s="935"/>
    </row>
    <row r="311" spans="2:20" outlineLevel="1" x14ac:dyDescent="0.2">
      <c r="B311" s="60" t="s">
        <v>3857</v>
      </c>
      <c r="C311" s="683">
        <v>20</v>
      </c>
      <c r="D311" s="684" t="s">
        <v>1160</v>
      </c>
      <c r="E311" s="940"/>
      <c r="F311" s="940"/>
      <c r="G311" s="940"/>
      <c r="H311" s="940"/>
      <c r="I311" s="940"/>
      <c r="J311" s="940"/>
      <c r="K311" s="940"/>
      <c r="L311" s="940"/>
      <c r="M311" s="940"/>
      <c r="N311" s="940"/>
      <c r="O311" s="940"/>
      <c r="P311" s="940"/>
      <c r="Q311" s="940"/>
      <c r="R311" s="940"/>
      <c r="S311" s="940"/>
      <c r="T311" s="941"/>
    </row>
    <row r="312" spans="2:20" ht="30" outlineLevel="1" x14ac:dyDescent="0.2">
      <c r="B312" s="60" t="s">
        <v>3858</v>
      </c>
      <c r="C312" s="683">
        <v>21</v>
      </c>
      <c r="D312" s="684" t="s">
        <v>1161</v>
      </c>
      <c r="E312" s="940"/>
      <c r="F312" s="940"/>
      <c r="G312" s="940"/>
      <c r="H312" s="940"/>
      <c r="I312" s="940"/>
      <c r="J312" s="940"/>
      <c r="K312" s="940"/>
      <c r="L312" s="940"/>
      <c r="M312" s="940"/>
      <c r="N312" s="940"/>
      <c r="O312" s="940"/>
      <c r="P312" s="940"/>
      <c r="Q312" s="940"/>
      <c r="R312" s="940"/>
      <c r="S312" s="940"/>
      <c r="T312" s="941"/>
    </row>
    <row r="313" spans="2:20" outlineLevel="1" x14ac:dyDescent="0.2">
      <c r="B313" s="60" t="s">
        <v>3859</v>
      </c>
      <c r="C313" s="679">
        <v>22</v>
      </c>
      <c r="D313" s="695" t="s">
        <v>84</v>
      </c>
      <c r="E313" s="934"/>
      <c r="F313" s="934"/>
      <c r="G313" s="934"/>
      <c r="H313" s="934"/>
      <c r="I313" s="934"/>
      <c r="J313" s="934"/>
      <c r="K313" s="934"/>
      <c r="L313" s="934"/>
      <c r="M313" s="934"/>
      <c r="N313" s="934"/>
      <c r="O313" s="934"/>
      <c r="P313" s="934"/>
      <c r="Q313" s="934"/>
      <c r="R313" s="934"/>
      <c r="S313" s="934"/>
      <c r="T313" s="935"/>
    </row>
    <row r="314" spans="2:20" ht="30" outlineLevel="1" x14ac:dyDescent="0.2">
      <c r="B314" s="60" t="s">
        <v>3860</v>
      </c>
      <c r="C314" s="679">
        <v>23</v>
      </c>
      <c r="D314" s="687" t="s">
        <v>4641</v>
      </c>
      <c r="E314" s="934"/>
      <c r="F314" s="934"/>
      <c r="G314" s="934"/>
      <c r="H314" s="934"/>
      <c r="I314" s="934"/>
      <c r="J314" s="934"/>
      <c r="K314" s="934"/>
      <c r="L314" s="934"/>
      <c r="M314" s="934"/>
      <c r="N314" s="934"/>
      <c r="O314" s="934"/>
      <c r="P314" s="934"/>
      <c r="Q314" s="934"/>
      <c r="R314" s="934"/>
      <c r="S314" s="934"/>
      <c r="T314" s="935"/>
    </row>
    <row r="315" spans="2:20" outlineLevel="1" x14ac:dyDescent="0.2">
      <c r="B315" s="60" t="s">
        <v>3861</v>
      </c>
      <c r="C315" s="679">
        <v>24</v>
      </c>
      <c r="D315" s="695" t="s">
        <v>85</v>
      </c>
      <c r="E315" s="934"/>
      <c r="F315" s="934"/>
      <c r="G315" s="934"/>
      <c r="H315" s="934"/>
      <c r="I315" s="934"/>
      <c r="J315" s="934"/>
      <c r="K315" s="934"/>
      <c r="L315" s="934"/>
      <c r="M315" s="934"/>
      <c r="N315" s="934"/>
      <c r="O315" s="934"/>
      <c r="P315" s="934"/>
      <c r="Q315" s="934"/>
      <c r="R315" s="934"/>
      <c r="S315" s="934"/>
      <c r="T315" s="935"/>
    </row>
    <row r="316" spans="2:20" outlineLevel="1" x14ac:dyDescent="0.2">
      <c r="B316" s="60" t="s">
        <v>3862</v>
      </c>
      <c r="C316" s="679">
        <v>25</v>
      </c>
      <c r="D316" s="695" t="s">
        <v>1146</v>
      </c>
      <c r="E316" s="934">
        <f>SUM(E317:H319)</f>
        <v>0</v>
      </c>
      <c r="F316" s="934"/>
      <c r="G316" s="934"/>
      <c r="H316" s="934"/>
      <c r="I316" s="934">
        <f>SUM(I317:L319)</f>
        <v>0</v>
      </c>
      <c r="J316" s="934"/>
      <c r="K316" s="934"/>
      <c r="L316" s="934"/>
      <c r="M316" s="934">
        <f>SUM(M317:P319)</f>
        <v>0</v>
      </c>
      <c r="N316" s="934"/>
      <c r="O316" s="934"/>
      <c r="P316" s="934"/>
      <c r="Q316" s="934">
        <f>SUM(Q317:T319)</f>
        <v>0</v>
      </c>
      <c r="R316" s="934"/>
      <c r="S316" s="934"/>
      <c r="T316" s="935"/>
    </row>
    <row r="317" spans="2:20" ht="30" outlineLevel="1" x14ac:dyDescent="0.2">
      <c r="B317" s="60" t="s">
        <v>3863</v>
      </c>
      <c r="C317" s="683">
        <v>26</v>
      </c>
      <c r="D317" s="684" t="s">
        <v>41</v>
      </c>
      <c r="E317" s="940"/>
      <c r="F317" s="940"/>
      <c r="G317" s="940"/>
      <c r="H317" s="940"/>
      <c r="I317" s="940"/>
      <c r="J317" s="940"/>
      <c r="K317" s="940"/>
      <c r="L317" s="940"/>
      <c r="M317" s="940"/>
      <c r="N317" s="940"/>
      <c r="O317" s="940"/>
      <c r="P317" s="940"/>
      <c r="Q317" s="940"/>
      <c r="R317" s="940"/>
      <c r="S317" s="940"/>
      <c r="T317" s="941"/>
    </row>
    <row r="318" spans="2:20" outlineLevel="1" x14ac:dyDescent="0.2">
      <c r="B318" s="60" t="s">
        <v>3864</v>
      </c>
      <c r="C318" s="683">
        <v>27</v>
      </c>
      <c r="D318" s="684" t="s">
        <v>47</v>
      </c>
      <c r="E318" s="940"/>
      <c r="F318" s="940"/>
      <c r="G318" s="940"/>
      <c r="H318" s="940"/>
      <c r="I318" s="940"/>
      <c r="J318" s="940"/>
      <c r="K318" s="940"/>
      <c r="L318" s="940"/>
      <c r="M318" s="940"/>
      <c r="N318" s="940"/>
      <c r="O318" s="940"/>
      <c r="P318" s="940"/>
      <c r="Q318" s="940"/>
      <c r="R318" s="940"/>
      <c r="S318" s="940"/>
      <c r="T318" s="941"/>
    </row>
    <row r="319" spans="2:20" outlineLevel="1" x14ac:dyDescent="0.2">
      <c r="B319" s="60" t="s">
        <v>3865</v>
      </c>
      <c r="C319" s="683">
        <v>28</v>
      </c>
      <c r="D319" s="684" t="s">
        <v>48</v>
      </c>
      <c r="E319" s="940"/>
      <c r="F319" s="940"/>
      <c r="G319" s="940"/>
      <c r="H319" s="940"/>
      <c r="I319" s="940"/>
      <c r="J319" s="940"/>
      <c r="K319" s="940"/>
      <c r="L319" s="940"/>
      <c r="M319" s="940"/>
      <c r="N319" s="940"/>
      <c r="O319" s="940"/>
      <c r="P319" s="940"/>
      <c r="Q319" s="940"/>
      <c r="R319" s="940"/>
      <c r="S319" s="940"/>
      <c r="T319" s="941"/>
    </row>
    <row r="320" spans="2:20" outlineLevel="1" x14ac:dyDescent="0.2">
      <c r="B320" s="60" t="s">
        <v>3866</v>
      </c>
      <c r="C320" s="679">
        <v>29</v>
      </c>
      <c r="D320" s="695" t="s">
        <v>86</v>
      </c>
      <c r="E320" s="934"/>
      <c r="F320" s="934"/>
      <c r="G320" s="934"/>
      <c r="H320" s="934"/>
      <c r="I320" s="934"/>
      <c r="J320" s="934"/>
      <c r="K320" s="934"/>
      <c r="L320" s="934"/>
      <c r="M320" s="934"/>
      <c r="N320" s="934"/>
      <c r="O320" s="934"/>
      <c r="P320" s="934"/>
      <c r="Q320" s="934"/>
      <c r="R320" s="934"/>
      <c r="S320" s="934"/>
      <c r="T320" s="935"/>
    </row>
    <row r="321" spans="2:20" ht="45" outlineLevel="1" x14ac:dyDescent="0.2">
      <c r="B321" s="60" t="s">
        <v>3867</v>
      </c>
      <c r="C321" s="679">
        <v>30</v>
      </c>
      <c r="D321" s="687" t="s">
        <v>4642</v>
      </c>
      <c r="E321" s="934">
        <f>SUM(E322:H324)</f>
        <v>0</v>
      </c>
      <c r="F321" s="934"/>
      <c r="G321" s="934"/>
      <c r="H321" s="934"/>
      <c r="I321" s="934">
        <f>SUM(I322:L324)</f>
        <v>0</v>
      </c>
      <c r="J321" s="934"/>
      <c r="K321" s="934"/>
      <c r="L321" s="934"/>
      <c r="M321" s="934">
        <f>SUM(M322:P324)</f>
        <v>0</v>
      </c>
      <c r="N321" s="934"/>
      <c r="O321" s="934"/>
      <c r="P321" s="934"/>
      <c r="Q321" s="934">
        <f>SUM(Q322:T324)</f>
        <v>0</v>
      </c>
      <c r="R321" s="934"/>
      <c r="S321" s="934"/>
      <c r="T321" s="935"/>
    </row>
    <row r="322" spans="2:20" outlineLevel="1" x14ac:dyDescent="0.2">
      <c r="B322" s="60" t="s">
        <v>3868</v>
      </c>
      <c r="C322" s="683">
        <v>31</v>
      </c>
      <c r="D322" s="684" t="s">
        <v>49</v>
      </c>
      <c r="E322" s="940"/>
      <c r="F322" s="940"/>
      <c r="G322" s="940"/>
      <c r="H322" s="940"/>
      <c r="I322" s="940"/>
      <c r="J322" s="940"/>
      <c r="K322" s="940"/>
      <c r="L322" s="940"/>
      <c r="M322" s="940"/>
      <c r="N322" s="940"/>
      <c r="O322" s="940"/>
      <c r="P322" s="940"/>
      <c r="Q322" s="940"/>
      <c r="R322" s="940"/>
      <c r="S322" s="940"/>
      <c r="T322" s="941"/>
    </row>
    <row r="323" spans="2:20" outlineLevel="1" x14ac:dyDescent="0.2">
      <c r="B323" s="60" t="s">
        <v>3869</v>
      </c>
      <c r="C323" s="683">
        <v>32</v>
      </c>
      <c r="D323" s="692" t="s">
        <v>50</v>
      </c>
      <c r="E323" s="940"/>
      <c r="F323" s="940"/>
      <c r="G323" s="940"/>
      <c r="H323" s="940"/>
      <c r="I323" s="940"/>
      <c r="J323" s="940"/>
      <c r="K323" s="940"/>
      <c r="L323" s="940"/>
      <c r="M323" s="940"/>
      <c r="N323" s="940"/>
      <c r="O323" s="940"/>
      <c r="P323" s="940"/>
      <c r="Q323" s="940"/>
      <c r="R323" s="940"/>
      <c r="S323" s="940"/>
      <c r="T323" s="941"/>
    </row>
    <row r="324" spans="2:20" outlineLevel="1" x14ac:dyDescent="0.2">
      <c r="B324" s="60" t="s">
        <v>3870</v>
      </c>
      <c r="C324" s="683">
        <v>33</v>
      </c>
      <c r="D324" s="684" t="s">
        <v>1159</v>
      </c>
      <c r="E324" s="940"/>
      <c r="F324" s="940"/>
      <c r="G324" s="940"/>
      <c r="H324" s="940"/>
      <c r="I324" s="940"/>
      <c r="J324" s="940"/>
      <c r="K324" s="940"/>
      <c r="L324" s="940"/>
      <c r="M324" s="940"/>
      <c r="N324" s="940"/>
      <c r="O324" s="940"/>
      <c r="P324" s="940"/>
      <c r="Q324" s="940"/>
      <c r="R324" s="940"/>
      <c r="S324" s="940"/>
      <c r="T324" s="941"/>
    </row>
    <row r="325" spans="2:20" outlineLevel="1" x14ac:dyDescent="0.2">
      <c r="B325" s="60" t="s">
        <v>3871</v>
      </c>
      <c r="C325" s="679">
        <v>34</v>
      </c>
      <c r="D325" s="695" t="s">
        <v>52</v>
      </c>
      <c r="E325" s="942"/>
      <c r="F325" s="943"/>
      <c r="G325" s="943"/>
      <c r="H325" s="943"/>
      <c r="I325" s="934"/>
      <c r="J325" s="934"/>
      <c r="K325" s="934"/>
      <c r="L325" s="934"/>
      <c r="M325" s="934"/>
      <c r="N325" s="934"/>
      <c r="O325" s="934"/>
      <c r="P325" s="934"/>
      <c r="Q325" s="934"/>
      <c r="R325" s="934"/>
      <c r="S325" s="934"/>
      <c r="T325" s="935"/>
    </row>
    <row r="326" spans="2:20" ht="28.5" customHeight="1" thickBot="1" x14ac:dyDescent="0.25">
      <c r="B326" s="491" t="s">
        <v>3872</v>
      </c>
      <c r="C326" s="1010" t="s">
        <v>1152</v>
      </c>
      <c r="D326" s="1010"/>
      <c r="E326" s="936">
        <f>E292+E293+E296+E297+E300+E304+E305+E306+E309+E310+E313+E314+E315+E316+E320+E321+E325</f>
        <v>0</v>
      </c>
      <c r="F326" s="937"/>
      <c r="G326" s="937"/>
      <c r="H326" s="939"/>
      <c r="I326" s="936">
        <f>I292+I293+I296+I297+I300+I304+I305+I306+I309+I310+I313+I314+I315+I316+I320+I321+I325</f>
        <v>0</v>
      </c>
      <c r="J326" s="937"/>
      <c r="K326" s="937"/>
      <c r="L326" s="939"/>
      <c r="M326" s="936">
        <f>M292+M293+M296+M297+M300+M304+M305+M306+M309+M310+M313+M314+M315+M316+M320+M321+M325</f>
        <v>0</v>
      </c>
      <c r="N326" s="937"/>
      <c r="O326" s="937"/>
      <c r="P326" s="939"/>
      <c r="Q326" s="936">
        <f>Q292+Q293+Q296+Q297+Q300+Q304+Q305+Q306+Q309+Q310+Q313+Q314+Q315+Q316+Q320+Q321+Q325</f>
        <v>0</v>
      </c>
      <c r="R326" s="937"/>
      <c r="S326" s="937"/>
      <c r="T326" s="938"/>
    </row>
    <row r="327" spans="2:20" s="138" customFormat="1" x14ac:dyDescent="0.2">
      <c r="C327" s="315"/>
      <c r="D327" s="24"/>
      <c r="E327" s="330"/>
      <c r="F327" s="330"/>
      <c r="G327" s="330"/>
      <c r="H327" s="330"/>
      <c r="I327" s="330"/>
      <c r="J327" s="330"/>
      <c r="K327" s="330"/>
      <c r="L327" s="330"/>
      <c r="M327" s="330"/>
      <c r="N327" s="330"/>
      <c r="O327" s="330"/>
      <c r="P327" s="330"/>
      <c r="Q327" s="330"/>
      <c r="R327" s="330"/>
      <c r="S327" s="330"/>
      <c r="T327" s="330"/>
    </row>
    <row r="328" spans="2:20" s="138" customFormat="1" x14ac:dyDescent="0.3">
      <c r="C328" s="782"/>
      <c r="D328" s="782"/>
      <c r="E328" s="782"/>
      <c r="F328" s="782"/>
      <c r="G328" s="782"/>
      <c r="H328" s="782"/>
      <c r="I328" s="782"/>
      <c r="J328" s="782"/>
      <c r="K328" s="330"/>
      <c r="L328" s="330"/>
      <c r="M328" s="330"/>
      <c r="N328" s="330"/>
      <c r="O328" s="330"/>
      <c r="P328" s="330"/>
      <c r="Q328" s="330"/>
      <c r="R328" s="330"/>
      <c r="S328" s="330"/>
      <c r="T328" s="330"/>
    </row>
    <row r="329" spans="2:20" s="138" customFormat="1" ht="9" customHeight="1" x14ac:dyDescent="0.2">
      <c r="C329" s="845"/>
      <c r="D329" s="845"/>
      <c r="E329" s="845"/>
      <c r="F329" s="625"/>
      <c r="G329" s="625"/>
      <c r="H329" s="625"/>
      <c r="I329" s="633"/>
      <c r="J329" s="330"/>
      <c r="K329" s="330"/>
      <c r="L329" s="330"/>
      <c r="M329" s="330"/>
      <c r="N329" s="330"/>
      <c r="O329" s="330"/>
      <c r="P329" s="330"/>
      <c r="Q329" s="330"/>
      <c r="R329" s="330"/>
      <c r="S329" s="330"/>
      <c r="T329" s="330"/>
    </row>
    <row r="330" spans="2:20" s="138" customFormat="1" x14ac:dyDescent="0.3">
      <c r="C330" s="782"/>
      <c r="D330" s="782"/>
      <c r="E330" s="782"/>
      <c r="F330" s="782"/>
      <c r="G330" s="782"/>
      <c r="H330" s="782"/>
      <c r="I330" s="782"/>
      <c r="J330" s="782"/>
      <c r="K330" s="330"/>
      <c r="L330" s="330"/>
      <c r="M330" s="330"/>
      <c r="N330" s="330"/>
      <c r="O330" s="330"/>
      <c r="P330" s="330"/>
      <c r="Q330" s="330"/>
      <c r="R330" s="330"/>
      <c r="S330" s="330"/>
      <c r="T330" s="330"/>
    </row>
    <row r="331" spans="2:20" s="138" customFormat="1" ht="9" customHeight="1" x14ac:dyDescent="0.2">
      <c r="C331" s="1011"/>
      <c r="D331" s="1011"/>
      <c r="E331" s="1011"/>
      <c r="F331" s="31"/>
      <c r="G331" s="31"/>
      <c r="H331" s="31"/>
      <c r="I331" s="330"/>
      <c r="J331" s="330"/>
      <c r="K331" s="330"/>
      <c r="L331" s="330"/>
      <c r="M331" s="330"/>
      <c r="N331" s="330"/>
      <c r="O331" s="330"/>
      <c r="P331" s="330"/>
      <c r="Q331" s="330"/>
      <c r="R331" s="330"/>
      <c r="S331" s="330"/>
      <c r="T331" s="330"/>
    </row>
    <row r="332" spans="2:20" s="138" customFormat="1" x14ac:dyDescent="0.3">
      <c r="C332" s="782"/>
      <c r="D332" s="782"/>
      <c r="E332" s="782"/>
      <c r="F332" s="782"/>
      <c r="G332" s="782"/>
      <c r="H332" s="782"/>
      <c r="I332" s="782"/>
      <c r="J332" s="782"/>
      <c r="K332" s="330"/>
      <c r="L332" s="330"/>
      <c r="M332" s="330"/>
      <c r="N332" s="330"/>
      <c r="O332" s="330"/>
      <c r="P332" s="330"/>
      <c r="Q332" s="330"/>
      <c r="R332" s="330"/>
      <c r="S332" s="330"/>
      <c r="T332" s="330"/>
    </row>
    <row r="333" spans="2:20" s="138" customFormat="1" x14ac:dyDescent="0.2">
      <c r="C333" s="315"/>
      <c r="D333" s="24"/>
      <c r="E333" s="330"/>
      <c r="F333" s="330"/>
      <c r="G333" s="330"/>
      <c r="H333" s="330"/>
      <c r="I333" s="330"/>
      <c r="J333" s="330"/>
      <c r="K333" s="330"/>
      <c r="L333" s="330"/>
      <c r="M333" s="330"/>
      <c r="N333" s="330"/>
      <c r="O333" s="330"/>
      <c r="P333" s="330"/>
      <c r="Q333" s="330"/>
      <c r="R333" s="330"/>
      <c r="S333" s="330"/>
      <c r="T333" s="330"/>
    </row>
    <row r="335" spans="2:20" ht="14.25" customHeight="1" thickBot="1" x14ac:dyDescent="0.25">
      <c r="C335" s="915" t="s">
        <v>1167</v>
      </c>
      <c r="D335" s="915"/>
      <c r="E335" s="915"/>
      <c r="F335" s="915"/>
      <c r="G335" s="915"/>
      <c r="H335" s="915"/>
      <c r="I335" s="915"/>
      <c r="J335" s="915"/>
      <c r="K335" s="915"/>
      <c r="L335" s="915"/>
      <c r="M335" s="915"/>
      <c r="N335" s="915"/>
      <c r="O335" s="915"/>
      <c r="P335" s="915"/>
      <c r="Q335" s="915"/>
      <c r="R335" s="915"/>
      <c r="S335" s="844" t="s">
        <v>1177</v>
      </c>
      <c r="T335" s="844"/>
    </row>
    <row r="336" spans="2:20" ht="18" customHeight="1" x14ac:dyDescent="0.2">
      <c r="B336" s="602" t="s">
        <v>669</v>
      </c>
      <c r="C336" s="959" t="s">
        <v>1211</v>
      </c>
      <c r="D336" s="931" t="s">
        <v>95</v>
      </c>
      <c r="E336" s="997" t="s">
        <v>3330</v>
      </c>
      <c r="F336" s="997"/>
      <c r="G336" s="997"/>
      <c r="H336" s="997"/>
      <c r="I336" s="997"/>
      <c r="J336" s="997"/>
      <c r="K336" s="997"/>
      <c r="L336" s="997"/>
      <c r="M336" s="997" t="s">
        <v>3331</v>
      </c>
      <c r="N336" s="997"/>
      <c r="O336" s="997"/>
      <c r="P336" s="997"/>
      <c r="Q336" s="997"/>
      <c r="R336" s="997"/>
      <c r="S336" s="997"/>
      <c r="T336" s="998"/>
    </row>
    <row r="337" spans="2:20" ht="13.5" customHeight="1" x14ac:dyDescent="0.2">
      <c r="B337" s="603"/>
      <c r="C337" s="961"/>
      <c r="D337" s="933"/>
      <c r="E337" s="990" t="s">
        <v>104</v>
      </c>
      <c r="F337" s="990"/>
      <c r="G337" s="990"/>
      <c r="H337" s="990"/>
      <c r="I337" s="990" t="s">
        <v>101</v>
      </c>
      <c r="J337" s="990"/>
      <c r="K337" s="990"/>
      <c r="L337" s="990"/>
      <c r="M337" s="990" t="s">
        <v>104</v>
      </c>
      <c r="N337" s="990"/>
      <c r="O337" s="990"/>
      <c r="P337" s="990"/>
      <c r="Q337" s="990" t="s">
        <v>101</v>
      </c>
      <c r="R337" s="990"/>
      <c r="S337" s="990"/>
      <c r="T337" s="991"/>
    </row>
    <row r="338" spans="2:20" s="347" customFormat="1" ht="12" customHeight="1" outlineLevel="1" x14ac:dyDescent="0.2">
      <c r="B338" s="607"/>
      <c r="C338" s="341"/>
      <c r="D338" s="345"/>
      <c r="E338" s="947" t="s">
        <v>401</v>
      </c>
      <c r="F338" s="947"/>
      <c r="G338" s="947"/>
      <c r="H338" s="947"/>
      <c r="I338" s="977" t="s">
        <v>402</v>
      </c>
      <c r="J338" s="977"/>
      <c r="K338" s="977"/>
      <c r="L338" s="977"/>
      <c r="M338" s="977" t="s">
        <v>403</v>
      </c>
      <c r="N338" s="977"/>
      <c r="O338" s="977"/>
      <c r="P338" s="977"/>
      <c r="Q338" s="977" t="s">
        <v>404</v>
      </c>
      <c r="R338" s="977"/>
      <c r="S338" s="977"/>
      <c r="T338" s="989"/>
    </row>
    <row r="339" spans="2:20" outlineLevel="1" x14ac:dyDescent="0.2">
      <c r="B339" s="60" t="s">
        <v>3873</v>
      </c>
      <c r="C339" s="679">
        <v>1</v>
      </c>
      <c r="D339" s="687" t="s">
        <v>83</v>
      </c>
      <c r="E339" s="934"/>
      <c r="F339" s="934"/>
      <c r="G339" s="934"/>
      <c r="H339" s="934"/>
      <c r="I339" s="934"/>
      <c r="J339" s="934"/>
      <c r="K339" s="934"/>
      <c r="L339" s="934"/>
      <c r="M339" s="934"/>
      <c r="N339" s="934"/>
      <c r="O339" s="934"/>
      <c r="P339" s="934"/>
      <c r="Q339" s="934"/>
      <c r="R339" s="934"/>
      <c r="S339" s="934"/>
      <c r="T339" s="935"/>
    </row>
    <row r="340" spans="2:20" outlineLevel="1" x14ac:dyDescent="0.2">
      <c r="B340" s="60" t="s">
        <v>3874</v>
      </c>
      <c r="C340" s="679">
        <v>2</v>
      </c>
      <c r="D340" s="695" t="s">
        <v>1202</v>
      </c>
      <c r="E340" s="934">
        <f>SUM(E341:H342)</f>
        <v>0</v>
      </c>
      <c r="F340" s="934"/>
      <c r="G340" s="934"/>
      <c r="H340" s="934"/>
      <c r="I340" s="934">
        <f>SUM(I341:L342)</f>
        <v>0</v>
      </c>
      <c r="J340" s="934"/>
      <c r="K340" s="934"/>
      <c r="L340" s="934"/>
      <c r="M340" s="934">
        <f>SUM(M341:P342)</f>
        <v>0</v>
      </c>
      <c r="N340" s="934"/>
      <c r="O340" s="934"/>
      <c r="P340" s="934"/>
      <c r="Q340" s="934">
        <f>SUM(Q341:T342)</f>
        <v>0</v>
      </c>
      <c r="R340" s="934"/>
      <c r="S340" s="934"/>
      <c r="T340" s="935"/>
    </row>
    <row r="341" spans="2:20" outlineLevel="1" x14ac:dyDescent="0.2">
      <c r="B341" s="60" t="s">
        <v>3875</v>
      </c>
      <c r="C341" s="683">
        <v>3</v>
      </c>
      <c r="D341" s="692" t="s">
        <v>1200</v>
      </c>
      <c r="E341" s="940"/>
      <c r="F341" s="940"/>
      <c r="G341" s="940"/>
      <c r="H341" s="940"/>
      <c r="I341" s="940"/>
      <c r="J341" s="940"/>
      <c r="K341" s="940"/>
      <c r="L341" s="940"/>
      <c r="M341" s="940"/>
      <c r="N341" s="940"/>
      <c r="O341" s="940"/>
      <c r="P341" s="940"/>
      <c r="Q341" s="940"/>
      <c r="R341" s="940"/>
      <c r="S341" s="940"/>
      <c r="T341" s="941"/>
    </row>
    <row r="342" spans="2:20" ht="30" outlineLevel="1" x14ac:dyDescent="0.2">
      <c r="B342" s="60" t="s">
        <v>3876</v>
      </c>
      <c r="C342" s="683">
        <v>4</v>
      </c>
      <c r="D342" s="684" t="s">
        <v>1201</v>
      </c>
      <c r="E342" s="940"/>
      <c r="F342" s="940"/>
      <c r="G342" s="940"/>
      <c r="H342" s="940"/>
      <c r="I342" s="940"/>
      <c r="J342" s="940"/>
      <c r="K342" s="940"/>
      <c r="L342" s="940"/>
      <c r="M342" s="940"/>
      <c r="N342" s="940"/>
      <c r="O342" s="940"/>
      <c r="P342" s="940"/>
      <c r="Q342" s="940"/>
      <c r="R342" s="940"/>
      <c r="S342" s="940"/>
      <c r="T342" s="941"/>
    </row>
    <row r="343" spans="2:20" outlineLevel="1" x14ac:dyDescent="0.2">
      <c r="B343" s="60" t="s">
        <v>3877</v>
      </c>
      <c r="C343" s="679">
        <v>5</v>
      </c>
      <c r="D343" s="695" t="s">
        <v>51</v>
      </c>
      <c r="E343" s="934"/>
      <c r="F343" s="934"/>
      <c r="G343" s="934"/>
      <c r="H343" s="934"/>
      <c r="I343" s="934"/>
      <c r="J343" s="934"/>
      <c r="K343" s="934"/>
      <c r="L343" s="934"/>
      <c r="M343" s="934"/>
      <c r="N343" s="934"/>
      <c r="O343" s="934"/>
      <c r="P343" s="934"/>
      <c r="Q343" s="934"/>
      <c r="R343" s="934"/>
      <c r="S343" s="934"/>
      <c r="T343" s="935"/>
    </row>
    <row r="344" spans="2:20" ht="30" outlineLevel="1" x14ac:dyDescent="0.2">
      <c r="B344" s="60" t="s">
        <v>3878</v>
      </c>
      <c r="C344" s="679">
        <v>6</v>
      </c>
      <c r="D344" s="695" t="s">
        <v>1203</v>
      </c>
      <c r="E344" s="934">
        <f>SUM(E345:H346)</f>
        <v>0</v>
      </c>
      <c r="F344" s="934"/>
      <c r="G344" s="934"/>
      <c r="H344" s="934"/>
      <c r="I344" s="934">
        <f>SUM(I345:L346)</f>
        <v>0</v>
      </c>
      <c r="J344" s="934"/>
      <c r="K344" s="934"/>
      <c r="L344" s="934"/>
      <c r="M344" s="934">
        <f>SUM(M345:P346)</f>
        <v>0</v>
      </c>
      <c r="N344" s="934"/>
      <c r="O344" s="934"/>
      <c r="P344" s="934"/>
      <c r="Q344" s="934">
        <f>SUM(Q345:T346)</f>
        <v>0</v>
      </c>
      <c r="R344" s="934"/>
      <c r="S344" s="934"/>
      <c r="T344" s="935"/>
    </row>
    <row r="345" spans="2:20" ht="30" outlineLevel="1" x14ac:dyDescent="0.2">
      <c r="B345" s="60" t="s">
        <v>3879</v>
      </c>
      <c r="C345" s="683">
        <v>7</v>
      </c>
      <c r="D345" s="684" t="s">
        <v>43</v>
      </c>
      <c r="E345" s="940"/>
      <c r="F345" s="940"/>
      <c r="G345" s="940"/>
      <c r="H345" s="940"/>
      <c r="I345" s="940"/>
      <c r="J345" s="940"/>
      <c r="K345" s="940"/>
      <c r="L345" s="940"/>
      <c r="M345" s="940"/>
      <c r="N345" s="940"/>
      <c r="O345" s="940"/>
      <c r="P345" s="940"/>
      <c r="Q345" s="940"/>
      <c r="R345" s="940"/>
      <c r="S345" s="940"/>
      <c r="T345" s="941"/>
    </row>
    <row r="346" spans="2:20" outlineLevel="1" x14ac:dyDescent="0.2">
      <c r="B346" s="60" t="s">
        <v>3880</v>
      </c>
      <c r="C346" s="683">
        <v>8</v>
      </c>
      <c r="D346" s="684" t="s">
        <v>44</v>
      </c>
      <c r="E346" s="940"/>
      <c r="F346" s="940"/>
      <c r="G346" s="940"/>
      <c r="H346" s="940"/>
      <c r="I346" s="940"/>
      <c r="J346" s="940"/>
      <c r="K346" s="940"/>
      <c r="L346" s="940"/>
      <c r="M346" s="940"/>
      <c r="N346" s="940"/>
      <c r="O346" s="940"/>
      <c r="P346" s="940"/>
      <c r="Q346" s="940"/>
      <c r="R346" s="940"/>
      <c r="S346" s="940"/>
      <c r="T346" s="941"/>
    </row>
    <row r="347" spans="2:20" ht="45" outlineLevel="1" x14ac:dyDescent="0.2">
      <c r="B347" s="60" t="s">
        <v>3881</v>
      </c>
      <c r="C347" s="679">
        <v>9</v>
      </c>
      <c r="D347" s="695" t="s">
        <v>1204</v>
      </c>
      <c r="E347" s="942">
        <f>SUM(E348:H350)</f>
        <v>0</v>
      </c>
      <c r="F347" s="943"/>
      <c r="G347" s="943"/>
      <c r="H347" s="944"/>
      <c r="I347" s="942">
        <f>SUM(I348:L350)</f>
        <v>0</v>
      </c>
      <c r="J347" s="943"/>
      <c r="K347" s="943"/>
      <c r="L347" s="944"/>
      <c r="M347" s="942">
        <f>SUM(M348:P350)</f>
        <v>0</v>
      </c>
      <c r="N347" s="943"/>
      <c r="O347" s="943"/>
      <c r="P347" s="944"/>
      <c r="Q347" s="942">
        <f>SUM(Q348:T350)</f>
        <v>0</v>
      </c>
      <c r="R347" s="943"/>
      <c r="S347" s="943"/>
      <c r="T347" s="1006"/>
    </row>
    <row r="348" spans="2:20" ht="30" outlineLevel="1" x14ac:dyDescent="0.2">
      <c r="B348" s="60" t="s">
        <v>3882</v>
      </c>
      <c r="C348" s="683">
        <v>10</v>
      </c>
      <c r="D348" s="684" t="s">
        <v>1157</v>
      </c>
      <c r="E348" s="940"/>
      <c r="F348" s="940"/>
      <c r="G348" s="940"/>
      <c r="H348" s="940"/>
      <c r="I348" s="940"/>
      <c r="J348" s="940"/>
      <c r="K348" s="940"/>
      <c r="L348" s="940"/>
      <c r="M348" s="940"/>
      <c r="N348" s="940"/>
      <c r="O348" s="940"/>
      <c r="P348" s="940"/>
      <c r="Q348" s="940"/>
      <c r="R348" s="940"/>
      <c r="S348" s="940"/>
      <c r="T348" s="941"/>
    </row>
    <row r="349" spans="2:20" ht="30" outlineLevel="1" x14ac:dyDescent="0.2">
      <c r="B349" s="60" t="s">
        <v>3883</v>
      </c>
      <c r="C349" s="683">
        <v>11</v>
      </c>
      <c r="D349" s="684" t="s">
        <v>45</v>
      </c>
      <c r="E349" s="940"/>
      <c r="F349" s="940"/>
      <c r="G349" s="940"/>
      <c r="H349" s="940"/>
      <c r="I349" s="940"/>
      <c r="J349" s="940"/>
      <c r="K349" s="940"/>
      <c r="L349" s="940"/>
      <c r="M349" s="940"/>
      <c r="N349" s="940"/>
      <c r="O349" s="940"/>
      <c r="P349" s="940"/>
      <c r="Q349" s="940"/>
      <c r="R349" s="940"/>
      <c r="S349" s="940"/>
      <c r="T349" s="941"/>
    </row>
    <row r="350" spans="2:20" ht="30" outlineLevel="1" x14ac:dyDescent="0.2">
      <c r="B350" s="60" t="s">
        <v>3884</v>
      </c>
      <c r="C350" s="683">
        <v>12</v>
      </c>
      <c r="D350" s="684" t="s">
        <v>46</v>
      </c>
      <c r="E350" s="940"/>
      <c r="F350" s="940"/>
      <c r="G350" s="940"/>
      <c r="H350" s="940"/>
      <c r="I350" s="940"/>
      <c r="J350" s="940"/>
      <c r="K350" s="940"/>
      <c r="L350" s="940"/>
      <c r="M350" s="940"/>
      <c r="N350" s="940"/>
      <c r="O350" s="940"/>
      <c r="P350" s="940"/>
      <c r="Q350" s="940"/>
      <c r="R350" s="940"/>
      <c r="S350" s="940"/>
      <c r="T350" s="941"/>
    </row>
    <row r="351" spans="2:20" outlineLevel="1" x14ac:dyDescent="0.2">
      <c r="B351" s="60" t="s">
        <v>3885</v>
      </c>
      <c r="C351" s="679">
        <v>13</v>
      </c>
      <c r="D351" s="695" t="s">
        <v>87</v>
      </c>
      <c r="E351" s="934"/>
      <c r="F351" s="934"/>
      <c r="G351" s="934"/>
      <c r="H351" s="934"/>
      <c r="I351" s="934"/>
      <c r="J351" s="934"/>
      <c r="K351" s="934"/>
      <c r="L351" s="934"/>
      <c r="M351" s="934"/>
      <c r="N351" s="934"/>
      <c r="O351" s="934"/>
      <c r="P351" s="934"/>
      <c r="Q351" s="934"/>
      <c r="R351" s="934"/>
      <c r="S351" s="934"/>
      <c r="T351" s="935"/>
    </row>
    <row r="352" spans="2:20" ht="30" outlineLevel="1" x14ac:dyDescent="0.2">
      <c r="B352" s="60" t="s">
        <v>3886</v>
      </c>
      <c r="C352" s="679">
        <v>14</v>
      </c>
      <c r="D352" s="695" t="s">
        <v>1143</v>
      </c>
      <c r="E352" s="934"/>
      <c r="F352" s="934"/>
      <c r="G352" s="934"/>
      <c r="H352" s="934"/>
      <c r="I352" s="934"/>
      <c r="J352" s="934"/>
      <c r="K352" s="934"/>
      <c r="L352" s="934"/>
      <c r="M352" s="934"/>
      <c r="N352" s="934"/>
      <c r="O352" s="934"/>
      <c r="P352" s="934"/>
      <c r="Q352" s="934"/>
      <c r="R352" s="934"/>
      <c r="S352" s="934"/>
      <c r="T352" s="935"/>
    </row>
    <row r="353" spans="2:20" ht="32.25" customHeight="1" outlineLevel="1" x14ac:dyDescent="0.2">
      <c r="B353" s="60" t="s">
        <v>3887</v>
      </c>
      <c r="C353" s="679">
        <v>15</v>
      </c>
      <c r="D353" s="695" t="s">
        <v>53</v>
      </c>
      <c r="E353" s="934">
        <f>SUM(E354:H355)</f>
        <v>0</v>
      </c>
      <c r="F353" s="934"/>
      <c r="G353" s="934"/>
      <c r="H353" s="934"/>
      <c r="I353" s="934">
        <f>SUM(I354:L355)</f>
        <v>0</v>
      </c>
      <c r="J353" s="934"/>
      <c r="K353" s="934"/>
      <c r="L353" s="934"/>
      <c r="M353" s="934">
        <f>SUM(M354:P355)</f>
        <v>0</v>
      </c>
      <c r="N353" s="934"/>
      <c r="O353" s="934"/>
      <c r="P353" s="934"/>
      <c r="Q353" s="934">
        <f>SUM(Q354:T355)</f>
        <v>0</v>
      </c>
      <c r="R353" s="934"/>
      <c r="S353" s="934"/>
      <c r="T353" s="935"/>
    </row>
    <row r="354" spans="2:20" outlineLevel="1" x14ac:dyDescent="0.2">
      <c r="B354" s="60" t="s">
        <v>3888</v>
      </c>
      <c r="C354" s="683">
        <v>16</v>
      </c>
      <c r="D354" s="684" t="s">
        <v>54</v>
      </c>
      <c r="E354" s="940"/>
      <c r="F354" s="940"/>
      <c r="G354" s="940"/>
      <c r="H354" s="940"/>
      <c r="I354" s="940"/>
      <c r="J354" s="940"/>
      <c r="K354" s="940"/>
      <c r="L354" s="940"/>
      <c r="M354" s="940"/>
      <c r="N354" s="940"/>
      <c r="O354" s="940"/>
      <c r="P354" s="940"/>
      <c r="Q354" s="940"/>
      <c r="R354" s="940"/>
      <c r="S354" s="940"/>
      <c r="T354" s="941"/>
    </row>
    <row r="355" spans="2:20" ht="30" outlineLevel="1" x14ac:dyDescent="0.2">
      <c r="B355" s="60" t="s">
        <v>3889</v>
      </c>
      <c r="C355" s="683">
        <v>17</v>
      </c>
      <c r="D355" s="684" t="s">
        <v>1144</v>
      </c>
      <c r="E355" s="940"/>
      <c r="F355" s="940"/>
      <c r="G355" s="940"/>
      <c r="H355" s="940"/>
      <c r="I355" s="940"/>
      <c r="J355" s="940"/>
      <c r="K355" s="940"/>
      <c r="L355" s="940"/>
      <c r="M355" s="940"/>
      <c r="N355" s="940"/>
      <c r="O355" s="940"/>
      <c r="P355" s="940"/>
      <c r="Q355" s="940"/>
      <c r="R355" s="940"/>
      <c r="S355" s="940"/>
      <c r="T355" s="941"/>
    </row>
    <row r="356" spans="2:20" ht="30" outlineLevel="1" x14ac:dyDescent="0.2">
      <c r="B356" s="60" t="s">
        <v>3890</v>
      </c>
      <c r="C356" s="679">
        <v>18</v>
      </c>
      <c r="D356" s="695" t="s">
        <v>1158</v>
      </c>
      <c r="E356" s="934"/>
      <c r="F356" s="934"/>
      <c r="G356" s="934"/>
      <c r="H356" s="934"/>
      <c r="I356" s="934"/>
      <c r="J356" s="934"/>
      <c r="K356" s="934"/>
      <c r="L356" s="934"/>
      <c r="M356" s="934"/>
      <c r="N356" s="934"/>
      <c r="O356" s="934"/>
      <c r="P356" s="934"/>
      <c r="Q356" s="934"/>
      <c r="R356" s="934"/>
      <c r="S356" s="934"/>
      <c r="T356" s="935"/>
    </row>
    <row r="357" spans="2:20" ht="31.5" customHeight="1" outlineLevel="1" x14ac:dyDescent="0.2">
      <c r="B357" s="60" t="s">
        <v>3891</v>
      </c>
      <c r="C357" s="679">
        <v>19</v>
      </c>
      <c r="D357" s="695" t="s">
        <v>1145</v>
      </c>
      <c r="E357" s="934">
        <f>SUM(E358:H359)</f>
        <v>0</v>
      </c>
      <c r="F357" s="934"/>
      <c r="G357" s="934"/>
      <c r="H357" s="934"/>
      <c r="I357" s="934">
        <f>SUM(I358:L359)</f>
        <v>0</v>
      </c>
      <c r="J357" s="934"/>
      <c r="K357" s="934"/>
      <c r="L357" s="934"/>
      <c r="M357" s="934">
        <f>SUM(M358:P359)</f>
        <v>0</v>
      </c>
      <c r="N357" s="934"/>
      <c r="O357" s="934"/>
      <c r="P357" s="934"/>
      <c r="Q357" s="934">
        <f>SUM(Q358:T359)</f>
        <v>0</v>
      </c>
      <c r="R357" s="934"/>
      <c r="S357" s="934"/>
      <c r="T357" s="935"/>
    </row>
    <row r="358" spans="2:20" outlineLevel="1" x14ac:dyDescent="0.2">
      <c r="B358" s="60" t="s">
        <v>3892</v>
      </c>
      <c r="C358" s="679">
        <v>20</v>
      </c>
      <c r="D358" s="684" t="s">
        <v>1160</v>
      </c>
      <c r="E358" s="940"/>
      <c r="F358" s="940"/>
      <c r="G358" s="940"/>
      <c r="H358" s="940"/>
      <c r="I358" s="940"/>
      <c r="J358" s="940"/>
      <c r="K358" s="940"/>
      <c r="L358" s="940"/>
      <c r="M358" s="940"/>
      <c r="N358" s="940"/>
      <c r="O358" s="940"/>
      <c r="P358" s="940"/>
      <c r="Q358" s="940"/>
      <c r="R358" s="940"/>
      <c r="S358" s="940"/>
      <c r="T358" s="941"/>
    </row>
    <row r="359" spans="2:20" ht="30" outlineLevel="1" x14ac:dyDescent="0.2">
      <c r="B359" s="60" t="s">
        <v>3893</v>
      </c>
      <c r="C359" s="679">
        <v>21</v>
      </c>
      <c r="D359" s="684" t="s">
        <v>1161</v>
      </c>
      <c r="E359" s="940"/>
      <c r="F359" s="940"/>
      <c r="G359" s="940"/>
      <c r="H359" s="940"/>
      <c r="I359" s="940"/>
      <c r="J359" s="940"/>
      <c r="K359" s="940"/>
      <c r="L359" s="940"/>
      <c r="M359" s="940"/>
      <c r="N359" s="940"/>
      <c r="O359" s="940"/>
      <c r="P359" s="940"/>
      <c r="Q359" s="940"/>
      <c r="R359" s="940"/>
      <c r="S359" s="940"/>
      <c r="T359" s="941"/>
    </row>
    <row r="360" spans="2:20" outlineLevel="1" x14ac:dyDescent="0.2">
      <c r="B360" s="60" t="s">
        <v>3894</v>
      </c>
      <c r="C360" s="679">
        <v>22</v>
      </c>
      <c r="D360" s="695" t="s">
        <v>84</v>
      </c>
      <c r="E360" s="934"/>
      <c r="F360" s="934"/>
      <c r="G360" s="934"/>
      <c r="H360" s="934"/>
      <c r="I360" s="934"/>
      <c r="J360" s="934"/>
      <c r="K360" s="934"/>
      <c r="L360" s="934"/>
      <c r="M360" s="934"/>
      <c r="N360" s="934"/>
      <c r="O360" s="934"/>
      <c r="P360" s="934"/>
      <c r="Q360" s="934"/>
      <c r="R360" s="934"/>
      <c r="S360" s="934"/>
      <c r="T360" s="935"/>
    </row>
    <row r="361" spans="2:20" ht="30" outlineLevel="1" x14ac:dyDescent="0.2">
      <c r="B361" s="60" t="s">
        <v>3895</v>
      </c>
      <c r="C361" s="679">
        <v>23</v>
      </c>
      <c r="D361" s="687" t="s">
        <v>4643</v>
      </c>
      <c r="E361" s="934"/>
      <c r="F361" s="934"/>
      <c r="G361" s="934"/>
      <c r="H361" s="934"/>
      <c r="I361" s="934"/>
      <c r="J361" s="934"/>
      <c r="K361" s="934"/>
      <c r="L361" s="934"/>
      <c r="M361" s="934"/>
      <c r="N361" s="934"/>
      <c r="O361" s="934"/>
      <c r="P361" s="934"/>
      <c r="Q361" s="934"/>
      <c r="R361" s="934"/>
      <c r="S361" s="934"/>
      <c r="T361" s="935"/>
    </row>
    <row r="362" spans="2:20" outlineLevel="1" x14ac:dyDescent="0.2">
      <c r="B362" s="60" t="s">
        <v>3896</v>
      </c>
      <c r="C362" s="679">
        <v>24</v>
      </c>
      <c r="D362" s="695" t="s">
        <v>85</v>
      </c>
      <c r="E362" s="934"/>
      <c r="F362" s="934"/>
      <c r="G362" s="934"/>
      <c r="H362" s="934"/>
      <c r="I362" s="934"/>
      <c r="J362" s="934"/>
      <c r="K362" s="934"/>
      <c r="L362" s="934"/>
      <c r="M362" s="934"/>
      <c r="N362" s="934"/>
      <c r="O362" s="934"/>
      <c r="P362" s="934"/>
      <c r="Q362" s="934"/>
      <c r="R362" s="934"/>
      <c r="S362" s="934"/>
      <c r="T362" s="935"/>
    </row>
    <row r="363" spans="2:20" outlineLevel="1" x14ac:dyDescent="0.2">
      <c r="B363" s="60" t="s">
        <v>3897</v>
      </c>
      <c r="C363" s="679">
        <v>25</v>
      </c>
      <c r="D363" s="695" t="s">
        <v>1146</v>
      </c>
      <c r="E363" s="934">
        <f>SUM(E364:H366)</f>
        <v>0</v>
      </c>
      <c r="F363" s="934"/>
      <c r="G363" s="934"/>
      <c r="H363" s="934"/>
      <c r="I363" s="934">
        <f>SUM(I364:L366)</f>
        <v>0</v>
      </c>
      <c r="J363" s="934"/>
      <c r="K363" s="934"/>
      <c r="L363" s="934"/>
      <c r="M363" s="934">
        <f>SUM(M364:P366)</f>
        <v>0</v>
      </c>
      <c r="N363" s="934"/>
      <c r="O363" s="934"/>
      <c r="P363" s="934"/>
      <c r="Q363" s="934">
        <f>SUM(Q364:T366)</f>
        <v>0</v>
      </c>
      <c r="R363" s="934"/>
      <c r="S363" s="934"/>
      <c r="T363" s="935"/>
    </row>
    <row r="364" spans="2:20" ht="30" outlineLevel="1" x14ac:dyDescent="0.2">
      <c r="B364" s="60" t="s">
        <v>3898</v>
      </c>
      <c r="C364" s="683">
        <v>26</v>
      </c>
      <c r="D364" s="684" t="s">
        <v>41</v>
      </c>
      <c r="E364" s="940"/>
      <c r="F364" s="940"/>
      <c r="G364" s="940"/>
      <c r="H364" s="940"/>
      <c r="I364" s="940"/>
      <c r="J364" s="940"/>
      <c r="K364" s="940"/>
      <c r="L364" s="940"/>
      <c r="M364" s="940"/>
      <c r="N364" s="940"/>
      <c r="O364" s="940"/>
      <c r="P364" s="940"/>
      <c r="Q364" s="940"/>
      <c r="R364" s="940"/>
      <c r="S364" s="940"/>
      <c r="T364" s="941"/>
    </row>
    <row r="365" spans="2:20" outlineLevel="1" x14ac:dyDescent="0.2">
      <c r="B365" s="60" t="s">
        <v>3899</v>
      </c>
      <c r="C365" s="683">
        <v>27</v>
      </c>
      <c r="D365" s="684" t="s">
        <v>47</v>
      </c>
      <c r="E365" s="940"/>
      <c r="F365" s="940"/>
      <c r="G365" s="940"/>
      <c r="H365" s="940"/>
      <c r="I365" s="940"/>
      <c r="J365" s="940"/>
      <c r="K365" s="940"/>
      <c r="L365" s="940"/>
      <c r="M365" s="940"/>
      <c r="N365" s="940"/>
      <c r="O365" s="940"/>
      <c r="P365" s="940"/>
      <c r="Q365" s="940"/>
      <c r="R365" s="940"/>
      <c r="S365" s="940"/>
      <c r="T365" s="941"/>
    </row>
    <row r="366" spans="2:20" outlineLevel="1" x14ac:dyDescent="0.2">
      <c r="B366" s="60" t="s">
        <v>3900</v>
      </c>
      <c r="C366" s="683">
        <v>28</v>
      </c>
      <c r="D366" s="684" t="s">
        <v>48</v>
      </c>
      <c r="E366" s="940"/>
      <c r="F366" s="940"/>
      <c r="G366" s="940"/>
      <c r="H366" s="940"/>
      <c r="I366" s="940"/>
      <c r="J366" s="940"/>
      <c r="K366" s="940"/>
      <c r="L366" s="940"/>
      <c r="M366" s="940"/>
      <c r="N366" s="940"/>
      <c r="O366" s="940"/>
      <c r="P366" s="940"/>
      <c r="Q366" s="940"/>
      <c r="R366" s="940"/>
      <c r="S366" s="940"/>
      <c r="T366" s="941"/>
    </row>
    <row r="367" spans="2:20" outlineLevel="1" x14ac:dyDescent="0.2">
      <c r="B367" s="60" t="s">
        <v>3901</v>
      </c>
      <c r="C367" s="679">
        <v>29</v>
      </c>
      <c r="D367" s="695" t="s">
        <v>86</v>
      </c>
      <c r="E367" s="934"/>
      <c r="F367" s="934"/>
      <c r="G367" s="934"/>
      <c r="H367" s="934"/>
      <c r="I367" s="934"/>
      <c r="J367" s="934"/>
      <c r="K367" s="934"/>
      <c r="L367" s="934"/>
      <c r="M367" s="934"/>
      <c r="N367" s="934"/>
      <c r="O367" s="934"/>
      <c r="P367" s="934"/>
      <c r="Q367" s="934"/>
      <c r="R367" s="934"/>
      <c r="S367" s="934"/>
      <c r="T367" s="935"/>
    </row>
    <row r="368" spans="2:20" ht="45" outlineLevel="1" x14ac:dyDescent="0.2">
      <c r="B368" s="60" t="s">
        <v>3902</v>
      </c>
      <c r="C368" s="679">
        <v>30</v>
      </c>
      <c r="D368" s="687" t="s">
        <v>4644</v>
      </c>
      <c r="E368" s="934">
        <f>SUM(E369:H371)</f>
        <v>0</v>
      </c>
      <c r="F368" s="934"/>
      <c r="G368" s="934"/>
      <c r="H368" s="934"/>
      <c r="I368" s="934">
        <f>SUM(I369:L371)</f>
        <v>0</v>
      </c>
      <c r="J368" s="934"/>
      <c r="K368" s="934"/>
      <c r="L368" s="934"/>
      <c r="M368" s="934">
        <f>SUM(M369:P371)</f>
        <v>0</v>
      </c>
      <c r="N368" s="934"/>
      <c r="O368" s="934"/>
      <c r="P368" s="934"/>
      <c r="Q368" s="934">
        <f>SUM(Q369:T371)</f>
        <v>0</v>
      </c>
      <c r="R368" s="934"/>
      <c r="S368" s="934"/>
      <c r="T368" s="935"/>
    </row>
    <row r="369" spans="2:20" outlineLevel="1" x14ac:dyDescent="0.2">
      <c r="B369" s="60" t="s">
        <v>3903</v>
      </c>
      <c r="C369" s="683">
        <v>31</v>
      </c>
      <c r="D369" s="684" t="s">
        <v>49</v>
      </c>
      <c r="E369" s="940"/>
      <c r="F369" s="940"/>
      <c r="G369" s="940"/>
      <c r="H369" s="940"/>
      <c r="I369" s="940"/>
      <c r="J369" s="940"/>
      <c r="K369" s="940"/>
      <c r="L369" s="940"/>
      <c r="M369" s="940"/>
      <c r="N369" s="940"/>
      <c r="O369" s="940"/>
      <c r="P369" s="940"/>
      <c r="Q369" s="940"/>
      <c r="R369" s="940"/>
      <c r="S369" s="940"/>
      <c r="T369" s="941"/>
    </row>
    <row r="370" spans="2:20" outlineLevel="1" x14ac:dyDescent="0.2">
      <c r="B370" s="60" t="s">
        <v>3904</v>
      </c>
      <c r="C370" s="683">
        <v>32</v>
      </c>
      <c r="D370" s="692" t="s">
        <v>50</v>
      </c>
      <c r="E370" s="940"/>
      <c r="F370" s="940"/>
      <c r="G370" s="940"/>
      <c r="H370" s="940"/>
      <c r="I370" s="940"/>
      <c r="J370" s="940"/>
      <c r="K370" s="940"/>
      <c r="L370" s="940"/>
      <c r="M370" s="940"/>
      <c r="N370" s="940"/>
      <c r="O370" s="940"/>
      <c r="P370" s="940"/>
      <c r="Q370" s="940"/>
      <c r="R370" s="940"/>
      <c r="S370" s="940"/>
      <c r="T370" s="941"/>
    </row>
    <row r="371" spans="2:20" outlineLevel="1" x14ac:dyDescent="0.2">
      <c r="B371" s="60" t="s">
        <v>3905</v>
      </c>
      <c r="C371" s="683">
        <v>33</v>
      </c>
      <c r="D371" s="684" t="s">
        <v>1159</v>
      </c>
      <c r="E371" s="940"/>
      <c r="F371" s="940"/>
      <c r="G371" s="940"/>
      <c r="H371" s="940"/>
      <c r="I371" s="940"/>
      <c r="J371" s="940"/>
      <c r="K371" s="940"/>
      <c r="L371" s="940"/>
      <c r="M371" s="940"/>
      <c r="N371" s="940"/>
      <c r="O371" s="940"/>
      <c r="P371" s="940"/>
      <c r="Q371" s="940"/>
      <c r="R371" s="940"/>
      <c r="S371" s="940"/>
      <c r="T371" s="941"/>
    </row>
    <row r="372" spans="2:20" ht="15.75" customHeight="1" outlineLevel="1" x14ac:dyDescent="0.2">
      <c r="B372" s="60" t="s">
        <v>3906</v>
      </c>
      <c r="C372" s="679">
        <v>34</v>
      </c>
      <c r="D372" s="695" t="s">
        <v>52</v>
      </c>
      <c r="E372" s="942"/>
      <c r="F372" s="943"/>
      <c r="G372" s="943"/>
      <c r="H372" s="943"/>
      <c r="I372" s="934"/>
      <c r="J372" s="934"/>
      <c r="K372" s="934"/>
      <c r="L372" s="934"/>
      <c r="M372" s="934"/>
      <c r="N372" s="934"/>
      <c r="O372" s="934"/>
      <c r="P372" s="934"/>
      <c r="Q372" s="934"/>
      <c r="R372" s="934"/>
      <c r="S372" s="934"/>
      <c r="T372" s="935"/>
    </row>
    <row r="373" spans="2:20" ht="30" customHeight="1" thickBot="1" x14ac:dyDescent="0.25">
      <c r="B373" s="491" t="s">
        <v>3907</v>
      </c>
      <c r="C373" s="1010" t="s">
        <v>1152</v>
      </c>
      <c r="D373" s="952"/>
      <c r="E373" s="936">
        <f>E339+E340+E343+E344+E347+E351+E352+E353+E356+E357+E360+E361+E362+E363+E367+E368+E372</f>
        <v>0</v>
      </c>
      <c r="F373" s="937"/>
      <c r="G373" s="937"/>
      <c r="H373" s="939"/>
      <c r="I373" s="936">
        <f>I339+I340+I343+I344+I347+I351+I352+I353+I356+I357+I360+I361+I362+I363+I367+I368+I372</f>
        <v>0</v>
      </c>
      <c r="J373" s="937"/>
      <c r="K373" s="937"/>
      <c r="L373" s="939"/>
      <c r="M373" s="936">
        <f>M339+M340+M343+M344+M347+M351+M352+M353+M356+M357+M360+M361+M362+M363+M367+M368+M372</f>
        <v>0</v>
      </c>
      <c r="N373" s="937"/>
      <c r="O373" s="937"/>
      <c r="P373" s="939"/>
      <c r="Q373" s="936">
        <f>Q339+Q340+Q343+Q344+Q347+Q351+Q352+Q353+Q356+Q357+Q360+Q361+Q362+Q363+Q367+Q368+Q372</f>
        <v>0</v>
      </c>
      <c r="R373" s="937"/>
      <c r="S373" s="937"/>
      <c r="T373" s="938"/>
    </row>
    <row r="374" spans="2:20" x14ac:dyDescent="0.2">
      <c r="B374" s="395"/>
    </row>
    <row r="375" spans="2:20" x14ac:dyDescent="0.3">
      <c r="B375" s="395"/>
      <c r="C375" s="782"/>
      <c r="D375" s="782"/>
      <c r="E375" s="782"/>
      <c r="F375" s="782"/>
      <c r="G375" s="782"/>
      <c r="H375" s="782"/>
      <c r="I375" s="782"/>
      <c r="J375" s="782"/>
    </row>
    <row r="376" spans="2:20" ht="9" customHeight="1" x14ac:dyDescent="0.2">
      <c r="C376" s="845"/>
      <c r="D376" s="845"/>
      <c r="E376" s="845"/>
      <c r="F376" s="625"/>
      <c r="G376" s="625"/>
      <c r="H376" s="625"/>
      <c r="I376" s="633"/>
      <c r="J376" s="330"/>
    </row>
    <row r="377" spans="2:20" x14ac:dyDescent="0.3">
      <c r="C377" s="782"/>
      <c r="D377" s="782"/>
      <c r="E377" s="782"/>
      <c r="F377" s="782"/>
      <c r="G377" s="782"/>
      <c r="H377" s="782"/>
      <c r="I377" s="782"/>
      <c r="J377" s="782"/>
    </row>
    <row r="378" spans="2:20" ht="9" customHeight="1" x14ac:dyDescent="0.2">
      <c r="C378" s="1011"/>
      <c r="D378" s="1011"/>
      <c r="E378" s="1011"/>
      <c r="F378" s="31"/>
      <c r="G378" s="31"/>
      <c r="H378" s="31"/>
      <c r="I378" s="330"/>
      <c r="J378" s="330"/>
    </row>
    <row r="379" spans="2:20" x14ac:dyDescent="0.3">
      <c r="C379" s="782"/>
      <c r="D379" s="782"/>
      <c r="E379" s="782"/>
      <c r="F379" s="782"/>
      <c r="G379" s="782"/>
      <c r="H379" s="782"/>
      <c r="I379" s="782"/>
      <c r="J379" s="782"/>
    </row>
    <row r="380" spans="2:20" ht="19.5" x14ac:dyDescent="0.2">
      <c r="D380" s="318"/>
    </row>
  </sheetData>
  <mergeCells count="1156">
    <mergeCell ref="C282:E282"/>
    <mergeCell ref="C283:J283"/>
    <mergeCell ref="C284:E284"/>
    <mergeCell ref="C328:J328"/>
    <mergeCell ref="C329:E329"/>
    <mergeCell ref="C330:J330"/>
    <mergeCell ref="C331:E331"/>
    <mergeCell ref="C375:J375"/>
    <mergeCell ref="C376:E376"/>
    <mergeCell ref="C377:J377"/>
    <mergeCell ref="C378:E378"/>
    <mergeCell ref="C93:J93"/>
    <mergeCell ref="C94:E94"/>
    <mergeCell ref="C95:J95"/>
    <mergeCell ref="C96:E96"/>
    <mergeCell ref="C141:J141"/>
    <mergeCell ref="C142:E142"/>
    <mergeCell ref="C143:J143"/>
    <mergeCell ref="C144:E144"/>
    <mergeCell ref="C188:J188"/>
    <mergeCell ref="C189:E189"/>
    <mergeCell ref="C190:J190"/>
    <mergeCell ref="C191:E191"/>
    <mergeCell ref="C234:J234"/>
    <mergeCell ref="C235:E235"/>
    <mergeCell ref="C236:J236"/>
    <mergeCell ref="C237:E237"/>
    <mergeCell ref="C281:J281"/>
    <mergeCell ref="E371:H371"/>
    <mergeCell ref="I371:L371"/>
    <mergeCell ref="E356:H356"/>
    <mergeCell ref="I356:L356"/>
    <mergeCell ref="C52:H52"/>
    <mergeCell ref="C48:E48"/>
    <mergeCell ref="C50:E50"/>
    <mergeCell ref="C47:J47"/>
    <mergeCell ref="C49:J49"/>
    <mergeCell ref="C336:C337"/>
    <mergeCell ref="D336:D337"/>
    <mergeCell ref="E336:L336"/>
    <mergeCell ref="C373:D373"/>
    <mergeCell ref="E373:H373"/>
    <mergeCell ref="I373:L373"/>
    <mergeCell ref="I368:L368"/>
    <mergeCell ref="E366:H366"/>
    <mergeCell ref="I366:L366"/>
    <mergeCell ref="M366:P366"/>
    <mergeCell ref="Q366:T366"/>
    <mergeCell ref="E367:H367"/>
    <mergeCell ref="I367:L367"/>
    <mergeCell ref="M367:P367"/>
    <mergeCell ref="Q367:T367"/>
    <mergeCell ref="M368:P368"/>
    <mergeCell ref="Q368:T368"/>
    <mergeCell ref="E369:H369"/>
    <mergeCell ref="I369:L369"/>
    <mergeCell ref="M369:P369"/>
    <mergeCell ref="Q369:T369"/>
    <mergeCell ref="M373:P373"/>
    <mergeCell ref="Q373:T373"/>
    <mergeCell ref="E370:H370"/>
    <mergeCell ref="I370:L370"/>
    <mergeCell ref="M370:P370"/>
    <mergeCell ref="Q370:T370"/>
    <mergeCell ref="M371:P371"/>
    <mergeCell ref="Q371:T371"/>
    <mergeCell ref="E372:H372"/>
    <mergeCell ref="I372:L372"/>
    <mergeCell ref="M372:P372"/>
    <mergeCell ref="Q372:T372"/>
    <mergeCell ref="E368:H368"/>
    <mergeCell ref="E361:H361"/>
    <mergeCell ref="I361:L361"/>
    <mergeCell ref="M361:P361"/>
    <mergeCell ref="Q361:T361"/>
    <mergeCell ref="E362:H362"/>
    <mergeCell ref="I362:L362"/>
    <mergeCell ref="M362:P362"/>
    <mergeCell ref="Q362:T362"/>
    <mergeCell ref="E363:H363"/>
    <mergeCell ref="I363:L363"/>
    <mergeCell ref="M363:P363"/>
    <mergeCell ref="Q363:T363"/>
    <mergeCell ref="E364:H364"/>
    <mergeCell ref="I364:L364"/>
    <mergeCell ref="M364:P364"/>
    <mergeCell ref="Q364:T364"/>
    <mergeCell ref="E365:H365"/>
    <mergeCell ref="I365:L365"/>
    <mergeCell ref="M365:P365"/>
    <mergeCell ref="Q365:T365"/>
    <mergeCell ref="M356:P356"/>
    <mergeCell ref="Q356:T356"/>
    <mergeCell ref="E357:H357"/>
    <mergeCell ref="I357:L357"/>
    <mergeCell ref="M357:P357"/>
    <mergeCell ref="Q357:T357"/>
    <mergeCell ref="I358:L358"/>
    <mergeCell ref="M358:P358"/>
    <mergeCell ref="Q358:T358"/>
    <mergeCell ref="E359:H359"/>
    <mergeCell ref="I359:L359"/>
    <mergeCell ref="M359:P359"/>
    <mergeCell ref="Q359:T359"/>
    <mergeCell ref="I360:L360"/>
    <mergeCell ref="M360:P360"/>
    <mergeCell ref="Q360:T360"/>
    <mergeCell ref="E351:H351"/>
    <mergeCell ref="I351:L351"/>
    <mergeCell ref="M351:P351"/>
    <mergeCell ref="Q351:T351"/>
    <mergeCell ref="E352:H352"/>
    <mergeCell ref="I352:L352"/>
    <mergeCell ref="M352:P352"/>
    <mergeCell ref="Q352:T352"/>
    <mergeCell ref="E353:H353"/>
    <mergeCell ref="I353:L353"/>
    <mergeCell ref="M353:P353"/>
    <mergeCell ref="Q353:T353"/>
    <mergeCell ref="E354:H354"/>
    <mergeCell ref="I354:L354"/>
    <mergeCell ref="M354:P354"/>
    <mergeCell ref="Q354:T354"/>
    <mergeCell ref="E355:H355"/>
    <mergeCell ref="I355:L355"/>
    <mergeCell ref="M355:P355"/>
    <mergeCell ref="Q355:T355"/>
    <mergeCell ref="E346:H346"/>
    <mergeCell ref="I346:L346"/>
    <mergeCell ref="M346:P346"/>
    <mergeCell ref="Q346:T346"/>
    <mergeCell ref="E347:H347"/>
    <mergeCell ref="I347:L347"/>
    <mergeCell ref="M347:P347"/>
    <mergeCell ref="Q347:T347"/>
    <mergeCell ref="E348:H348"/>
    <mergeCell ref="I348:L348"/>
    <mergeCell ref="M348:P348"/>
    <mergeCell ref="Q348:T348"/>
    <mergeCell ref="E349:H349"/>
    <mergeCell ref="I349:L349"/>
    <mergeCell ref="M349:P349"/>
    <mergeCell ref="Q349:T349"/>
    <mergeCell ref="E350:H350"/>
    <mergeCell ref="I350:L350"/>
    <mergeCell ref="M350:P350"/>
    <mergeCell ref="Q350:T350"/>
    <mergeCell ref="E341:H341"/>
    <mergeCell ref="I341:L341"/>
    <mergeCell ref="M341:P341"/>
    <mergeCell ref="Q341:T341"/>
    <mergeCell ref="E342:H342"/>
    <mergeCell ref="I342:L342"/>
    <mergeCell ref="M342:P342"/>
    <mergeCell ref="Q342:T342"/>
    <mergeCell ref="E343:H343"/>
    <mergeCell ref="I343:L343"/>
    <mergeCell ref="M343:P343"/>
    <mergeCell ref="Q343:T343"/>
    <mergeCell ref="E344:H344"/>
    <mergeCell ref="I344:L344"/>
    <mergeCell ref="M344:P344"/>
    <mergeCell ref="Q344:T344"/>
    <mergeCell ref="E345:H345"/>
    <mergeCell ref="I345:L345"/>
    <mergeCell ref="M345:P345"/>
    <mergeCell ref="Q345:T345"/>
    <mergeCell ref="E326:H326"/>
    <mergeCell ref="I326:L326"/>
    <mergeCell ref="M326:P326"/>
    <mergeCell ref="Q326:T326"/>
    <mergeCell ref="C326:D326"/>
    <mergeCell ref="E338:H338"/>
    <mergeCell ref="I338:L338"/>
    <mergeCell ref="M338:P338"/>
    <mergeCell ref="Q338:T338"/>
    <mergeCell ref="E339:H339"/>
    <mergeCell ref="I339:L339"/>
    <mergeCell ref="M339:P339"/>
    <mergeCell ref="Q339:T339"/>
    <mergeCell ref="I340:L340"/>
    <mergeCell ref="M340:P340"/>
    <mergeCell ref="Q340:T340"/>
    <mergeCell ref="M336:T336"/>
    <mergeCell ref="E337:H337"/>
    <mergeCell ref="I337:L337"/>
    <mergeCell ref="M337:P337"/>
    <mergeCell ref="Q337:T337"/>
    <mergeCell ref="E321:H321"/>
    <mergeCell ref="I321:L321"/>
    <mergeCell ref="M321:P321"/>
    <mergeCell ref="Q321:T321"/>
    <mergeCell ref="E322:H322"/>
    <mergeCell ref="I322:L322"/>
    <mergeCell ref="M322:P322"/>
    <mergeCell ref="Q322:T322"/>
    <mergeCell ref="E323:H323"/>
    <mergeCell ref="I323:L323"/>
    <mergeCell ref="M323:P323"/>
    <mergeCell ref="Q323:T323"/>
    <mergeCell ref="E324:H324"/>
    <mergeCell ref="I324:L324"/>
    <mergeCell ref="M324:P324"/>
    <mergeCell ref="Q324:T324"/>
    <mergeCell ref="E325:H325"/>
    <mergeCell ref="I325:L325"/>
    <mergeCell ref="M325:P325"/>
    <mergeCell ref="Q325:T325"/>
    <mergeCell ref="E316:H316"/>
    <mergeCell ref="I316:L316"/>
    <mergeCell ref="M316:P316"/>
    <mergeCell ref="Q316:T316"/>
    <mergeCell ref="E317:H317"/>
    <mergeCell ref="I317:L317"/>
    <mergeCell ref="M317:P317"/>
    <mergeCell ref="Q317:T317"/>
    <mergeCell ref="E318:H318"/>
    <mergeCell ref="I318:L318"/>
    <mergeCell ref="M318:P318"/>
    <mergeCell ref="Q318:T318"/>
    <mergeCell ref="E319:H319"/>
    <mergeCell ref="I319:L319"/>
    <mergeCell ref="M319:P319"/>
    <mergeCell ref="Q319:T319"/>
    <mergeCell ref="E320:H320"/>
    <mergeCell ref="I320:L320"/>
    <mergeCell ref="M320:P320"/>
    <mergeCell ref="Q320:T320"/>
    <mergeCell ref="E311:H311"/>
    <mergeCell ref="I311:L311"/>
    <mergeCell ref="M311:P311"/>
    <mergeCell ref="Q311:T311"/>
    <mergeCell ref="E312:H312"/>
    <mergeCell ref="I312:L312"/>
    <mergeCell ref="M312:P312"/>
    <mergeCell ref="Q312:T312"/>
    <mergeCell ref="E313:H313"/>
    <mergeCell ref="I313:L313"/>
    <mergeCell ref="M313:P313"/>
    <mergeCell ref="Q313:T313"/>
    <mergeCell ref="E314:H314"/>
    <mergeCell ref="I314:L314"/>
    <mergeCell ref="M314:P314"/>
    <mergeCell ref="Q314:T314"/>
    <mergeCell ref="E315:H315"/>
    <mergeCell ref="I315:L315"/>
    <mergeCell ref="M315:P315"/>
    <mergeCell ref="Q315:T315"/>
    <mergeCell ref="E306:H306"/>
    <mergeCell ref="I306:L306"/>
    <mergeCell ref="M306:P306"/>
    <mergeCell ref="Q306:T306"/>
    <mergeCell ref="E307:H307"/>
    <mergeCell ref="I307:L307"/>
    <mergeCell ref="M307:P307"/>
    <mergeCell ref="Q307:T307"/>
    <mergeCell ref="E308:H308"/>
    <mergeCell ref="I308:L308"/>
    <mergeCell ref="M308:P308"/>
    <mergeCell ref="Q308:T308"/>
    <mergeCell ref="E309:H309"/>
    <mergeCell ref="I309:L309"/>
    <mergeCell ref="M309:P309"/>
    <mergeCell ref="Q309:T309"/>
    <mergeCell ref="E310:H310"/>
    <mergeCell ref="I310:L310"/>
    <mergeCell ref="M310:P310"/>
    <mergeCell ref="Q310:T310"/>
    <mergeCell ref="E301:H301"/>
    <mergeCell ref="I301:L301"/>
    <mergeCell ref="M301:P301"/>
    <mergeCell ref="Q301:T301"/>
    <mergeCell ref="E302:H302"/>
    <mergeCell ref="I302:L302"/>
    <mergeCell ref="M302:P302"/>
    <mergeCell ref="Q302:T302"/>
    <mergeCell ref="E303:H303"/>
    <mergeCell ref="I303:L303"/>
    <mergeCell ref="M303:P303"/>
    <mergeCell ref="Q303:T303"/>
    <mergeCell ref="E304:H304"/>
    <mergeCell ref="I304:L304"/>
    <mergeCell ref="M304:P304"/>
    <mergeCell ref="Q304:T304"/>
    <mergeCell ref="E305:H305"/>
    <mergeCell ref="I305:L305"/>
    <mergeCell ref="M305:P305"/>
    <mergeCell ref="Q305:T305"/>
    <mergeCell ref="E296:H296"/>
    <mergeCell ref="I296:L296"/>
    <mergeCell ref="M296:P296"/>
    <mergeCell ref="Q296:T296"/>
    <mergeCell ref="E297:H297"/>
    <mergeCell ref="I297:L297"/>
    <mergeCell ref="M297:P297"/>
    <mergeCell ref="Q297:T297"/>
    <mergeCell ref="E298:H298"/>
    <mergeCell ref="I298:L298"/>
    <mergeCell ref="M298:P298"/>
    <mergeCell ref="Q298:T298"/>
    <mergeCell ref="E299:H299"/>
    <mergeCell ref="I299:L299"/>
    <mergeCell ref="M299:P299"/>
    <mergeCell ref="Q299:T299"/>
    <mergeCell ref="E300:H300"/>
    <mergeCell ref="I300:L300"/>
    <mergeCell ref="M300:P300"/>
    <mergeCell ref="Q300:T300"/>
    <mergeCell ref="E291:H291"/>
    <mergeCell ref="I291:L291"/>
    <mergeCell ref="M291:P291"/>
    <mergeCell ref="Q291:T291"/>
    <mergeCell ref="E292:H292"/>
    <mergeCell ref="I292:L292"/>
    <mergeCell ref="M292:P292"/>
    <mergeCell ref="Q292:T292"/>
    <mergeCell ref="E293:H293"/>
    <mergeCell ref="I293:L293"/>
    <mergeCell ref="M293:P293"/>
    <mergeCell ref="Q293:T293"/>
    <mergeCell ref="E294:H294"/>
    <mergeCell ref="I294:L294"/>
    <mergeCell ref="M294:P294"/>
    <mergeCell ref="Q294:T294"/>
    <mergeCell ref="E295:H295"/>
    <mergeCell ref="I295:L295"/>
    <mergeCell ref="M295:P295"/>
    <mergeCell ref="Q295:T295"/>
    <mergeCell ref="E279:H279"/>
    <mergeCell ref="I279:L279"/>
    <mergeCell ref="M279:P279"/>
    <mergeCell ref="Q279:T279"/>
    <mergeCell ref="S241:T241"/>
    <mergeCell ref="C241:R241"/>
    <mergeCell ref="D289:D290"/>
    <mergeCell ref="C289:C290"/>
    <mergeCell ref="E289:L289"/>
    <mergeCell ref="M289:T289"/>
    <mergeCell ref="E290:H290"/>
    <mergeCell ref="I290:L290"/>
    <mergeCell ref="M290:P290"/>
    <mergeCell ref="Q290:T290"/>
    <mergeCell ref="E274:H274"/>
    <mergeCell ref="I274:L274"/>
    <mergeCell ref="M274:P274"/>
    <mergeCell ref="Q274:T274"/>
    <mergeCell ref="E275:H275"/>
    <mergeCell ref="I275:L275"/>
    <mergeCell ref="M275:P275"/>
    <mergeCell ref="Q275:T275"/>
    <mergeCell ref="E276:H276"/>
    <mergeCell ref="I276:L276"/>
    <mergeCell ref="M276:P276"/>
    <mergeCell ref="Q276:T276"/>
    <mergeCell ref="E277:H277"/>
    <mergeCell ref="I277:L277"/>
    <mergeCell ref="M277:P277"/>
    <mergeCell ref="Q277:T277"/>
    <mergeCell ref="E278:H278"/>
    <mergeCell ref="I278:L278"/>
    <mergeCell ref="M278:P278"/>
    <mergeCell ref="Q278:T278"/>
    <mergeCell ref="E269:H269"/>
    <mergeCell ref="I269:L269"/>
    <mergeCell ref="M269:P269"/>
    <mergeCell ref="Q269:T269"/>
    <mergeCell ref="E270:H270"/>
    <mergeCell ref="I270:L270"/>
    <mergeCell ref="M270:P270"/>
    <mergeCell ref="Q270:T270"/>
    <mergeCell ref="E271:H271"/>
    <mergeCell ref="I271:L271"/>
    <mergeCell ref="M271:P271"/>
    <mergeCell ref="Q271:T271"/>
    <mergeCell ref="E272:H272"/>
    <mergeCell ref="I272:L272"/>
    <mergeCell ref="M272:P272"/>
    <mergeCell ref="Q272:T272"/>
    <mergeCell ref="E273:H273"/>
    <mergeCell ref="I273:L273"/>
    <mergeCell ref="M273:P273"/>
    <mergeCell ref="Q273:T273"/>
    <mergeCell ref="E264:H264"/>
    <mergeCell ref="I264:L264"/>
    <mergeCell ref="M264:P264"/>
    <mergeCell ref="Q264:T264"/>
    <mergeCell ref="E265:H265"/>
    <mergeCell ref="I265:L265"/>
    <mergeCell ref="M265:P265"/>
    <mergeCell ref="Q265:T265"/>
    <mergeCell ref="E266:H266"/>
    <mergeCell ref="I266:L266"/>
    <mergeCell ref="M266:P266"/>
    <mergeCell ref="Q266:T266"/>
    <mergeCell ref="E267:H267"/>
    <mergeCell ref="I267:L267"/>
    <mergeCell ref="M267:P267"/>
    <mergeCell ref="Q267:T267"/>
    <mergeCell ref="E268:H268"/>
    <mergeCell ref="I268:L268"/>
    <mergeCell ref="M268:P268"/>
    <mergeCell ref="Q268:T268"/>
    <mergeCell ref="E259:H259"/>
    <mergeCell ref="I259:L259"/>
    <mergeCell ref="M259:P259"/>
    <mergeCell ref="Q259:T259"/>
    <mergeCell ref="E260:H260"/>
    <mergeCell ref="I260:L260"/>
    <mergeCell ref="M260:P260"/>
    <mergeCell ref="Q260:T260"/>
    <mergeCell ref="E261:H261"/>
    <mergeCell ref="I261:L261"/>
    <mergeCell ref="M261:P261"/>
    <mergeCell ref="Q261:T261"/>
    <mergeCell ref="E262:H262"/>
    <mergeCell ref="I262:L262"/>
    <mergeCell ref="M262:P262"/>
    <mergeCell ref="Q262:T262"/>
    <mergeCell ref="E263:H263"/>
    <mergeCell ref="I263:L263"/>
    <mergeCell ref="M263:P263"/>
    <mergeCell ref="Q263:T263"/>
    <mergeCell ref="E254:H254"/>
    <mergeCell ref="I254:L254"/>
    <mergeCell ref="M254:P254"/>
    <mergeCell ref="Q254:T254"/>
    <mergeCell ref="E255:H255"/>
    <mergeCell ref="I255:L255"/>
    <mergeCell ref="M255:P255"/>
    <mergeCell ref="Q255:T255"/>
    <mergeCell ref="E256:H256"/>
    <mergeCell ref="I256:L256"/>
    <mergeCell ref="M256:P256"/>
    <mergeCell ref="Q256:T256"/>
    <mergeCell ref="E257:H257"/>
    <mergeCell ref="I257:L257"/>
    <mergeCell ref="M257:P257"/>
    <mergeCell ref="Q257:T257"/>
    <mergeCell ref="E258:H258"/>
    <mergeCell ref="I258:L258"/>
    <mergeCell ref="M258:P258"/>
    <mergeCell ref="Q258:T258"/>
    <mergeCell ref="E249:H249"/>
    <mergeCell ref="I249:L249"/>
    <mergeCell ref="M249:P249"/>
    <mergeCell ref="Q249:T249"/>
    <mergeCell ref="E250:H250"/>
    <mergeCell ref="I250:L250"/>
    <mergeCell ref="M250:P250"/>
    <mergeCell ref="Q250:T250"/>
    <mergeCell ref="E251:H251"/>
    <mergeCell ref="I251:L251"/>
    <mergeCell ref="M251:P251"/>
    <mergeCell ref="Q251:T251"/>
    <mergeCell ref="E252:H252"/>
    <mergeCell ref="I252:L252"/>
    <mergeCell ref="M252:P252"/>
    <mergeCell ref="Q252:T252"/>
    <mergeCell ref="E253:H253"/>
    <mergeCell ref="I253:L253"/>
    <mergeCell ref="M253:P253"/>
    <mergeCell ref="Q253:T253"/>
    <mergeCell ref="I244:L244"/>
    <mergeCell ref="M244:P244"/>
    <mergeCell ref="Q244:T244"/>
    <mergeCell ref="E245:H245"/>
    <mergeCell ref="I245:L245"/>
    <mergeCell ref="M245:P245"/>
    <mergeCell ref="Q245:T245"/>
    <mergeCell ref="E246:H246"/>
    <mergeCell ref="I246:L246"/>
    <mergeCell ref="M246:P246"/>
    <mergeCell ref="Q246:T246"/>
    <mergeCell ref="E247:H247"/>
    <mergeCell ref="I247:L247"/>
    <mergeCell ref="M247:P247"/>
    <mergeCell ref="Q247:T247"/>
    <mergeCell ref="E248:H248"/>
    <mergeCell ref="I248:L248"/>
    <mergeCell ref="M248:P248"/>
    <mergeCell ref="Q248:T248"/>
    <mergeCell ref="E231:H231"/>
    <mergeCell ref="I231:L231"/>
    <mergeCell ref="M231:P231"/>
    <mergeCell ref="Q231:T231"/>
    <mergeCell ref="Q232:T232"/>
    <mergeCell ref="M232:P232"/>
    <mergeCell ref="I232:L232"/>
    <mergeCell ref="E232:H232"/>
    <mergeCell ref="I227:L227"/>
    <mergeCell ref="E242:L242"/>
    <mergeCell ref="M242:T242"/>
    <mergeCell ref="E243:H243"/>
    <mergeCell ref="I243:L243"/>
    <mergeCell ref="M243:P243"/>
    <mergeCell ref="Q243:T243"/>
    <mergeCell ref="D242:D243"/>
    <mergeCell ref="E226:H226"/>
    <mergeCell ref="I226:L226"/>
    <mergeCell ref="M226:P226"/>
    <mergeCell ref="Q226:T226"/>
    <mergeCell ref="E230:H230"/>
    <mergeCell ref="E229:H229"/>
    <mergeCell ref="E228:H228"/>
    <mergeCell ref="I230:L230"/>
    <mergeCell ref="I229:L229"/>
    <mergeCell ref="I228:L228"/>
    <mergeCell ref="M230:P230"/>
    <mergeCell ref="M229:P229"/>
    <mergeCell ref="M228:P228"/>
    <mergeCell ref="M227:P227"/>
    <mergeCell ref="Q230:T230"/>
    <mergeCell ref="Q229:T229"/>
    <mergeCell ref="Q228:T228"/>
    <mergeCell ref="Q227:T227"/>
    <mergeCell ref="E227:H227"/>
    <mergeCell ref="E225:H225"/>
    <mergeCell ref="E224:H224"/>
    <mergeCell ref="E223:H223"/>
    <mergeCell ref="I225:L225"/>
    <mergeCell ref="I224:L224"/>
    <mergeCell ref="I223:L223"/>
    <mergeCell ref="I222:L222"/>
    <mergeCell ref="E222:H222"/>
    <mergeCell ref="I216:L216"/>
    <mergeCell ref="M222:P222"/>
    <mergeCell ref="M223:P223"/>
    <mergeCell ref="M224:P224"/>
    <mergeCell ref="M225:P225"/>
    <mergeCell ref="Q225:T225"/>
    <mergeCell ref="Q224:T224"/>
    <mergeCell ref="Q223:T223"/>
    <mergeCell ref="Q222:T222"/>
    <mergeCell ref="E215:H215"/>
    <mergeCell ref="I215:L215"/>
    <mergeCell ref="M215:P215"/>
    <mergeCell ref="Q215:T215"/>
    <mergeCell ref="E218:H218"/>
    <mergeCell ref="E217:H217"/>
    <mergeCell ref="E219:H219"/>
    <mergeCell ref="E220:H220"/>
    <mergeCell ref="E221:H221"/>
    <mergeCell ref="I221:L221"/>
    <mergeCell ref="I220:L220"/>
    <mergeCell ref="I219:L219"/>
    <mergeCell ref="I218:L218"/>
    <mergeCell ref="I217:L217"/>
    <mergeCell ref="M221:P221"/>
    <mergeCell ref="M220:P220"/>
    <mergeCell ref="M219:P219"/>
    <mergeCell ref="M218:P218"/>
    <mergeCell ref="M217:P217"/>
    <mergeCell ref="M216:P216"/>
    <mergeCell ref="Q216:T216"/>
    <mergeCell ref="Q217:T217"/>
    <mergeCell ref="Q218:T218"/>
    <mergeCell ref="Q219:T219"/>
    <mergeCell ref="Q220:T220"/>
    <mergeCell ref="Q221:T221"/>
    <mergeCell ref="E216:H216"/>
    <mergeCell ref="E211:H211"/>
    <mergeCell ref="I211:L211"/>
    <mergeCell ref="I210:L210"/>
    <mergeCell ref="M210:P210"/>
    <mergeCell ref="M211:P211"/>
    <mergeCell ref="I206:L206"/>
    <mergeCell ref="M209:P209"/>
    <mergeCell ref="M208:P208"/>
    <mergeCell ref="M207:P207"/>
    <mergeCell ref="M206:P206"/>
    <mergeCell ref="Q211:T211"/>
    <mergeCell ref="Q210:T210"/>
    <mergeCell ref="E214:H214"/>
    <mergeCell ref="E213:H213"/>
    <mergeCell ref="I214:L214"/>
    <mergeCell ref="I213:L213"/>
    <mergeCell ref="M213:P213"/>
    <mergeCell ref="M214:P214"/>
    <mergeCell ref="Q214:T214"/>
    <mergeCell ref="Q213:T213"/>
    <mergeCell ref="Q212:T212"/>
    <mergeCell ref="M212:P212"/>
    <mergeCell ref="I212:L212"/>
    <mergeCell ref="E212:H212"/>
    <mergeCell ref="M205:P205"/>
    <mergeCell ref="M204:P204"/>
    <mergeCell ref="M203:P203"/>
    <mergeCell ref="Q201:T201"/>
    <mergeCell ref="Q200:T200"/>
    <mergeCell ref="Q203:T203"/>
    <mergeCell ref="E203:H203"/>
    <mergeCell ref="E209:H209"/>
    <mergeCell ref="E208:H208"/>
    <mergeCell ref="E207:H207"/>
    <mergeCell ref="I209:L209"/>
    <mergeCell ref="I208:L208"/>
    <mergeCell ref="I207:L207"/>
    <mergeCell ref="I205:L205"/>
    <mergeCell ref="I204:L204"/>
    <mergeCell ref="I203:L203"/>
    <mergeCell ref="Q206:T206"/>
    <mergeCell ref="Q207:T207"/>
    <mergeCell ref="Q208:T208"/>
    <mergeCell ref="Q209:T209"/>
    <mergeCell ref="Q205:T205"/>
    <mergeCell ref="Q204:T204"/>
    <mergeCell ref="M199:P199"/>
    <mergeCell ref="M200:P200"/>
    <mergeCell ref="M201:P201"/>
    <mergeCell ref="Q197:T197"/>
    <mergeCell ref="M197:P197"/>
    <mergeCell ref="I197:L197"/>
    <mergeCell ref="Q199:T199"/>
    <mergeCell ref="Q198:T198"/>
    <mergeCell ref="M198:P198"/>
    <mergeCell ref="I198:L198"/>
    <mergeCell ref="E199:H199"/>
    <mergeCell ref="E202:H202"/>
    <mergeCell ref="I202:L202"/>
    <mergeCell ref="M202:P202"/>
    <mergeCell ref="Q202:T202"/>
    <mergeCell ref="E201:H201"/>
    <mergeCell ref="E200:H200"/>
    <mergeCell ref="I200:L200"/>
    <mergeCell ref="I201:L201"/>
    <mergeCell ref="I199:L199"/>
    <mergeCell ref="E198:H198"/>
    <mergeCell ref="Q196:T196"/>
    <mergeCell ref="M196:P196"/>
    <mergeCell ref="I196:L196"/>
    <mergeCell ref="E197:H197"/>
    <mergeCell ref="C91:D91"/>
    <mergeCell ref="E151:F151"/>
    <mergeCell ref="M102:N102"/>
    <mergeCell ref="E102:F102"/>
    <mergeCell ref="K151:L151"/>
    <mergeCell ref="S194:T194"/>
    <mergeCell ref="C194:R194"/>
    <mergeCell ref="E196:H196"/>
    <mergeCell ref="D195:D196"/>
    <mergeCell ref="C195:C196"/>
    <mergeCell ref="M195:T195"/>
    <mergeCell ref="E195:L195"/>
    <mergeCell ref="E149:J149"/>
    <mergeCell ref="K149:L150"/>
    <mergeCell ref="M149:R149"/>
    <mergeCell ref="O150:P150"/>
    <mergeCell ref="Q150:R150"/>
    <mergeCell ref="M151:N151"/>
    <mergeCell ref="I150:J150"/>
    <mergeCell ref="C147:R147"/>
    <mergeCell ref="D148:D150"/>
    <mergeCell ref="E148:L148"/>
    <mergeCell ref="S151:T151"/>
    <mergeCell ref="O151:P151"/>
    <mergeCell ref="Q151:R151"/>
    <mergeCell ref="M150:N150"/>
    <mergeCell ref="E152:F152"/>
    <mergeCell ref="M155:N155"/>
    <mergeCell ref="B1:C1"/>
    <mergeCell ref="S1:T1"/>
    <mergeCell ref="E8:F8"/>
    <mergeCell ref="Q8:R8"/>
    <mergeCell ref="S8:T8"/>
    <mergeCell ref="O8:P8"/>
    <mergeCell ref="D7:D9"/>
    <mergeCell ref="C53:R53"/>
    <mergeCell ref="Q55:T55"/>
    <mergeCell ref="M55:P55"/>
    <mergeCell ref="C139:D139"/>
    <mergeCell ref="E150:F150"/>
    <mergeCell ref="G102:H102"/>
    <mergeCell ref="I102:J102"/>
    <mergeCell ref="I56:L56"/>
    <mergeCell ref="E56:H56"/>
    <mergeCell ref="I55:L55"/>
    <mergeCell ref="E55:H55"/>
    <mergeCell ref="D54:D55"/>
    <mergeCell ref="Q57:T57"/>
    <mergeCell ref="M57:P57"/>
    <mergeCell ref="I57:L57"/>
    <mergeCell ref="E57:H57"/>
    <mergeCell ref="S6:T6"/>
    <mergeCell ref="C54:C55"/>
    <mergeCell ref="M54:T54"/>
    <mergeCell ref="E54:L54"/>
    <mergeCell ref="M8:N8"/>
    <mergeCell ref="K102:L102"/>
    <mergeCell ref="I8:J8"/>
    <mergeCell ref="K8:L8"/>
    <mergeCell ref="Q56:T56"/>
    <mergeCell ref="Q153:R153"/>
    <mergeCell ref="S153:T153"/>
    <mergeCell ref="E154:F154"/>
    <mergeCell ref="G154:H154"/>
    <mergeCell ref="I154:J154"/>
    <mergeCell ref="K154:L154"/>
    <mergeCell ref="Q154:R154"/>
    <mergeCell ref="G150:H150"/>
    <mergeCell ref="S152:T152"/>
    <mergeCell ref="M152:N152"/>
    <mergeCell ref="O152:P152"/>
    <mergeCell ref="E153:F153"/>
    <mergeCell ref="G153:H153"/>
    <mergeCell ref="I153:J153"/>
    <mergeCell ref="K153:L153"/>
    <mergeCell ref="M153:N153"/>
    <mergeCell ref="O153:P153"/>
    <mergeCell ref="I151:J151"/>
    <mergeCell ref="G152:H152"/>
    <mergeCell ref="I152:J152"/>
    <mergeCell ref="K152:L152"/>
    <mergeCell ref="Q152:R152"/>
    <mergeCell ref="G151:H151"/>
    <mergeCell ref="Q156:R156"/>
    <mergeCell ref="S156:T156"/>
    <mergeCell ref="M156:N156"/>
    <mergeCell ref="O156:P156"/>
    <mergeCell ref="Q157:R157"/>
    <mergeCell ref="S157:T157"/>
    <mergeCell ref="K155:L155"/>
    <mergeCell ref="I157:J157"/>
    <mergeCell ref="K157:L157"/>
    <mergeCell ref="M157:N157"/>
    <mergeCell ref="O157:P157"/>
    <mergeCell ref="Q155:R155"/>
    <mergeCell ref="S154:T154"/>
    <mergeCell ref="M154:N154"/>
    <mergeCell ref="O154:P154"/>
    <mergeCell ref="E156:F156"/>
    <mergeCell ref="G156:H156"/>
    <mergeCell ref="I156:J156"/>
    <mergeCell ref="K156:L156"/>
    <mergeCell ref="E155:F155"/>
    <mergeCell ref="G155:H155"/>
    <mergeCell ref="I155:J155"/>
    <mergeCell ref="O155:P155"/>
    <mergeCell ref="S155:T155"/>
    <mergeCell ref="E160:F160"/>
    <mergeCell ref="G160:H160"/>
    <mergeCell ref="I160:J160"/>
    <mergeCell ref="K160:L160"/>
    <mergeCell ref="Q160:R160"/>
    <mergeCell ref="S160:T160"/>
    <mergeCell ref="M160:N160"/>
    <mergeCell ref="O160:P160"/>
    <mergeCell ref="M159:N159"/>
    <mergeCell ref="O159:P159"/>
    <mergeCell ref="Q159:R159"/>
    <mergeCell ref="S159:T159"/>
    <mergeCell ref="E157:F157"/>
    <mergeCell ref="G157:H157"/>
    <mergeCell ref="E159:F159"/>
    <mergeCell ref="G159:H159"/>
    <mergeCell ref="I159:J159"/>
    <mergeCell ref="K159:L159"/>
    <mergeCell ref="E158:F158"/>
    <mergeCell ref="G158:H158"/>
    <mergeCell ref="I158:J158"/>
    <mergeCell ref="K158:L158"/>
    <mergeCell ref="Q158:R158"/>
    <mergeCell ref="S158:T158"/>
    <mergeCell ref="M158:N158"/>
    <mergeCell ref="O158:P158"/>
    <mergeCell ref="M162:N162"/>
    <mergeCell ref="O162:P162"/>
    <mergeCell ref="E164:F164"/>
    <mergeCell ref="G164:H164"/>
    <mergeCell ref="I164:J164"/>
    <mergeCell ref="K164:L164"/>
    <mergeCell ref="E163:F163"/>
    <mergeCell ref="G163:H163"/>
    <mergeCell ref="I163:J163"/>
    <mergeCell ref="K163:L163"/>
    <mergeCell ref="M163:N163"/>
    <mergeCell ref="O163:P163"/>
    <mergeCell ref="Q161:R161"/>
    <mergeCell ref="S161:T161"/>
    <mergeCell ref="E162:F162"/>
    <mergeCell ref="G162:H162"/>
    <mergeCell ref="I162:J162"/>
    <mergeCell ref="K162:L162"/>
    <mergeCell ref="Q162:R162"/>
    <mergeCell ref="S162:T162"/>
    <mergeCell ref="E161:F161"/>
    <mergeCell ref="G161:H161"/>
    <mergeCell ref="I161:J161"/>
    <mergeCell ref="K161:L161"/>
    <mergeCell ref="M161:N161"/>
    <mergeCell ref="O161:P161"/>
    <mergeCell ref="Q165:R165"/>
    <mergeCell ref="S165:T165"/>
    <mergeCell ref="E166:F166"/>
    <mergeCell ref="G166:H166"/>
    <mergeCell ref="I166:J166"/>
    <mergeCell ref="K166:L166"/>
    <mergeCell ref="Q166:R166"/>
    <mergeCell ref="S166:T166"/>
    <mergeCell ref="E165:F165"/>
    <mergeCell ref="G165:H165"/>
    <mergeCell ref="I165:J165"/>
    <mergeCell ref="K165:L165"/>
    <mergeCell ref="M165:N165"/>
    <mergeCell ref="O165:P165"/>
    <mergeCell ref="Q163:R163"/>
    <mergeCell ref="S163:T163"/>
    <mergeCell ref="Q164:R164"/>
    <mergeCell ref="S164:T164"/>
    <mergeCell ref="M164:N164"/>
    <mergeCell ref="O164:P164"/>
    <mergeCell ref="Q167:R167"/>
    <mergeCell ref="S167:T167"/>
    <mergeCell ref="M166:N166"/>
    <mergeCell ref="O166:P166"/>
    <mergeCell ref="E168:F168"/>
    <mergeCell ref="G168:H168"/>
    <mergeCell ref="I168:J168"/>
    <mergeCell ref="K168:L168"/>
    <mergeCell ref="Q168:R168"/>
    <mergeCell ref="S168:T168"/>
    <mergeCell ref="E167:F167"/>
    <mergeCell ref="G167:H167"/>
    <mergeCell ref="I167:J167"/>
    <mergeCell ref="K167:L167"/>
    <mergeCell ref="M168:N168"/>
    <mergeCell ref="O168:P168"/>
    <mergeCell ref="M167:N167"/>
    <mergeCell ref="O167:P167"/>
    <mergeCell ref="M170:N170"/>
    <mergeCell ref="O170:P170"/>
    <mergeCell ref="E172:F172"/>
    <mergeCell ref="G172:H172"/>
    <mergeCell ref="I172:J172"/>
    <mergeCell ref="K172:L172"/>
    <mergeCell ref="E171:F171"/>
    <mergeCell ref="G171:H171"/>
    <mergeCell ref="I171:J171"/>
    <mergeCell ref="K171:L171"/>
    <mergeCell ref="M171:N171"/>
    <mergeCell ref="O171:P171"/>
    <mergeCell ref="Q169:R169"/>
    <mergeCell ref="S169:T169"/>
    <mergeCell ref="E170:F170"/>
    <mergeCell ref="G170:H170"/>
    <mergeCell ref="I170:J170"/>
    <mergeCell ref="K170:L170"/>
    <mergeCell ref="Q170:R170"/>
    <mergeCell ref="S170:T170"/>
    <mergeCell ref="E169:F169"/>
    <mergeCell ref="G169:H169"/>
    <mergeCell ref="I169:J169"/>
    <mergeCell ref="K169:L169"/>
    <mergeCell ref="M169:N169"/>
    <mergeCell ref="O169:P169"/>
    <mergeCell ref="Q173:R173"/>
    <mergeCell ref="S173:T173"/>
    <mergeCell ref="E174:F174"/>
    <mergeCell ref="G174:H174"/>
    <mergeCell ref="I174:J174"/>
    <mergeCell ref="K174:L174"/>
    <mergeCell ref="Q174:R174"/>
    <mergeCell ref="S174:T174"/>
    <mergeCell ref="E173:F173"/>
    <mergeCell ref="G173:H173"/>
    <mergeCell ref="I173:J173"/>
    <mergeCell ref="K173:L173"/>
    <mergeCell ref="M173:N173"/>
    <mergeCell ref="O173:P173"/>
    <mergeCell ref="Q171:R171"/>
    <mergeCell ref="S171:T171"/>
    <mergeCell ref="Q172:R172"/>
    <mergeCell ref="S172:T172"/>
    <mergeCell ref="M172:N172"/>
    <mergeCell ref="O172:P172"/>
    <mergeCell ref="Q175:R175"/>
    <mergeCell ref="S175:T175"/>
    <mergeCell ref="M174:N174"/>
    <mergeCell ref="O174:P174"/>
    <mergeCell ref="E176:F176"/>
    <mergeCell ref="G176:H176"/>
    <mergeCell ref="I176:J176"/>
    <mergeCell ref="K176:L176"/>
    <mergeCell ref="Q176:R176"/>
    <mergeCell ref="S176:T176"/>
    <mergeCell ref="E175:F175"/>
    <mergeCell ref="G175:H175"/>
    <mergeCell ref="I175:J175"/>
    <mergeCell ref="K175:L175"/>
    <mergeCell ref="M176:N176"/>
    <mergeCell ref="O176:P176"/>
    <mergeCell ref="M175:N175"/>
    <mergeCell ref="O175:P175"/>
    <mergeCell ref="M178:N178"/>
    <mergeCell ref="O178:P178"/>
    <mergeCell ref="E180:F180"/>
    <mergeCell ref="G180:H180"/>
    <mergeCell ref="I180:J180"/>
    <mergeCell ref="K180:L180"/>
    <mergeCell ref="E179:F179"/>
    <mergeCell ref="G179:H179"/>
    <mergeCell ref="I179:J179"/>
    <mergeCell ref="K179:L179"/>
    <mergeCell ref="M179:N179"/>
    <mergeCell ref="O179:P179"/>
    <mergeCell ref="Q177:R177"/>
    <mergeCell ref="S177:T177"/>
    <mergeCell ref="E178:F178"/>
    <mergeCell ref="G178:H178"/>
    <mergeCell ref="I178:J178"/>
    <mergeCell ref="K178:L178"/>
    <mergeCell ref="Q178:R178"/>
    <mergeCell ref="S178:T178"/>
    <mergeCell ref="E177:F177"/>
    <mergeCell ref="G177:H177"/>
    <mergeCell ref="I177:J177"/>
    <mergeCell ref="K177:L177"/>
    <mergeCell ref="M177:N177"/>
    <mergeCell ref="O177:P177"/>
    <mergeCell ref="Q181:R181"/>
    <mergeCell ref="S181:T181"/>
    <mergeCell ref="E182:F182"/>
    <mergeCell ref="G182:H182"/>
    <mergeCell ref="I182:J182"/>
    <mergeCell ref="K182:L182"/>
    <mergeCell ref="Q182:R182"/>
    <mergeCell ref="S182:T182"/>
    <mergeCell ref="E181:F181"/>
    <mergeCell ref="G181:H181"/>
    <mergeCell ref="I181:J181"/>
    <mergeCell ref="K181:L181"/>
    <mergeCell ref="M181:N181"/>
    <mergeCell ref="O181:P181"/>
    <mergeCell ref="Q179:R179"/>
    <mergeCell ref="S179:T179"/>
    <mergeCell ref="Q180:R180"/>
    <mergeCell ref="S180:T180"/>
    <mergeCell ref="M180:N180"/>
    <mergeCell ref="O180:P180"/>
    <mergeCell ref="Q185:R185"/>
    <mergeCell ref="G186:H186"/>
    <mergeCell ref="K186:L186"/>
    <mergeCell ref="I186:J186"/>
    <mergeCell ref="Q183:R183"/>
    <mergeCell ref="S183:T183"/>
    <mergeCell ref="M182:N182"/>
    <mergeCell ref="O182:P182"/>
    <mergeCell ref="E184:F184"/>
    <mergeCell ref="G184:H184"/>
    <mergeCell ref="I184:J184"/>
    <mergeCell ref="K184:L184"/>
    <mergeCell ref="S184:T184"/>
    <mergeCell ref="E183:F183"/>
    <mergeCell ref="G183:H183"/>
    <mergeCell ref="I183:J183"/>
    <mergeCell ref="K183:L183"/>
    <mergeCell ref="M184:N184"/>
    <mergeCell ref="O184:P184"/>
    <mergeCell ref="M183:N183"/>
    <mergeCell ref="O183:P183"/>
    <mergeCell ref="C279:D279"/>
    <mergeCell ref="E340:H340"/>
    <mergeCell ref="E358:H358"/>
    <mergeCell ref="E360:H360"/>
    <mergeCell ref="C6:R6"/>
    <mergeCell ref="E7:L7"/>
    <mergeCell ref="M7:T7"/>
    <mergeCell ref="C186:D186"/>
    <mergeCell ref="E186:F186"/>
    <mergeCell ref="C7:C9"/>
    <mergeCell ref="E244:H244"/>
    <mergeCell ref="C242:C243"/>
    <mergeCell ref="C232:D232"/>
    <mergeCell ref="E205:H205"/>
    <mergeCell ref="E204:H204"/>
    <mergeCell ref="E206:H206"/>
    <mergeCell ref="E210:H210"/>
    <mergeCell ref="S185:T185"/>
    <mergeCell ref="O186:P186"/>
    <mergeCell ref="Q186:R186"/>
    <mergeCell ref="S186:T186"/>
    <mergeCell ref="M185:N185"/>
    <mergeCell ref="O185:P185"/>
    <mergeCell ref="E185:F185"/>
    <mergeCell ref="G185:H185"/>
    <mergeCell ref="I185:J185"/>
    <mergeCell ref="K185:L185"/>
    <mergeCell ref="M186:N186"/>
    <mergeCell ref="Q184:R184"/>
    <mergeCell ref="C45:D45"/>
    <mergeCell ref="S53:T53"/>
    <mergeCell ref="G8:H8"/>
    <mergeCell ref="M56:P56"/>
    <mergeCell ref="I62:L62"/>
    <mergeCell ref="M62:P62"/>
    <mergeCell ref="Q62:T62"/>
    <mergeCell ref="E62:H62"/>
    <mergeCell ref="E63:H63"/>
    <mergeCell ref="E64:H64"/>
    <mergeCell ref="I64:L64"/>
    <mergeCell ref="M64:P64"/>
    <mergeCell ref="Q64:T64"/>
    <mergeCell ref="Q63:T63"/>
    <mergeCell ref="M63:P63"/>
    <mergeCell ref="I63:L63"/>
    <mergeCell ref="E61:H61"/>
    <mergeCell ref="E60:H60"/>
    <mergeCell ref="E59:H59"/>
    <mergeCell ref="Q58:T58"/>
    <mergeCell ref="M58:P58"/>
    <mergeCell ref="I58:L58"/>
    <mergeCell ref="E58:H58"/>
    <mergeCell ref="Q61:T61"/>
    <mergeCell ref="Q59:T59"/>
    <mergeCell ref="Q60:T60"/>
    <mergeCell ref="M61:P61"/>
    <mergeCell ref="M60:P60"/>
    <mergeCell ref="M59:P59"/>
    <mergeCell ref="I59:L59"/>
    <mergeCell ref="I60:L60"/>
    <mergeCell ref="I61:L61"/>
    <mergeCell ref="E65:H65"/>
    <mergeCell ref="E66:H66"/>
    <mergeCell ref="E67:H67"/>
    <mergeCell ref="E68:H68"/>
    <mergeCell ref="E70:H70"/>
    <mergeCell ref="E69:H69"/>
    <mergeCell ref="I66:L66"/>
    <mergeCell ref="M66:P66"/>
    <mergeCell ref="Q66:T66"/>
    <mergeCell ref="Q65:T65"/>
    <mergeCell ref="M65:P65"/>
    <mergeCell ref="I65:L65"/>
    <mergeCell ref="I68:L68"/>
    <mergeCell ref="M68:P68"/>
    <mergeCell ref="Q68:T68"/>
    <mergeCell ref="Q67:T67"/>
    <mergeCell ref="M67:P67"/>
    <mergeCell ref="I67:L67"/>
    <mergeCell ref="Q72:T72"/>
    <mergeCell ref="Q71:T71"/>
    <mergeCell ref="M71:P71"/>
    <mergeCell ref="I71:L71"/>
    <mergeCell ref="E71:H71"/>
    <mergeCell ref="E73:H73"/>
    <mergeCell ref="E72:H72"/>
    <mergeCell ref="I73:L73"/>
    <mergeCell ref="I72:L72"/>
    <mergeCell ref="M73:P73"/>
    <mergeCell ref="M72:P72"/>
    <mergeCell ref="I69:L69"/>
    <mergeCell ref="I70:L70"/>
    <mergeCell ref="M70:P70"/>
    <mergeCell ref="M69:P69"/>
    <mergeCell ref="Q69:T69"/>
    <mergeCell ref="Q70:T70"/>
    <mergeCell ref="Q77:T77"/>
    <mergeCell ref="Q76:T76"/>
    <mergeCell ref="Q75:T75"/>
    <mergeCell ref="M75:P75"/>
    <mergeCell ref="I75:L75"/>
    <mergeCell ref="E75:H75"/>
    <mergeCell ref="E74:H74"/>
    <mergeCell ref="I74:L74"/>
    <mergeCell ref="M74:P74"/>
    <mergeCell ref="Q74:T74"/>
    <mergeCell ref="E77:H77"/>
    <mergeCell ref="E76:H76"/>
    <mergeCell ref="I77:L77"/>
    <mergeCell ref="I76:L76"/>
    <mergeCell ref="M76:P76"/>
    <mergeCell ref="M77:P77"/>
    <mergeCell ref="Q73:T73"/>
    <mergeCell ref="M82:P82"/>
    <mergeCell ref="Q82:T82"/>
    <mergeCell ref="Q81:T81"/>
    <mergeCell ref="M81:P81"/>
    <mergeCell ref="I81:L81"/>
    <mergeCell ref="E81:H81"/>
    <mergeCell ref="E84:H84"/>
    <mergeCell ref="E83:H83"/>
    <mergeCell ref="E82:H82"/>
    <mergeCell ref="I84:L84"/>
    <mergeCell ref="M84:P84"/>
    <mergeCell ref="Q84:T84"/>
    <mergeCell ref="Q83:T83"/>
    <mergeCell ref="M83:P83"/>
    <mergeCell ref="I83:L83"/>
    <mergeCell ref="I82:L82"/>
    <mergeCell ref="M78:P78"/>
    <mergeCell ref="M79:P79"/>
    <mergeCell ref="M80:P80"/>
    <mergeCell ref="Q80:T80"/>
    <mergeCell ref="Q79:T79"/>
    <mergeCell ref="Q78:T78"/>
    <mergeCell ref="E78:H78"/>
    <mergeCell ref="E79:H79"/>
    <mergeCell ref="E80:H80"/>
    <mergeCell ref="I80:L80"/>
    <mergeCell ref="I79:L79"/>
    <mergeCell ref="I78:L78"/>
    <mergeCell ref="Q91:T91"/>
    <mergeCell ref="M91:P91"/>
    <mergeCell ref="I91:L91"/>
    <mergeCell ref="E91:H91"/>
    <mergeCell ref="E85:H85"/>
    <mergeCell ref="I85:L85"/>
    <mergeCell ref="M85:P85"/>
    <mergeCell ref="Q85:T85"/>
    <mergeCell ref="Q86:T86"/>
    <mergeCell ref="M86:P86"/>
    <mergeCell ref="I86:L86"/>
    <mergeCell ref="E86:H86"/>
    <mergeCell ref="M89:P89"/>
    <mergeCell ref="M88:P88"/>
    <mergeCell ref="M87:P87"/>
    <mergeCell ref="Q89:T89"/>
    <mergeCell ref="Q88:T88"/>
    <mergeCell ref="Q87:T87"/>
    <mergeCell ref="E89:H89"/>
    <mergeCell ref="E88:H88"/>
    <mergeCell ref="E87:H87"/>
    <mergeCell ref="I89:L89"/>
    <mergeCell ref="I88:L88"/>
    <mergeCell ref="I87:L87"/>
    <mergeCell ref="C379:J379"/>
    <mergeCell ref="C332:J332"/>
    <mergeCell ref="C285:J285"/>
    <mergeCell ref="C238:J238"/>
    <mergeCell ref="C192:J192"/>
    <mergeCell ref="C145:J145"/>
    <mergeCell ref="C97:J97"/>
    <mergeCell ref="C51:J51"/>
    <mergeCell ref="B7:B9"/>
    <mergeCell ref="B2:T2"/>
    <mergeCell ref="S335:T335"/>
    <mergeCell ref="C335:R335"/>
    <mergeCell ref="S149:T150"/>
    <mergeCell ref="S147:T147"/>
    <mergeCell ref="C148:C150"/>
    <mergeCell ref="M148:T148"/>
    <mergeCell ref="C4:T4"/>
    <mergeCell ref="S288:T288"/>
    <mergeCell ref="C288:R288"/>
    <mergeCell ref="C100:R100"/>
    <mergeCell ref="Q102:R102"/>
    <mergeCell ref="S102:T102"/>
    <mergeCell ref="E101:L101"/>
    <mergeCell ref="C101:C103"/>
    <mergeCell ref="O102:P102"/>
    <mergeCell ref="M101:T101"/>
    <mergeCell ref="S100:T100"/>
    <mergeCell ref="D101:D103"/>
    <mergeCell ref="E90:H90"/>
    <mergeCell ref="I90:L90"/>
    <mergeCell ref="M90:P90"/>
    <mergeCell ref="Q90:T90"/>
  </mergeCells>
  <phoneticPr fontId="32" type="noConversion"/>
  <pageMargins left="0.16" right="0.16" top="0.18" bottom="0.2" header="0.16" footer="0.17"/>
  <pageSetup paperSize="9" scale="56" orientation="landscape" horizontalDpi="300" verticalDpi="300" r:id="rId1"/>
  <headerFooter alignWithMargins="0"/>
  <rowBreaks count="2" manualBreakCount="2">
    <brk id="51" max="16383" man="1"/>
    <brk id="386" max="16383" man="1"/>
  </rowBreaks>
  <ignoredErrors>
    <ignoredError sqref="D32 B45 D11:D16 D18:D28 D30 D34:D39 D41:D44 B47:B48 B287:B373 B51:B286" numberStoredAsText="1"/>
    <ignoredError sqref="K153:T184 K186:T186 K185:P185"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1" tint="4.9989318521683403E-2"/>
  </sheetPr>
  <dimension ref="B1:T111"/>
  <sheetViews>
    <sheetView showGridLines="0" topLeftCell="A59" zoomScale="90" zoomScaleNormal="90" workbookViewId="0">
      <selection activeCell="U71" sqref="U71"/>
    </sheetView>
  </sheetViews>
  <sheetFormatPr defaultColWidth="9.140625" defaultRowHeight="12.75" outlineLevelRow="1" x14ac:dyDescent="0.2"/>
  <cols>
    <col min="1" max="1" width="2" style="324" customWidth="1"/>
    <col min="2" max="2" width="9.140625" style="324"/>
    <col min="3" max="3" width="3.7109375" style="324" customWidth="1"/>
    <col min="4" max="4" width="45.85546875" style="324" customWidth="1"/>
    <col min="5" max="10" width="12" style="324" customWidth="1"/>
    <col min="11" max="11" width="13.42578125" style="324" bestFit="1" customWidth="1"/>
    <col min="12" max="12" width="11" style="324" bestFit="1" customWidth="1"/>
    <col min="13" max="18" width="11.28515625" style="324" customWidth="1"/>
    <col min="19" max="20" width="12.5703125" style="324" customWidth="1"/>
    <col min="21" max="16384" width="9.140625" style="324"/>
  </cols>
  <sheetData>
    <row r="1" spans="2:20" s="319" customFormat="1" ht="15" x14ac:dyDescent="0.3">
      <c r="B1" s="831" t="s">
        <v>315</v>
      </c>
      <c r="C1" s="831"/>
      <c r="D1" s="320"/>
      <c r="E1" s="320"/>
      <c r="I1" s="165"/>
      <c r="T1" s="342" t="s">
        <v>1181</v>
      </c>
    </row>
    <row r="2" spans="2:20" s="322" customFormat="1" ht="15" x14ac:dyDescent="0.3">
      <c r="B2" s="831" t="s">
        <v>4688</v>
      </c>
      <c r="C2" s="831"/>
      <c r="D2" s="831"/>
      <c r="E2" s="831"/>
      <c r="F2" s="831"/>
      <c r="G2" s="831"/>
      <c r="H2" s="831"/>
      <c r="I2" s="831"/>
      <c r="J2" s="831"/>
      <c r="K2" s="831"/>
      <c r="L2" s="831"/>
      <c r="M2" s="831"/>
      <c r="N2" s="831"/>
      <c r="O2" s="831"/>
      <c r="P2" s="831"/>
      <c r="Q2" s="831"/>
      <c r="R2" s="831"/>
      <c r="S2" s="831"/>
      <c r="T2" s="831"/>
    </row>
    <row r="3" spans="2:20" s="322" customFormat="1" ht="15" x14ac:dyDescent="0.3">
      <c r="C3" s="321"/>
      <c r="D3" s="323"/>
    </row>
    <row r="4" spans="2:20" s="363" customFormat="1" ht="18" x14ac:dyDescent="0.35">
      <c r="C4" s="1034" t="s">
        <v>92</v>
      </c>
      <c r="D4" s="1034"/>
      <c r="E4" s="1034"/>
      <c r="F4" s="1034"/>
      <c r="G4" s="1034"/>
      <c r="H4" s="1034"/>
      <c r="I4" s="1034"/>
      <c r="J4" s="1034"/>
      <c r="K4" s="1034"/>
      <c r="L4" s="1034"/>
      <c r="M4" s="1034"/>
      <c r="N4" s="1034"/>
      <c r="O4" s="1034"/>
      <c r="P4" s="1034"/>
      <c r="Q4" s="1034"/>
      <c r="R4" s="1034"/>
      <c r="S4" s="1034"/>
      <c r="T4" s="1034"/>
    </row>
    <row r="5" spans="2:20" s="363" customFormat="1" ht="15" customHeight="1" x14ac:dyDescent="0.35">
      <c r="C5" s="364"/>
      <c r="D5" s="364"/>
      <c r="E5" s="364"/>
      <c r="F5" s="364"/>
      <c r="G5" s="364"/>
      <c r="H5" s="364"/>
      <c r="I5" s="364"/>
      <c r="J5" s="364"/>
      <c r="K5" s="364"/>
      <c r="L5" s="364"/>
      <c r="M5" s="364"/>
      <c r="N5" s="364"/>
      <c r="O5" s="364"/>
      <c r="P5" s="364"/>
      <c r="Q5" s="364"/>
      <c r="R5" s="364"/>
      <c r="S5" s="364"/>
      <c r="T5" s="364"/>
    </row>
    <row r="6" spans="2:20" s="322" customFormat="1" ht="15" customHeight="1" thickBot="1" x14ac:dyDescent="0.35">
      <c r="C6" s="1036" t="s">
        <v>89</v>
      </c>
      <c r="D6" s="1036"/>
      <c r="E6" s="1036"/>
      <c r="F6" s="1036"/>
      <c r="G6" s="1036"/>
      <c r="H6" s="1036"/>
      <c r="I6" s="1036"/>
      <c r="J6" s="1036"/>
      <c r="K6" s="1036"/>
      <c r="L6" s="1036"/>
      <c r="M6" s="1036"/>
      <c r="N6" s="1036"/>
      <c r="O6" s="1036"/>
      <c r="P6" s="1036"/>
      <c r="Q6" s="1036"/>
      <c r="R6" s="1036"/>
      <c r="S6" s="1035" t="s">
        <v>1182</v>
      </c>
      <c r="T6" s="1035"/>
    </row>
    <row r="7" spans="2:20" s="366" customFormat="1" ht="18" customHeight="1" x14ac:dyDescent="0.2">
      <c r="B7" s="1042" t="s">
        <v>4627</v>
      </c>
      <c r="C7" s="920" t="s">
        <v>1211</v>
      </c>
      <c r="D7" s="931" t="s">
        <v>95</v>
      </c>
      <c r="E7" s="1045" t="s">
        <v>99</v>
      </c>
      <c r="F7" s="1046"/>
      <c r="G7" s="1046"/>
      <c r="H7" s="1046"/>
      <c r="I7" s="1046"/>
      <c r="J7" s="1046"/>
      <c r="K7" s="1046"/>
      <c r="L7" s="1047"/>
      <c r="M7" s="1039" t="s">
        <v>3406</v>
      </c>
      <c r="N7" s="1040"/>
      <c r="O7" s="1040"/>
      <c r="P7" s="1040"/>
      <c r="Q7" s="1040"/>
      <c r="R7" s="1040"/>
      <c r="S7" s="1040"/>
      <c r="T7" s="1041"/>
    </row>
    <row r="8" spans="2:20" s="365" customFormat="1" ht="15" x14ac:dyDescent="0.2">
      <c r="B8" s="1043"/>
      <c r="C8" s="921"/>
      <c r="D8" s="932"/>
      <c r="E8" s="990" t="s">
        <v>107</v>
      </c>
      <c r="F8" s="990"/>
      <c r="G8" s="990" t="s">
        <v>88</v>
      </c>
      <c r="H8" s="990"/>
      <c r="I8" s="982" t="s">
        <v>94</v>
      </c>
      <c r="J8" s="982"/>
      <c r="K8" s="1037" t="s">
        <v>235</v>
      </c>
      <c r="L8" s="1037"/>
      <c r="M8" s="990" t="s">
        <v>107</v>
      </c>
      <c r="N8" s="990"/>
      <c r="O8" s="990" t="s">
        <v>88</v>
      </c>
      <c r="P8" s="990"/>
      <c r="Q8" s="982" t="s">
        <v>94</v>
      </c>
      <c r="R8" s="982"/>
      <c r="S8" s="1037" t="s">
        <v>235</v>
      </c>
      <c r="T8" s="1038"/>
    </row>
    <row r="9" spans="2:20" s="367" customFormat="1" ht="30" x14ac:dyDescent="0.2">
      <c r="B9" s="1044"/>
      <c r="C9" s="922"/>
      <c r="D9" s="933"/>
      <c r="E9" s="331" t="s">
        <v>104</v>
      </c>
      <c r="F9" s="331" t="s">
        <v>101</v>
      </c>
      <c r="G9" s="331" t="s">
        <v>104</v>
      </c>
      <c r="H9" s="331" t="s">
        <v>101</v>
      </c>
      <c r="I9" s="331" t="s">
        <v>104</v>
      </c>
      <c r="J9" s="331" t="s">
        <v>101</v>
      </c>
      <c r="K9" s="368" t="s">
        <v>105</v>
      </c>
      <c r="L9" s="368" t="s">
        <v>102</v>
      </c>
      <c r="M9" s="331" t="s">
        <v>104</v>
      </c>
      <c r="N9" s="331" t="s">
        <v>101</v>
      </c>
      <c r="O9" s="331" t="s">
        <v>104</v>
      </c>
      <c r="P9" s="331" t="s">
        <v>101</v>
      </c>
      <c r="Q9" s="331" t="s">
        <v>104</v>
      </c>
      <c r="R9" s="331" t="s">
        <v>101</v>
      </c>
      <c r="S9" s="368" t="s">
        <v>106</v>
      </c>
      <c r="T9" s="369" t="s">
        <v>103</v>
      </c>
    </row>
    <row r="10" spans="2:20" s="372" customFormat="1" ht="12" customHeight="1" outlineLevel="1" x14ac:dyDescent="0.2">
      <c r="B10" s="609"/>
      <c r="C10" s="373"/>
      <c r="D10" s="371"/>
      <c r="E10" s="374" t="s">
        <v>401</v>
      </c>
      <c r="F10" s="374" t="s">
        <v>402</v>
      </c>
      <c r="G10" s="374" t="s">
        <v>403</v>
      </c>
      <c r="H10" s="374" t="s">
        <v>404</v>
      </c>
      <c r="I10" s="374" t="s">
        <v>405</v>
      </c>
      <c r="J10" s="374" t="s">
        <v>406</v>
      </c>
      <c r="K10" s="374" t="s">
        <v>407</v>
      </c>
      <c r="L10" s="374" t="s">
        <v>408</v>
      </c>
      <c r="M10" s="374" t="s">
        <v>416</v>
      </c>
      <c r="N10" s="374" t="s">
        <v>417</v>
      </c>
      <c r="O10" s="374" t="s">
        <v>418</v>
      </c>
      <c r="P10" s="374" t="s">
        <v>419</v>
      </c>
      <c r="Q10" s="374" t="s">
        <v>420</v>
      </c>
      <c r="R10" s="374" t="s">
        <v>421</v>
      </c>
      <c r="S10" s="374" t="s">
        <v>422</v>
      </c>
      <c r="T10" s="610" t="s">
        <v>423</v>
      </c>
    </row>
    <row r="11" spans="2:20" ht="15" outlineLevel="1" x14ac:dyDescent="0.2">
      <c r="B11" s="60" t="s">
        <v>3628</v>
      </c>
      <c r="C11" s="399">
        <v>1</v>
      </c>
      <c r="D11" s="387" t="s">
        <v>96</v>
      </c>
      <c r="E11" s="641"/>
      <c r="F11" s="641"/>
      <c r="G11" s="641"/>
      <c r="H11" s="641"/>
      <c r="I11" s="641"/>
      <c r="J11" s="641"/>
      <c r="K11" s="375">
        <f t="shared" ref="K11:L14" si="0">E11+G11+I11</f>
        <v>0</v>
      </c>
      <c r="L11" s="375">
        <f t="shared" si="0"/>
        <v>0</v>
      </c>
      <c r="M11" s="641"/>
      <c r="N11" s="641"/>
      <c r="O11" s="641"/>
      <c r="P11" s="641"/>
      <c r="Q11" s="641"/>
      <c r="R11" s="641"/>
      <c r="S11" s="375">
        <f>M11+O11+Q11</f>
        <v>0</v>
      </c>
      <c r="T11" s="376">
        <f>N11+P11+R11</f>
        <v>0</v>
      </c>
    </row>
    <row r="12" spans="2:20" ht="15" outlineLevel="1" x14ac:dyDescent="0.2">
      <c r="B12" s="60" t="s">
        <v>3629</v>
      </c>
      <c r="C12" s="399">
        <v>2</v>
      </c>
      <c r="D12" s="387" t="s">
        <v>97</v>
      </c>
      <c r="E12" s="641"/>
      <c r="F12" s="641"/>
      <c r="G12" s="641"/>
      <c r="H12" s="641"/>
      <c r="I12" s="641"/>
      <c r="J12" s="641"/>
      <c r="K12" s="375">
        <f t="shared" si="0"/>
        <v>0</v>
      </c>
      <c r="L12" s="375">
        <f t="shared" si="0"/>
        <v>0</v>
      </c>
      <c r="M12" s="641"/>
      <c r="N12" s="641"/>
      <c r="O12" s="641"/>
      <c r="P12" s="641"/>
      <c r="Q12" s="641"/>
      <c r="R12" s="641"/>
      <c r="S12" s="375">
        <f t="shared" ref="S12:T14" si="1">M12+O12+Q12</f>
        <v>0</v>
      </c>
      <c r="T12" s="376">
        <f t="shared" si="1"/>
        <v>0</v>
      </c>
    </row>
    <row r="13" spans="2:20" ht="30" outlineLevel="1" x14ac:dyDescent="0.2">
      <c r="B13" s="60" t="s">
        <v>3630</v>
      </c>
      <c r="C13" s="399">
        <v>3</v>
      </c>
      <c r="D13" s="387" t="s">
        <v>3410</v>
      </c>
      <c r="E13" s="641"/>
      <c r="F13" s="641"/>
      <c r="G13" s="641"/>
      <c r="H13" s="641"/>
      <c r="I13" s="641"/>
      <c r="J13" s="641"/>
      <c r="K13" s="375">
        <f t="shared" si="0"/>
        <v>0</v>
      </c>
      <c r="L13" s="375">
        <f t="shared" si="0"/>
        <v>0</v>
      </c>
      <c r="M13" s="641"/>
      <c r="N13" s="641"/>
      <c r="O13" s="641"/>
      <c r="P13" s="641"/>
      <c r="Q13" s="641"/>
      <c r="R13" s="641"/>
      <c r="S13" s="375">
        <f>M13+O13+Q13</f>
        <v>0</v>
      </c>
      <c r="T13" s="376">
        <f t="shared" si="1"/>
        <v>0</v>
      </c>
    </row>
    <row r="14" spans="2:20" ht="15" outlineLevel="1" x14ac:dyDescent="0.2">
      <c r="B14" s="60" t="s">
        <v>3631</v>
      </c>
      <c r="C14" s="399">
        <v>4</v>
      </c>
      <c r="D14" s="387" t="s">
        <v>1153</v>
      </c>
      <c r="E14" s="641"/>
      <c r="F14" s="641"/>
      <c r="G14" s="641"/>
      <c r="H14" s="641"/>
      <c r="I14" s="641"/>
      <c r="J14" s="641"/>
      <c r="K14" s="375">
        <f t="shared" si="0"/>
        <v>0</v>
      </c>
      <c r="L14" s="375">
        <f t="shared" si="0"/>
        <v>0</v>
      </c>
      <c r="M14" s="641"/>
      <c r="N14" s="641"/>
      <c r="O14" s="641"/>
      <c r="P14" s="641"/>
      <c r="Q14" s="641"/>
      <c r="R14" s="641"/>
      <c r="S14" s="375">
        <f>M14+O14+Q14</f>
        <v>0</v>
      </c>
      <c r="T14" s="376">
        <f t="shared" si="1"/>
        <v>0</v>
      </c>
    </row>
    <row r="15" spans="2:20" ht="15.75" thickBot="1" x14ac:dyDescent="0.25">
      <c r="B15" s="445" t="s">
        <v>3632</v>
      </c>
      <c r="C15" s="1025" t="s">
        <v>3407</v>
      </c>
      <c r="D15" s="1026"/>
      <c r="E15" s="642">
        <f t="shared" ref="E15:T15" si="2">SUM(E11:E14)</f>
        <v>0</v>
      </c>
      <c r="F15" s="642">
        <f t="shared" si="2"/>
        <v>0</v>
      </c>
      <c r="G15" s="642">
        <f t="shared" si="2"/>
        <v>0</v>
      </c>
      <c r="H15" s="642">
        <f t="shared" si="2"/>
        <v>0</v>
      </c>
      <c r="I15" s="642">
        <f t="shared" si="2"/>
        <v>0</v>
      </c>
      <c r="J15" s="642">
        <f t="shared" si="2"/>
        <v>0</v>
      </c>
      <c r="K15" s="642">
        <f t="shared" si="2"/>
        <v>0</v>
      </c>
      <c r="L15" s="642">
        <f t="shared" si="2"/>
        <v>0</v>
      </c>
      <c r="M15" s="642">
        <f t="shared" si="2"/>
        <v>0</v>
      </c>
      <c r="N15" s="642">
        <f t="shared" si="2"/>
        <v>0</v>
      </c>
      <c r="O15" s="642">
        <f t="shared" si="2"/>
        <v>0</v>
      </c>
      <c r="P15" s="642">
        <f t="shared" si="2"/>
        <v>0</v>
      </c>
      <c r="Q15" s="642">
        <f t="shared" si="2"/>
        <v>0</v>
      </c>
      <c r="R15" s="642">
        <f t="shared" si="2"/>
        <v>0</v>
      </c>
      <c r="S15" s="642">
        <f t="shared" si="2"/>
        <v>0</v>
      </c>
      <c r="T15" s="377">
        <f t="shared" si="2"/>
        <v>0</v>
      </c>
    </row>
    <row r="16" spans="2:20" s="326" customFormat="1" ht="13.5" x14ac:dyDescent="0.25">
      <c r="C16" s="1"/>
      <c r="D16" s="2"/>
      <c r="E16" s="325"/>
      <c r="F16" s="325"/>
      <c r="G16" s="325"/>
      <c r="H16" s="325"/>
      <c r="I16" s="325"/>
      <c r="J16" s="325"/>
      <c r="K16" s="325"/>
      <c r="L16" s="325"/>
      <c r="M16" s="325"/>
      <c r="N16" s="325"/>
      <c r="O16" s="325"/>
      <c r="P16" s="325"/>
      <c r="Q16" s="325"/>
      <c r="R16" s="325"/>
      <c r="S16" s="325"/>
      <c r="T16" s="325"/>
    </row>
    <row r="17" spans="2:20" s="322" customFormat="1" ht="15" x14ac:dyDescent="0.3"/>
    <row r="18" spans="2:20" s="322" customFormat="1" ht="15" customHeight="1" thickBot="1" x14ac:dyDescent="0.35">
      <c r="C18" s="1020" t="s">
        <v>98</v>
      </c>
      <c r="D18" s="1020"/>
      <c r="E18" s="1020"/>
      <c r="F18" s="1020"/>
      <c r="G18" s="1020"/>
      <c r="H18" s="1020"/>
      <c r="I18" s="1020"/>
      <c r="J18" s="1020"/>
      <c r="K18" s="1020"/>
      <c r="L18" s="1020"/>
      <c r="M18" s="1020"/>
      <c r="N18" s="1020"/>
      <c r="O18" s="1020"/>
      <c r="P18" s="1020"/>
      <c r="Q18" s="1020"/>
      <c r="R18" s="1020"/>
      <c r="S18" s="1019" t="s">
        <v>1183</v>
      </c>
      <c r="T18" s="1019"/>
    </row>
    <row r="19" spans="2:20" s="367" customFormat="1" ht="18" customHeight="1" x14ac:dyDescent="0.2">
      <c r="B19" s="611"/>
      <c r="C19" s="985" t="s">
        <v>1211</v>
      </c>
      <c r="D19" s="995" t="s">
        <v>95</v>
      </c>
      <c r="E19" s="997" t="s">
        <v>99</v>
      </c>
      <c r="F19" s="997"/>
      <c r="G19" s="997"/>
      <c r="H19" s="997"/>
      <c r="I19" s="997"/>
      <c r="J19" s="997"/>
      <c r="K19" s="997"/>
      <c r="L19" s="997"/>
      <c r="M19" s="997" t="s">
        <v>100</v>
      </c>
      <c r="N19" s="997"/>
      <c r="O19" s="997"/>
      <c r="P19" s="997"/>
      <c r="Q19" s="997"/>
      <c r="R19" s="997"/>
      <c r="S19" s="997"/>
      <c r="T19" s="998"/>
    </row>
    <row r="20" spans="2:20" s="367" customFormat="1" ht="15" customHeight="1" x14ac:dyDescent="0.2">
      <c r="B20" s="612"/>
      <c r="C20" s="973"/>
      <c r="D20" s="996"/>
      <c r="E20" s="973" t="s">
        <v>104</v>
      </c>
      <c r="F20" s="973"/>
      <c r="G20" s="973"/>
      <c r="H20" s="973"/>
      <c r="I20" s="973" t="s">
        <v>101</v>
      </c>
      <c r="J20" s="973"/>
      <c r="K20" s="973"/>
      <c r="L20" s="973"/>
      <c r="M20" s="973" t="s">
        <v>104</v>
      </c>
      <c r="N20" s="973"/>
      <c r="O20" s="973"/>
      <c r="P20" s="973"/>
      <c r="Q20" s="973" t="s">
        <v>101</v>
      </c>
      <c r="R20" s="973"/>
      <c r="S20" s="973"/>
      <c r="T20" s="1029"/>
    </row>
    <row r="21" spans="2:20" s="370" customFormat="1" ht="12" customHeight="1" outlineLevel="1" x14ac:dyDescent="0.25">
      <c r="B21" s="619"/>
      <c r="C21" s="378"/>
      <c r="D21" s="379"/>
      <c r="E21" s="1028" t="s">
        <v>401</v>
      </c>
      <c r="F21" s="1028"/>
      <c r="G21" s="1028"/>
      <c r="H21" s="1028"/>
      <c r="I21" s="1028" t="s">
        <v>402</v>
      </c>
      <c r="J21" s="1028"/>
      <c r="K21" s="1028"/>
      <c r="L21" s="1028"/>
      <c r="M21" s="1028" t="s">
        <v>403</v>
      </c>
      <c r="N21" s="1028"/>
      <c r="O21" s="1028"/>
      <c r="P21" s="1028"/>
      <c r="Q21" s="1028" t="s">
        <v>404</v>
      </c>
      <c r="R21" s="1028"/>
      <c r="S21" s="1028"/>
      <c r="T21" s="1030"/>
    </row>
    <row r="22" spans="2:20" ht="15" outlineLevel="1" x14ac:dyDescent="0.2">
      <c r="B22" s="60" t="s">
        <v>3633</v>
      </c>
      <c r="C22" s="399">
        <v>1</v>
      </c>
      <c r="D22" s="387" t="s">
        <v>96</v>
      </c>
      <c r="E22" s="1024"/>
      <c r="F22" s="1024"/>
      <c r="G22" s="1024"/>
      <c r="H22" s="1024"/>
      <c r="I22" s="1024"/>
      <c r="J22" s="1024"/>
      <c r="K22" s="1024"/>
      <c r="L22" s="1024"/>
      <c r="M22" s="1024"/>
      <c r="N22" s="1024"/>
      <c r="O22" s="1024"/>
      <c r="P22" s="1024"/>
      <c r="Q22" s="1024"/>
      <c r="R22" s="1024"/>
      <c r="S22" s="1024"/>
      <c r="T22" s="1027"/>
    </row>
    <row r="23" spans="2:20" ht="15" outlineLevel="1" x14ac:dyDescent="0.2">
      <c r="B23" s="60" t="s">
        <v>3634</v>
      </c>
      <c r="C23" s="399">
        <v>2</v>
      </c>
      <c r="D23" s="387" t="s">
        <v>97</v>
      </c>
      <c r="E23" s="1024"/>
      <c r="F23" s="1024"/>
      <c r="G23" s="1024"/>
      <c r="H23" s="1024"/>
      <c r="I23" s="1024"/>
      <c r="J23" s="1024"/>
      <c r="K23" s="1024"/>
      <c r="L23" s="1024"/>
      <c r="M23" s="1024"/>
      <c r="N23" s="1024"/>
      <c r="O23" s="1024"/>
      <c r="P23" s="1024"/>
      <c r="Q23" s="1024"/>
      <c r="R23" s="1024"/>
      <c r="S23" s="1024"/>
      <c r="T23" s="1027"/>
    </row>
    <row r="24" spans="2:20" ht="30" outlineLevel="1" x14ac:dyDescent="0.2">
      <c r="B24" s="60" t="s">
        <v>3635</v>
      </c>
      <c r="C24" s="399">
        <v>3</v>
      </c>
      <c r="D24" s="387" t="s">
        <v>3410</v>
      </c>
      <c r="E24" s="1024"/>
      <c r="F24" s="1024"/>
      <c r="G24" s="1024"/>
      <c r="H24" s="1024"/>
      <c r="I24" s="1024"/>
      <c r="J24" s="1024"/>
      <c r="K24" s="1024"/>
      <c r="L24" s="1024"/>
      <c r="M24" s="1024"/>
      <c r="N24" s="1024"/>
      <c r="O24" s="1024"/>
      <c r="P24" s="1024"/>
      <c r="Q24" s="1024"/>
      <c r="R24" s="1024"/>
      <c r="S24" s="1024"/>
      <c r="T24" s="1027"/>
    </row>
    <row r="25" spans="2:20" ht="15" outlineLevel="1" x14ac:dyDescent="0.2">
      <c r="B25" s="60" t="s">
        <v>3636</v>
      </c>
      <c r="C25" s="399">
        <v>4</v>
      </c>
      <c r="D25" s="387" t="s">
        <v>1153</v>
      </c>
      <c r="E25" s="1024"/>
      <c r="F25" s="1024"/>
      <c r="G25" s="1024"/>
      <c r="H25" s="1024"/>
      <c r="I25" s="1024"/>
      <c r="J25" s="1024"/>
      <c r="K25" s="1024"/>
      <c r="L25" s="1024"/>
      <c r="M25" s="1024"/>
      <c r="N25" s="1024"/>
      <c r="O25" s="1024"/>
      <c r="P25" s="1024"/>
      <c r="Q25" s="1024"/>
      <c r="R25" s="1024"/>
      <c r="S25" s="1024"/>
      <c r="T25" s="1027"/>
    </row>
    <row r="26" spans="2:20" ht="15.75" thickBot="1" x14ac:dyDescent="0.25">
      <c r="B26" s="467" t="s">
        <v>3637</v>
      </c>
      <c r="C26" s="1017" t="s">
        <v>1154</v>
      </c>
      <c r="D26" s="1018"/>
      <c r="E26" s="1021">
        <f>SUM(E22:H25)</f>
        <v>0</v>
      </c>
      <c r="F26" s="1022"/>
      <c r="G26" s="1022"/>
      <c r="H26" s="1023"/>
      <c r="I26" s="1021">
        <f>SUM(I22:L25)</f>
        <v>0</v>
      </c>
      <c r="J26" s="1022"/>
      <c r="K26" s="1022"/>
      <c r="L26" s="1023"/>
      <c r="M26" s="1021">
        <f>SUM(M22:P25)</f>
        <v>0</v>
      </c>
      <c r="N26" s="1022"/>
      <c r="O26" s="1022"/>
      <c r="P26" s="1023"/>
      <c r="Q26" s="1021">
        <f>SUM(Q22:T25)</f>
        <v>0</v>
      </c>
      <c r="R26" s="1022"/>
      <c r="S26" s="1022"/>
      <c r="T26" s="1048"/>
    </row>
    <row r="27" spans="2:20" s="326" customFormat="1" ht="15" x14ac:dyDescent="0.3">
      <c r="C27" s="1"/>
      <c r="D27" s="2"/>
      <c r="E27" s="325"/>
      <c r="F27" s="325"/>
      <c r="G27" s="325"/>
      <c r="H27" s="325"/>
      <c r="I27" s="325"/>
      <c r="J27" s="1033"/>
      <c r="K27" s="1033"/>
      <c r="L27" s="325"/>
      <c r="M27" s="325"/>
      <c r="N27" s="325"/>
      <c r="O27" s="325"/>
      <c r="P27" s="325"/>
      <c r="Q27" s="325"/>
      <c r="R27" s="325"/>
      <c r="S27" s="325"/>
      <c r="T27" s="325"/>
    </row>
    <row r="28" spans="2:20" s="322" customFormat="1" ht="15" x14ac:dyDescent="0.3"/>
    <row r="29" spans="2:20" s="322" customFormat="1" ht="15" customHeight="1" thickBot="1" x14ac:dyDescent="0.35">
      <c r="C29" s="1016" t="s">
        <v>90</v>
      </c>
      <c r="D29" s="1016"/>
      <c r="E29" s="1016"/>
      <c r="F29" s="1016"/>
      <c r="G29" s="1016"/>
      <c r="H29" s="1016"/>
      <c r="I29" s="1016"/>
      <c r="J29" s="1016"/>
      <c r="K29" s="1016"/>
      <c r="L29" s="1016"/>
      <c r="M29" s="1016"/>
      <c r="N29" s="1016"/>
      <c r="O29" s="1016"/>
      <c r="P29" s="1016"/>
      <c r="Q29" s="1016"/>
      <c r="R29" s="1016"/>
      <c r="S29" s="1019" t="s">
        <v>1184</v>
      </c>
      <c r="T29" s="1019"/>
    </row>
    <row r="30" spans="2:20" s="365" customFormat="1" ht="18" customHeight="1" x14ac:dyDescent="0.2">
      <c r="B30" s="613"/>
      <c r="C30" s="920" t="s">
        <v>1211</v>
      </c>
      <c r="D30" s="931" t="s">
        <v>95</v>
      </c>
      <c r="E30" s="1039" t="s">
        <v>99</v>
      </c>
      <c r="F30" s="1040"/>
      <c r="G30" s="1040"/>
      <c r="H30" s="1040"/>
      <c r="I30" s="1040"/>
      <c r="J30" s="1040"/>
      <c r="K30" s="1040"/>
      <c r="L30" s="1057"/>
      <c r="M30" s="1039" t="s">
        <v>3406</v>
      </c>
      <c r="N30" s="1040"/>
      <c r="O30" s="1040"/>
      <c r="P30" s="1040"/>
      <c r="Q30" s="1040"/>
      <c r="R30" s="1040"/>
      <c r="S30" s="1040"/>
      <c r="T30" s="1041"/>
    </row>
    <row r="31" spans="2:20" s="322" customFormat="1" ht="15" x14ac:dyDescent="0.3">
      <c r="B31" s="614"/>
      <c r="C31" s="921"/>
      <c r="D31" s="932"/>
      <c r="E31" s="930" t="s">
        <v>107</v>
      </c>
      <c r="F31" s="930"/>
      <c r="G31" s="930" t="s">
        <v>88</v>
      </c>
      <c r="H31" s="930"/>
      <c r="I31" s="982" t="s">
        <v>94</v>
      </c>
      <c r="J31" s="982"/>
      <c r="K31" s="927" t="s">
        <v>108</v>
      </c>
      <c r="L31" s="927"/>
      <c r="M31" s="930" t="s">
        <v>107</v>
      </c>
      <c r="N31" s="930"/>
      <c r="O31" s="930" t="s">
        <v>88</v>
      </c>
      <c r="P31" s="930"/>
      <c r="Q31" s="982" t="s">
        <v>94</v>
      </c>
      <c r="R31" s="982"/>
      <c r="S31" s="927" t="s">
        <v>235</v>
      </c>
      <c r="T31" s="928"/>
    </row>
    <row r="32" spans="2:20" s="322" customFormat="1" ht="30" x14ac:dyDescent="0.3">
      <c r="B32" s="614"/>
      <c r="C32" s="922"/>
      <c r="D32" s="933"/>
      <c r="E32" s="348" t="s">
        <v>104</v>
      </c>
      <c r="F32" s="348" t="s">
        <v>101</v>
      </c>
      <c r="G32" s="348" t="s">
        <v>104</v>
      </c>
      <c r="H32" s="348" t="s">
        <v>101</v>
      </c>
      <c r="I32" s="348" t="s">
        <v>104</v>
      </c>
      <c r="J32" s="348" t="s">
        <v>101</v>
      </c>
      <c r="K32" s="380" t="s">
        <v>105</v>
      </c>
      <c r="L32" s="380" t="s">
        <v>102</v>
      </c>
      <c r="M32" s="348" t="s">
        <v>104</v>
      </c>
      <c r="N32" s="348" t="s">
        <v>101</v>
      </c>
      <c r="O32" s="348" t="s">
        <v>104</v>
      </c>
      <c r="P32" s="348" t="s">
        <v>101</v>
      </c>
      <c r="Q32" s="348" t="s">
        <v>104</v>
      </c>
      <c r="R32" s="348" t="s">
        <v>101</v>
      </c>
      <c r="S32" s="380" t="s">
        <v>106</v>
      </c>
      <c r="T32" s="381" t="s">
        <v>103</v>
      </c>
    </row>
    <row r="33" spans="2:20" s="370" customFormat="1" ht="12" customHeight="1" outlineLevel="1" x14ac:dyDescent="0.25">
      <c r="B33" s="620"/>
      <c r="C33" s="382"/>
      <c r="D33" s="371"/>
      <c r="E33" s="383" t="s">
        <v>401</v>
      </c>
      <c r="F33" s="383" t="s">
        <v>402</v>
      </c>
      <c r="G33" s="383" t="s">
        <v>403</v>
      </c>
      <c r="H33" s="383" t="s">
        <v>404</v>
      </c>
      <c r="I33" s="383" t="s">
        <v>405</v>
      </c>
      <c r="J33" s="383" t="s">
        <v>406</v>
      </c>
      <c r="K33" s="383" t="s">
        <v>407</v>
      </c>
      <c r="L33" s="383" t="s">
        <v>408</v>
      </c>
      <c r="M33" s="383" t="s">
        <v>416</v>
      </c>
      <c r="N33" s="383" t="s">
        <v>417</v>
      </c>
      <c r="O33" s="383" t="s">
        <v>418</v>
      </c>
      <c r="P33" s="383" t="s">
        <v>419</v>
      </c>
      <c r="Q33" s="383" t="s">
        <v>420</v>
      </c>
      <c r="R33" s="383" t="s">
        <v>421</v>
      </c>
      <c r="S33" s="383" t="s">
        <v>422</v>
      </c>
      <c r="T33" s="615" t="s">
        <v>423</v>
      </c>
    </row>
    <row r="34" spans="2:20" ht="15" outlineLevel="1" x14ac:dyDescent="0.2">
      <c r="B34" s="60" t="s">
        <v>3638</v>
      </c>
      <c r="C34" s="399">
        <v>1</v>
      </c>
      <c r="D34" s="387" t="s">
        <v>96</v>
      </c>
      <c r="E34" s="641"/>
      <c r="F34" s="641"/>
      <c r="G34" s="641"/>
      <c r="H34" s="641"/>
      <c r="I34" s="641"/>
      <c r="J34" s="641"/>
      <c r="K34" s="375">
        <f t="shared" ref="K34:L37" si="3">E34+G34+I34</f>
        <v>0</v>
      </c>
      <c r="L34" s="375">
        <f t="shared" si="3"/>
        <v>0</v>
      </c>
      <c r="M34" s="641"/>
      <c r="N34" s="641"/>
      <c r="O34" s="641"/>
      <c r="P34" s="641"/>
      <c r="Q34" s="641"/>
      <c r="R34" s="641"/>
      <c r="S34" s="375">
        <f t="shared" ref="S34:T37" si="4">M34+O34+Q34</f>
        <v>0</v>
      </c>
      <c r="T34" s="376">
        <f t="shared" si="4"/>
        <v>0</v>
      </c>
    </row>
    <row r="35" spans="2:20" ht="15" outlineLevel="1" x14ac:dyDescent="0.2">
      <c r="B35" s="60" t="s">
        <v>3639</v>
      </c>
      <c r="C35" s="399">
        <v>2</v>
      </c>
      <c r="D35" s="387" t="s">
        <v>97</v>
      </c>
      <c r="E35" s="641"/>
      <c r="F35" s="641"/>
      <c r="G35" s="641"/>
      <c r="H35" s="641"/>
      <c r="I35" s="641"/>
      <c r="J35" s="641"/>
      <c r="K35" s="375">
        <f t="shared" si="3"/>
        <v>0</v>
      </c>
      <c r="L35" s="375">
        <f t="shared" si="3"/>
        <v>0</v>
      </c>
      <c r="M35" s="641"/>
      <c r="N35" s="641"/>
      <c r="O35" s="641"/>
      <c r="P35" s="641"/>
      <c r="Q35" s="641"/>
      <c r="R35" s="641"/>
      <c r="S35" s="375">
        <f t="shared" si="4"/>
        <v>0</v>
      </c>
      <c r="T35" s="376">
        <f t="shared" si="4"/>
        <v>0</v>
      </c>
    </row>
    <row r="36" spans="2:20" ht="30" outlineLevel="1" x14ac:dyDescent="0.2">
      <c r="B36" s="60" t="s">
        <v>3640</v>
      </c>
      <c r="C36" s="399">
        <v>3</v>
      </c>
      <c r="D36" s="659" t="s">
        <v>3410</v>
      </c>
      <c r="E36" s="641"/>
      <c r="F36" s="641"/>
      <c r="G36" s="641"/>
      <c r="H36" s="641"/>
      <c r="I36" s="641"/>
      <c r="J36" s="641"/>
      <c r="K36" s="375">
        <f t="shared" si="3"/>
        <v>0</v>
      </c>
      <c r="L36" s="375">
        <f t="shared" si="3"/>
        <v>0</v>
      </c>
      <c r="M36" s="641"/>
      <c r="N36" s="641"/>
      <c r="O36" s="641"/>
      <c r="P36" s="641"/>
      <c r="Q36" s="641"/>
      <c r="R36" s="641"/>
      <c r="S36" s="375">
        <f t="shared" si="4"/>
        <v>0</v>
      </c>
      <c r="T36" s="376">
        <f t="shared" si="4"/>
        <v>0</v>
      </c>
    </row>
    <row r="37" spans="2:20" ht="15" outlineLevel="1" x14ac:dyDescent="0.2">
      <c r="B37" s="60" t="s">
        <v>3641</v>
      </c>
      <c r="C37" s="399">
        <v>4</v>
      </c>
      <c r="D37" s="387" t="s">
        <v>1153</v>
      </c>
      <c r="E37" s="641"/>
      <c r="F37" s="641"/>
      <c r="G37" s="641"/>
      <c r="H37" s="641"/>
      <c r="I37" s="641"/>
      <c r="J37" s="641"/>
      <c r="K37" s="375">
        <f t="shared" si="3"/>
        <v>0</v>
      </c>
      <c r="L37" s="375">
        <f t="shared" si="3"/>
        <v>0</v>
      </c>
      <c r="M37" s="641"/>
      <c r="N37" s="641"/>
      <c r="O37" s="641"/>
      <c r="P37" s="641"/>
      <c r="Q37" s="641"/>
      <c r="R37" s="641"/>
      <c r="S37" s="375">
        <f t="shared" si="4"/>
        <v>0</v>
      </c>
      <c r="T37" s="376">
        <f t="shared" si="4"/>
        <v>0</v>
      </c>
    </row>
    <row r="38" spans="2:20" ht="15.75" thickBot="1" x14ac:dyDescent="0.25">
      <c r="B38" s="467" t="s">
        <v>3642</v>
      </c>
      <c r="C38" s="1025" t="s">
        <v>1155</v>
      </c>
      <c r="D38" s="1026"/>
      <c r="E38" s="642">
        <f t="shared" ref="E38:T38" si="5">SUM(E34:E37)</f>
        <v>0</v>
      </c>
      <c r="F38" s="642">
        <f t="shared" si="5"/>
        <v>0</v>
      </c>
      <c r="G38" s="642">
        <f t="shared" si="5"/>
        <v>0</v>
      </c>
      <c r="H38" s="642">
        <f t="shared" si="5"/>
        <v>0</v>
      </c>
      <c r="I38" s="642">
        <f t="shared" si="5"/>
        <v>0</v>
      </c>
      <c r="J38" s="642">
        <f t="shared" si="5"/>
        <v>0</v>
      </c>
      <c r="K38" s="642">
        <f t="shared" si="5"/>
        <v>0</v>
      </c>
      <c r="L38" s="642">
        <f t="shared" si="5"/>
        <v>0</v>
      </c>
      <c r="M38" s="642">
        <f t="shared" si="5"/>
        <v>0</v>
      </c>
      <c r="N38" s="642">
        <f t="shared" si="5"/>
        <v>0</v>
      </c>
      <c r="O38" s="642">
        <f t="shared" si="5"/>
        <v>0</v>
      </c>
      <c r="P38" s="642">
        <f t="shared" si="5"/>
        <v>0</v>
      </c>
      <c r="Q38" s="642">
        <f t="shared" si="5"/>
        <v>0</v>
      </c>
      <c r="R38" s="642">
        <f t="shared" si="5"/>
        <v>0</v>
      </c>
      <c r="S38" s="642">
        <f t="shared" si="5"/>
        <v>0</v>
      </c>
      <c r="T38" s="377">
        <f t="shared" si="5"/>
        <v>0</v>
      </c>
    </row>
    <row r="39" spans="2:20" s="326" customFormat="1" ht="13.5" x14ac:dyDescent="0.25">
      <c r="C39" s="1"/>
      <c r="D39" s="2"/>
      <c r="E39" s="325"/>
      <c r="F39" s="325"/>
      <c r="G39" s="325"/>
      <c r="H39" s="325"/>
      <c r="I39" s="325"/>
      <c r="J39" s="325"/>
      <c r="K39" s="325"/>
      <c r="L39" s="325"/>
      <c r="M39" s="325"/>
      <c r="N39" s="325"/>
      <c r="O39" s="325"/>
      <c r="P39" s="325"/>
      <c r="Q39" s="325"/>
      <c r="R39" s="325"/>
      <c r="S39" s="325"/>
      <c r="T39" s="325"/>
    </row>
    <row r="40" spans="2:20" s="322" customFormat="1" ht="15" x14ac:dyDescent="0.3"/>
    <row r="41" spans="2:20" s="322" customFormat="1" ht="15.75" thickBot="1" x14ac:dyDescent="0.35">
      <c r="C41" s="1016" t="s">
        <v>1168</v>
      </c>
      <c r="D41" s="1016"/>
      <c r="E41" s="1016"/>
      <c r="F41" s="1016"/>
      <c r="G41" s="1016"/>
      <c r="H41" s="1016"/>
      <c r="I41" s="1016"/>
      <c r="J41" s="1016"/>
      <c r="K41" s="1016"/>
      <c r="L41" s="1016"/>
      <c r="M41" s="1016"/>
      <c r="N41" s="1016"/>
      <c r="O41" s="1016"/>
      <c r="P41" s="1016"/>
      <c r="Q41" s="1016"/>
      <c r="R41" s="1016"/>
      <c r="S41" s="1019" t="s">
        <v>1185</v>
      </c>
      <c r="T41" s="1019"/>
    </row>
    <row r="42" spans="2:20" s="322" customFormat="1" ht="18" customHeight="1" x14ac:dyDescent="0.3">
      <c r="B42" s="616"/>
      <c r="C42" s="920" t="s">
        <v>1211</v>
      </c>
      <c r="D42" s="931" t="s">
        <v>95</v>
      </c>
      <c r="E42" s="1045" t="s">
        <v>99</v>
      </c>
      <c r="F42" s="1046"/>
      <c r="G42" s="1046"/>
      <c r="H42" s="1046"/>
      <c r="I42" s="1046"/>
      <c r="J42" s="1046"/>
      <c r="K42" s="1046"/>
      <c r="L42" s="1047"/>
      <c r="M42" s="1045" t="s">
        <v>3406</v>
      </c>
      <c r="N42" s="1046"/>
      <c r="O42" s="1046"/>
      <c r="P42" s="1046"/>
      <c r="Q42" s="1046"/>
      <c r="R42" s="1046"/>
      <c r="S42" s="1046"/>
      <c r="T42" s="1055"/>
    </row>
    <row r="43" spans="2:20" s="365" customFormat="1" ht="14.25" customHeight="1" x14ac:dyDescent="0.2">
      <c r="B43" s="617"/>
      <c r="C43" s="921"/>
      <c r="D43" s="932"/>
      <c r="E43" s="1053" t="s">
        <v>101</v>
      </c>
      <c r="F43" s="1054"/>
      <c r="G43" s="1054"/>
      <c r="H43" s="1054"/>
      <c r="I43" s="1054"/>
      <c r="J43" s="1054"/>
      <c r="K43" s="1049" t="s">
        <v>3408</v>
      </c>
      <c r="L43" s="1050"/>
      <c r="M43" s="990" t="s">
        <v>107</v>
      </c>
      <c r="N43" s="990"/>
      <c r="O43" s="990" t="s">
        <v>88</v>
      </c>
      <c r="P43" s="990"/>
      <c r="Q43" s="1053" t="s">
        <v>94</v>
      </c>
      <c r="R43" s="1056"/>
      <c r="S43" s="916" t="s">
        <v>3404</v>
      </c>
      <c r="T43" s="917"/>
    </row>
    <row r="44" spans="2:20" s="322" customFormat="1" ht="15" customHeight="1" x14ac:dyDescent="0.3">
      <c r="B44" s="614"/>
      <c r="C44" s="922"/>
      <c r="D44" s="933"/>
      <c r="E44" s="990" t="s">
        <v>107</v>
      </c>
      <c r="F44" s="990"/>
      <c r="G44" s="990" t="s">
        <v>88</v>
      </c>
      <c r="H44" s="990"/>
      <c r="I44" s="982" t="s">
        <v>94</v>
      </c>
      <c r="J44" s="982"/>
      <c r="K44" s="1051"/>
      <c r="L44" s="1052"/>
      <c r="M44" s="1053" t="s">
        <v>101</v>
      </c>
      <c r="N44" s="1056"/>
      <c r="O44" s="1053" t="s">
        <v>101</v>
      </c>
      <c r="P44" s="1056"/>
      <c r="Q44" s="1053" t="s">
        <v>101</v>
      </c>
      <c r="R44" s="1056"/>
      <c r="S44" s="918"/>
      <c r="T44" s="919"/>
    </row>
    <row r="45" spans="2:20" s="390" customFormat="1" ht="15" customHeight="1" outlineLevel="1" x14ac:dyDescent="0.25">
      <c r="B45" s="60"/>
      <c r="C45" s="389"/>
      <c r="D45" s="340"/>
      <c r="E45" s="1032" t="s">
        <v>401</v>
      </c>
      <c r="F45" s="1032"/>
      <c r="G45" s="1032" t="s">
        <v>402</v>
      </c>
      <c r="H45" s="1032"/>
      <c r="I45" s="1032" t="s">
        <v>403</v>
      </c>
      <c r="J45" s="1032"/>
      <c r="K45" s="1032" t="s">
        <v>404</v>
      </c>
      <c r="L45" s="1032"/>
      <c r="M45" s="1032" t="s">
        <v>405</v>
      </c>
      <c r="N45" s="1032"/>
      <c r="O45" s="1032" t="s">
        <v>406</v>
      </c>
      <c r="P45" s="1032"/>
      <c r="Q45" s="1032" t="s">
        <v>407</v>
      </c>
      <c r="R45" s="1032"/>
      <c r="S45" s="1032" t="s">
        <v>408</v>
      </c>
      <c r="T45" s="1058"/>
    </row>
    <row r="46" spans="2:20" ht="15" outlineLevel="1" x14ac:dyDescent="0.2">
      <c r="B46" s="60" t="s">
        <v>3643</v>
      </c>
      <c r="C46" s="621">
        <v>1</v>
      </c>
      <c r="D46" s="387" t="s">
        <v>96</v>
      </c>
      <c r="E46" s="1014"/>
      <c r="F46" s="1015"/>
      <c r="G46" s="1014"/>
      <c r="H46" s="1015"/>
      <c r="I46" s="1014"/>
      <c r="J46" s="1015"/>
      <c r="K46" s="1012">
        <f>E46+G46+I46</f>
        <v>0</v>
      </c>
      <c r="L46" s="1031"/>
      <c r="M46" s="1014"/>
      <c r="N46" s="1015"/>
      <c r="O46" s="1014"/>
      <c r="P46" s="1015"/>
      <c r="Q46" s="1014"/>
      <c r="R46" s="1015"/>
      <c r="S46" s="1012">
        <f>M46+O46+Q46</f>
        <v>0</v>
      </c>
      <c r="T46" s="1013"/>
    </row>
    <row r="47" spans="2:20" ht="15" outlineLevel="1" x14ac:dyDescent="0.2">
      <c r="B47" s="60" t="s">
        <v>3644</v>
      </c>
      <c r="C47" s="621">
        <v>2</v>
      </c>
      <c r="D47" s="387" t="s">
        <v>97</v>
      </c>
      <c r="E47" s="1014"/>
      <c r="F47" s="1015"/>
      <c r="G47" s="1014"/>
      <c r="H47" s="1015"/>
      <c r="I47" s="1014"/>
      <c r="J47" s="1015"/>
      <c r="K47" s="1012">
        <f>E47+G47+I47</f>
        <v>0</v>
      </c>
      <c r="L47" s="1031"/>
      <c r="M47" s="1014"/>
      <c r="N47" s="1015"/>
      <c r="O47" s="1014"/>
      <c r="P47" s="1015"/>
      <c r="Q47" s="1014"/>
      <c r="R47" s="1015"/>
      <c r="S47" s="1012">
        <f>M47+O47+Q47</f>
        <v>0</v>
      </c>
      <c r="T47" s="1013"/>
    </row>
    <row r="48" spans="2:20" ht="30" outlineLevel="1" x14ac:dyDescent="0.2">
      <c r="B48" s="60" t="s">
        <v>3645</v>
      </c>
      <c r="C48" s="621">
        <v>3</v>
      </c>
      <c r="D48" s="387" t="s">
        <v>3410</v>
      </c>
      <c r="E48" s="1014"/>
      <c r="F48" s="1015"/>
      <c r="G48" s="1014"/>
      <c r="H48" s="1015"/>
      <c r="I48" s="1014"/>
      <c r="J48" s="1015"/>
      <c r="K48" s="1012">
        <f>E48+G48+I48</f>
        <v>0</v>
      </c>
      <c r="L48" s="1031"/>
      <c r="M48" s="1014"/>
      <c r="N48" s="1015"/>
      <c r="O48" s="1014"/>
      <c r="P48" s="1015"/>
      <c r="Q48" s="1014"/>
      <c r="R48" s="1015"/>
      <c r="S48" s="1012">
        <f>M48+O48+Q48</f>
        <v>0</v>
      </c>
      <c r="T48" s="1013"/>
    </row>
    <row r="49" spans="2:20" ht="15" outlineLevel="1" x14ac:dyDescent="0.2">
      <c r="B49" s="60" t="s">
        <v>3646</v>
      </c>
      <c r="C49" s="621">
        <v>4</v>
      </c>
      <c r="D49" s="387" t="s">
        <v>1153</v>
      </c>
      <c r="E49" s="1014"/>
      <c r="F49" s="1015"/>
      <c r="G49" s="1014"/>
      <c r="H49" s="1015"/>
      <c r="I49" s="1014"/>
      <c r="J49" s="1015"/>
      <c r="K49" s="1012">
        <f>E49+G49+I49</f>
        <v>0</v>
      </c>
      <c r="L49" s="1031"/>
      <c r="M49" s="1014"/>
      <c r="N49" s="1015"/>
      <c r="O49" s="1014"/>
      <c r="P49" s="1015"/>
      <c r="Q49" s="1014"/>
      <c r="R49" s="1015"/>
      <c r="S49" s="1012">
        <f>M49+O49+Q49</f>
        <v>0</v>
      </c>
      <c r="T49" s="1013"/>
    </row>
    <row r="50" spans="2:20" ht="29.25" customHeight="1" thickBot="1" x14ac:dyDescent="0.25">
      <c r="B50" s="467" t="s">
        <v>3647</v>
      </c>
      <c r="C50" s="1025" t="s">
        <v>1156</v>
      </c>
      <c r="D50" s="1026"/>
      <c r="E50" s="1021">
        <f>SUM(E46:F49)</f>
        <v>0</v>
      </c>
      <c r="F50" s="1023"/>
      <c r="G50" s="1021">
        <f>SUM(G46:H49)</f>
        <v>0</v>
      </c>
      <c r="H50" s="1023"/>
      <c r="I50" s="1021">
        <f>SUM(I46:J49)</f>
        <v>0</v>
      </c>
      <c r="J50" s="1023"/>
      <c r="K50" s="1021">
        <f>SUM(K46:L49)</f>
        <v>0</v>
      </c>
      <c r="L50" s="1023"/>
      <c r="M50" s="1021">
        <f>SUM(M46:N49)</f>
        <v>0</v>
      </c>
      <c r="N50" s="1023"/>
      <c r="O50" s="1021">
        <f>SUM(O46:P49)</f>
        <v>0</v>
      </c>
      <c r="P50" s="1023"/>
      <c r="Q50" s="1021">
        <f>SUM(Q46:R49)</f>
        <v>0</v>
      </c>
      <c r="R50" s="1023"/>
      <c r="S50" s="1021">
        <f>SUM(S46:T49)</f>
        <v>0</v>
      </c>
      <c r="T50" s="1048"/>
    </row>
    <row r="51" spans="2:20" s="326" customFormat="1" ht="15" x14ac:dyDescent="0.3">
      <c r="C51" s="23"/>
      <c r="D51" s="24"/>
      <c r="E51" s="325"/>
      <c r="F51" s="325"/>
      <c r="G51" s="325"/>
      <c r="H51" s="325"/>
      <c r="I51" s="325"/>
      <c r="J51" s="325"/>
      <c r="K51" s="325"/>
      <c r="L51" s="325"/>
      <c r="M51" s="325"/>
      <c r="N51" s="325"/>
      <c r="O51" s="325"/>
      <c r="P51" s="325"/>
      <c r="Q51" s="325"/>
      <c r="R51" s="325"/>
      <c r="S51" s="325"/>
      <c r="T51" s="325"/>
    </row>
    <row r="53" spans="2:20" s="326" customFormat="1" ht="15" x14ac:dyDescent="0.3">
      <c r="C53" s="782"/>
      <c r="D53" s="782"/>
      <c r="E53" s="782"/>
      <c r="F53" s="782"/>
      <c r="G53" s="782"/>
      <c r="H53" s="782"/>
      <c r="I53" s="782"/>
      <c r="J53" s="782"/>
      <c r="K53" s="782"/>
      <c r="L53" s="325"/>
      <c r="M53" s="325"/>
      <c r="N53" s="325"/>
      <c r="O53" s="325"/>
      <c r="P53" s="325"/>
      <c r="Q53" s="325"/>
      <c r="R53" s="325"/>
      <c r="S53" s="325"/>
      <c r="T53" s="325"/>
    </row>
    <row r="54" spans="2:20" s="326" customFormat="1" ht="15" x14ac:dyDescent="0.2">
      <c r="C54" s="629"/>
      <c r="D54" s="629"/>
      <c r="E54" s="629"/>
      <c r="F54" s="629"/>
      <c r="G54" s="629"/>
      <c r="H54" s="629"/>
      <c r="I54" s="633"/>
      <c r="J54" s="633"/>
      <c r="K54" s="643"/>
      <c r="L54" s="325"/>
      <c r="M54" s="325"/>
      <c r="N54" s="325"/>
      <c r="O54" s="325"/>
      <c r="P54" s="325"/>
      <c r="Q54" s="325"/>
      <c r="R54" s="325"/>
      <c r="S54" s="325"/>
      <c r="T54" s="325"/>
    </row>
    <row r="55" spans="2:20" s="326" customFormat="1" ht="15" x14ac:dyDescent="0.3">
      <c r="C55" s="782"/>
      <c r="D55" s="782"/>
      <c r="E55" s="782"/>
      <c r="F55" s="782"/>
      <c r="G55" s="782"/>
      <c r="H55" s="782"/>
      <c r="I55" s="782"/>
      <c r="J55" s="782"/>
      <c r="K55" s="782"/>
      <c r="L55" s="325"/>
      <c r="M55" s="325"/>
      <c r="N55" s="325"/>
      <c r="O55" s="325"/>
      <c r="P55" s="325"/>
      <c r="Q55" s="325"/>
      <c r="R55" s="325"/>
      <c r="S55" s="325"/>
      <c r="T55" s="325"/>
    </row>
    <row r="56" spans="2:20" s="326" customFormat="1" ht="15" x14ac:dyDescent="0.2">
      <c r="C56" s="629"/>
      <c r="D56" s="629"/>
      <c r="E56" s="629"/>
      <c r="F56" s="629"/>
      <c r="G56" s="629"/>
      <c r="H56" s="629"/>
      <c r="I56" s="633"/>
      <c r="J56" s="633"/>
      <c r="K56" s="643"/>
      <c r="L56" s="325"/>
      <c r="M56" s="325"/>
      <c r="N56" s="325"/>
      <c r="O56" s="325"/>
      <c r="P56" s="325"/>
      <c r="Q56" s="325"/>
      <c r="R56" s="325"/>
      <c r="S56" s="325"/>
      <c r="T56" s="325"/>
    </row>
    <row r="57" spans="2:20" s="329" customFormat="1" ht="15" x14ac:dyDescent="0.3">
      <c r="C57" s="782"/>
      <c r="D57" s="782"/>
      <c r="E57" s="782"/>
      <c r="F57" s="782"/>
      <c r="G57" s="782"/>
      <c r="H57" s="782"/>
      <c r="I57" s="782"/>
      <c r="J57" s="782"/>
      <c r="K57" s="782"/>
    </row>
    <row r="58" spans="2:20" s="329" customFormat="1" ht="15" x14ac:dyDescent="0.3">
      <c r="C58" s="384"/>
      <c r="D58" s="384"/>
      <c r="E58" s="328"/>
    </row>
    <row r="59" spans="2:20" s="329" customFormat="1" ht="15" x14ac:dyDescent="0.3">
      <c r="C59" s="384"/>
      <c r="D59" s="384"/>
      <c r="E59" s="328"/>
    </row>
    <row r="60" spans="2:20" s="326" customFormat="1" ht="15" x14ac:dyDescent="0.3">
      <c r="C60" s="23"/>
      <c r="D60" s="24"/>
      <c r="E60" s="325"/>
      <c r="F60" s="325"/>
      <c r="G60" s="325"/>
      <c r="H60" s="325"/>
      <c r="I60" s="325"/>
      <c r="J60" s="325"/>
      <c r="K60" s="325"/>
      <c r="L60" s="325"/>
      <c r="M60" s="325"/>
      <c r="N60" s="325"/>
      <c r="O60" s="325"/>
      <c r="P60" s="325"/>
      <c r="Q60" s="325"/>
      <c r="R60" s="325"/>
      <c r="S60" s="325"/>
      <c r="T60" s="325"/>
    </row>
    <row r="61" spans="2:20" s="322" customFormat="1" ht="15.75" thickBot="1" x14ac:dyDescent="0.35">
      <c r="C61" s="1059" t="s">
        <v>1169</v>
      </c>
      <c r="D61" s="1059"/>
      <c r="E61" s="1059"/>
      <c r="F61" s="1059"/>
      <c r="G61" s="1059"/>
      <c r="H61" s="1059"/>
      <c r="I61" s="1059"/>
      <c r="J61" s="1059"/>
      <c r="K61" s="1059"/>
      <c r="L61" s="1059"/>
      <c r="M61" s="1059"/>
      <c r="N61" s="1059"/>
      <c r="O61" s="1059"/>
      <c r="P61" s="1059"/>
      <c r="Q61" s="1059"/>
      <c r="R61" s="1059"/>
      <c r="S61" s="1019" t="s">
        <v>1186</v>
      </c>
      <c r="T61" s="1019"/>
    </row>
    <row r="62" spans="2:20" s="322" customFormat="1" ht="18" customHeight="1" x14ac:dyDescent="0.3">
      <c r="B62" s="616"/>
      <c r="C62" s="985" t="s">
        <v>1211</v>
      </c>
      <c r="D62" s="995" t="s">
        <v>95</v>
      </c>
      <c r="E62" s="997" t="s">
        <v>99</v>
      </c>
      <c r="F62" s="997"/>
      <c r="G62" s="997"/>
      <c r="H62" s="997"/>
      <c r="I62" s="997"/>
      <c r="J62" s="997"/>
      <c r="K62" s="997"/>
      <c r="L62" s="997"/>
      <c r="M62" s="997" t="s">
        <v>100</v>
      </c>
      <c r="N62" s="997"/>
      <c r="O62" s="997"/>
      <c r="P62" s="997"/>
      <c r="Q62" s="997"/>
      <c r="R62" s="997"/>
      <c r="S62" s="997"/>
      <c r="T62" s="998"/>
    </row>
    <row r="63" spans="2:20" s="322" customFormat="1" ht="13.5" customHeight="1" x14ac:dyDescent="0.3">
      <c r="B63" s="614"/>
      <c r="C63" s="973"/>
      <c r="D63" s="996"/>
      <c r="E63" s="973" t="s">
        <v>104</v>
      </c>
      <c r="F63" s="973"/>
      <c r="G63" s="973"/>
      <c r="H63" s="973"/>
      <c r="I63" s="973" t="s">
        <v>101</v>
      </c>
      <c r="J63" s="973"/>
      <c r="K63" s="973"/>
      <c r="L63" s="973"/>
      <c r="M63" s="973" t="s">
        <v>104</v>
      </c>
      <c r="N63" s="973"/>
      <c r="O63" s="973"/>
      <c r="P63" s="973"/>
      <c r="Q63" s="973" t="s">
        <v>101</v>
      </c>
      <c r="R63" s="973"/>
      <c r="S63" s="973"/>
      <c r="T63" s="1029"/>
    </row>
    <row r="64" spans="2:20" s="322" customFormat="1" ht="13.5" customHeight="1" outlineLevel="1" x14ac:dyDescent="0.3">
      <c r="B64" s="622"/>
      <c r="C64" s="378"/>
      <c r="D64" s="379"/>
      <c r="E64" s="1028" t="s">
        <v>401</v>
      </c>
      <c r="F64" s="1028"/>
      <c r="G64" s="1028"/>
      <c r="H64" s="1028"/>
      <c r="I64" s="1028" t="s">
        <v>402</v>
      </c>
      <c r="J64" s="1028"/>
      <c r="K64" s="1028"/>
      <c r="L64" s="1028"/>
      <c r="M64" s="1028" t="s">
        <v>403</v>
      </c>
      <c r="N64" s="1028"/>
      <c r="O64" s="1028"/>
      <c r="P64" s="1028"/>
      <c r="Q64" s="1028" t="s">
        <v>404</v>
      </c>
      <c r="R64" s="1028"/>
      <c r="S64" s="1028"/>
      <c r="T64" s="1030"/>
    </row>
    <row r="65" spans="2:20" ht="13.5" customHeight="1" outlineLevel="1" x14ac:dyDescent="0.2">
      <c r="B65" s="60" t="s">
        <v>3648</v>
      </c>
      <c r="C65" s="399">
        <v>1</v>
      </c>
      <c r="D65" s="387" t="s">
        <v>96</v>
      </c>
      <c r="E65" s="1024"/>
      <c r="F65" s="1024"/>
      <c r="G65" s="1024"/>
      <c r="H65" s="1024"/>
      <c r="I65" s="1024"/>
      <c r="J65" s="1024"/>
      <c r="K65" s="1024"/>
      <c r="L65" s="1024"/>
      <c r="M65" s="1024"/>
      <c r="N65" s="1024"/>
      <c r="O65" s="1024"/>
      <c r="P65" s="1024"/>
      <c r="Q65" s="1024"/>
      <c r="R65" s="1024"/>
      <c r="S65" s="1024"/>
      <c r="T65" s="1027"/>
    </row>
    <row r="66" spans="2:20" ht="15" outlineLevel="1" x14ac:dyDescent="0.2">
      <c r="B66" s="60" t="s">
        <v>3649</v>
      </c>
      <c r="C66" s="399">
        <v>2</v>
      </c>
      <c r="D66" s="387" t="s">
        <v>97</v>
      </c>
      <c r="E66" s="1024"/>
      <c r="F66" s="1024"/>
      <c r="G66" s="1024"/>
      <c r="H66" s="1024"/>
      <c r="I66" s="1024"/>
      <c r="J66" s="1024"/>
      <c r="K66" s="1024"/>
      <c r="L66" s="1024"/>
      <c r="M66" s="1024"/>
      <c r="N66" s="1024"/>
      <c r="O66" s="1024"/>
      <c r="P66" s="1024"/>
      <c r="Q66" s="1024"/>
      <c r="R66" s="1024"/>
      <c r="S66" s="1024"/>
      <c r="T66" s="1027"/>
    </row>
    <row r="67" spans="2:20" ht="30" outlineLevel="1" x14ac:dyDescent="0.2">
      <c r="B67" s="60" t="s">
        <v>3650</v>
      </c>
      <c r="C67" s="399">
        <v>3</v>
      </c>
      <c r="D67" s="388" t="s">
        <v>3410</v>
      </c>
      <c r="E67" s="1024"/>
      <c r="F67" s="1024"/>
      <c r="G67" s="1024"/>
      <c r="H67" s="1024"/>
      <c r="I67" s="1024"/>
      <c r="J67" s="1024"/>
      <c r="K67" s="1024"/>
      <c r="L67" s="1024"/>
      <c r="M67" s="1024"/>
      <c r="N67" s="1024"/>
      <c r="O67" s="1024"/>
      <c r="P67" s="1024"/>
      <c r="Q67" s="1024"/>
      <c r="R67" s="1024"/>
      <c r="S67" s="1024"/>
      <c r="T67" s="1027"/>
    </row>
    <row r="68" spans="2:20" ht="15" outlineLevel="1" x14ac:dyDescent="0.2">
      <c r="B68" s="60" t="s">
        <v>3651</v>
      </c>
      <c r="C68" s="399">
        <v>4</v>
      </c>
      <c r="D68" s="387" t="s">
        <v>1153</v>
      </c>
      <c r="E68" s="1024"/>
      <c r="F68" s="1024"/>
      <c r="G68" s="1024"/>
      <c r="H68" s="1024"/>
      <c r="I68" s="1024"/>
      <c r="J68" s="1024"/>
      <c r="K68" s="1024"/>
      <c r="L68" s="1024"/>
      <c r="M68" s="1024"/>
      <c r="N68" s="1024"/>
      <c r="O68" s="1024"/>
      <c r="P68" s="1024"/>
      <c r="Q68" s="1024"/>
      <c r="R68" s="1024"/>
      <c r="S68" s="1024"/>
      <c r="T68" s="1027"/>
    </row>
    <row r="69" spans="2:20" ht="15.75" thickBot="1" x14ac:dyDescent="0.25">
      <c r="B69" s="491" t="s">
        <v>3652</v>
      </c>
      <c r="C69" s="1060" t="s">
        <v>1154</v>
      </c>
      <c r="D69" s="1018"/>
      <c r="E69" s="1021">
        <f>SUM(E65:H68)</f>
        <v>0</v>
      </c>
      <c r="F69" s="1022"/>
      <c r="G69" s="1022"/>
      <c r="H69" s="1023"/>
      <c r="I69" s="1021">
        <f>SUM(I65:L68)</f>
        <v>0</v>
      </c>
      <c r="J69" s="1022"/>
      <c r="K69" s="1022"/>
      <c r="L69" s="1023"/>
      <c r="M69" s="1021">
        <f>SUM(M65:P68)</f>
        <v>0</v>
      </c>
      <c r="N69" s="1022"/>
      <c r="O69" s="1022"/>
      <c r="P69" s="1023"/>
      <c r="Q69" s="1021">
        <f>SUM(Q65:T68)</f>
        <v>0</v>
      </c>
      <c r="R69" s="1022"/>
      <c r="S69" s="1022"/>
      <c r="T69" s="1048"/>
    </row>
    <row r="70" spans="2:20" ht="15" x14ac:dyDescent="0.2">
      <c r="C70" s="24"/>
      <c r="D70" s="24"/>
      <c r="E70" s="24"/>
      <c r="F70" s="24"/>
      <c r="G70" s="24"/>
      <c r="H70" s="24"/>
      <c r="I70" s="24"/>
      <c r="J70" s="24"/>
      <c r="K70" s="24"/>
      <c r="L70" s="24"/>
    </row>
    <row r="71" spans="2:20" s="322" customFormat="1" ht="15" x14ac:dyDescent="0.3"/>
    <row r="72" spans="2:20" s="322" customFormat="1" ht="15.75" thickBot="1" x14ac:dyDescent="0.35">
      <c r="C72" s="1061" t="s">
        <v>1170</v>
      </c>
      <c r="D72" s="1061"/>
      <c r="E72" s="1061"/>
      <c r="F72" s="1061"/>
      <c r="G72" s="1061"/>
      <c r="H72" s="1061"/>
      <c r="I72" s="1061"/>
      <c r="J72" s="1061"/>
      <c r="K72" s="1061"/>
      <c r="L72" s="1061"/>
      <c r="M72" s="1061"/>
      <c r="N72" s="1061"/>
      <c r="O72" s="1061"/>
      <c r="P72" s="1061"/>
      <c r="Q72" s="1061"/>
      <c r="R72" s="1061"/>
      <c r="S72" s="1019" t="s">
        <v>1187</v>
      </c>
      <c r="T72" s="1019"/>
    </row>
    <row r="73" spans="2:20" s="322" customFormat="1" ht="18" customHeight="1" x14ac:dyDescent="0.3">
      <c r="B73" s="616"/>
      <c r="C73" s="985" t="s">
        <v>1211</v>
      </c>
      <c r="D73" s="995" t="s">
        <v>95</v>
      </c>
      <c r="E73" s="997" t="s">
        <v>99</v>
      </c>
      <c r="F73" s="997"/>
      <c r="G73" s="997"/>
      <c r="H73" s="997"/>
      <c r="I73" s="997"/>
      <c r="J73" s="997"/>
      <c r="K73" s="997"/>
      <c r="L73" s="997"/>
      <c r="M73" s="997" t="s">
        <v>100</v>
      </c>
      <c r="N73" s="997"/>
      <c r="O73" s="997"/>
      <c r="P73" s="997"/>
      <c r="Q73" s="997"/>
      <c r="R73" s="997"/>
      <c r="S73" s="997"/>
      <c r="T73" s="998"/>
    </row>
    <row r="74" spans="2:20" s="322" customFormat="1" ht="13.5" customHeight="1" x14ac:dyDescent="0.3">
      <c r="B74" s="614"/>
      <c r="C74" s="973"/>
      <c r="D74" s="996"/>
      <c r="E74" s="973" t="s">
        <v>104</v>
      </c>
      <c r="F74" s="973"/>
      <c r="G74" s="973"/>
      <c r="H74" s="973"/>
      <c r="I74" s="973" t="s">
        <v>101</v>
      </c>
      <c r="J74" s="973"/>
      <c r="K74" s="973"/>
      <c r="L74" s="973"/>
      <c r="M74" s="973" t="s">
        <v>104</v>
      </c>
      <c r="N74" s="973"/>
      <c r="O74" s="973"/>
      <c r="P74" s="973"/>
      <c r="Q74" s="973" t="s">
        <v>101</v>
      </c>
      <c r="R74" s="973"/>
      <c r="S74" s="973"/>
      <c r="T74" s="1029"/>
    </row>
    <row r="75" spans="2:20" s="322" customFormat="1" ht="13.5" customHeight="1" outlineLevel="1" x14ac:dyDescent="0.3">
      <c r="B75" s="622"/>
      <c r="C75" s="378"/>
      <c r="D75" s="379"/>
      <c r="E75" s="1028" t="s">
        <v>401</v>
      </c>
      <c r="F75" s="1028"/>
      <c r="G75" s="1028"/>
      <c r="H75" s="1028"/>
      <c r="I75" s="1028" t="s">
        <v>402</v>
      </c>
      <c r="J75" s="1028"/>
      <c r="K75" s="1028"/>
      <c r="L75" s="1028"/>
      <c r="M75" s="1028" t="s">
        <v>403</v>
      </c>
      <c r="N75" s="1028"/>
      <c r="O75" s="1028"/>
      <c r="P75" s="1028"/>
      <c r="Q75" s="1028" t="s">
        <v>404</v>
      </c>
      <c r="R75" s="1028"/>
      <c r="S75" s="1028"/>
      <c r="T75" s="1030"/>
    </row>
    <row r="76" spans="2:20" ht="13.5" customHeight="1" outlineLevel="1" x14ac:dyDescent="0.2">
      <c r="B76" s="60" t="s">
        <v>3653</v>
      </c>
      <c r="C76" s="399">
        <v>1</v>
      </c>
      <c r="D76" s="387" t="s">
        <v>96</v>
      </c>
      <c r="E76" s="1024"/>
      <c r="F76" s="1024"/>
      <c r="G76" s="1024"/>
      <c r="H76" s="1024"/>
      <c r="I76" s="1024"/>
      <c r="J76" s="1024"/>
      <c r="K76" s="1024"/>
      <c r="L76" s="1024"/>
      <c r="M76" s="1024"/>
      <c r="N76" s="1024"/>
      <c r="O76" s="1024"/>
      <c r="P76" s="1024"/>
      <c r="Q76" s="1024"/>
      <c r="R76" s="1024"/>
      <c r="S76" s="1024"/>
      <c r="T76" s="1027"/>
    </row>
    <row r="77" spans="2:20" ht="15" outlineLevel="1" x14ac:dyDescent="0.2">
      <c r="B77" s="60" t="s">
        <v>3654</v>
      </c>
      <c r="C77" s="399">
        <v>2</v>
      </c>
      <c r="D77" s="387" t="s">
        <v>97</v>
      </c>
      <c r="E77" s="1024"/>
      <c r="F77" s="1024"/>
      <c r="G77" s="1024"/>
      <c r="H77" s="1024"/>
      <c r="I77" s="1024"/>
      <c r="J77" s="1024"/>
      <c r="K77" s="1024"/>
      <c r="L77" s="1024"/>
      <c r="M77" s="1024"/>
      <c r="N77" s="1024"/>
      <c r="O77" s="1024"/>
      <c r="P77" s="1024"/>
      <c r="Q77" s="1024"/>
      <c r="R77" s="1024"/>
      <c r="S77" s="1024"/>
      <c r="T77" s="1027"/>
    </row>
    <row r="78" spans="2:20" ht="30" outlineLevel="1" x14ac:dyDescent="0.2">
      <c r="B78" s="60" t="s">
        <v>3655</v>
      </c>
      <c r="C78" s="399">
        <v>3</v>
      </c>
      <c r="D78" s="387" t="s">
        <v>3410</v>
      </c>
      <c r="E78" s="1024"/>
      <c r="F78" s="1024"/>
      <c r="G78" s="1024"/>
      <c r="H78" s="1024"/>
      <c r="I78" s="1024"/>
      <c r="J78" s="1024"/>
      <c r="K78" s="1024"/>
      <c r="L78" s="1024"/>
      <c r="M78" s="1024"/>
      <c r="N78" s="1024"/>
      <c r="O78" s="1024"/>
      <c r="P78" s="1024"/>
      <c r="Q78" s="1024"/>
      <c r="R78" s="1024"/>
      <c r="S78" s="1024"/>
      <c r="T78" s="1027"/>
    </row>
    <row r="79" spans="2:20" ht="15" outlineLevel="1" x14ac:dyDescent="0.2">
      <c r="B79" s="60" t="s">
        <v>3656</v>
      </c>
      <c r="C79" s="399">
        <v>4</v>
      </c>
      <c r="D79" s="387" t="s">
        <v>1153</v>
      </c>
      <c r="E79" s="1024"/>
      <c r="F79" s="1024"/>
      <c r="G79" s="1024"/>
      <c r="H79" s="1024"/>
      <c r="I79" s="1024"/>
      <c r="J79" s="1024"/>
      <c r="K79" s="1024"/>
      <c r="L79" s="1024"/>
      <c r="M79" s="1024"/>
      <c r="N79" s="1024"/>
      <c r="O79" s="1024"/>
      <c r="P79" s="1024"/>
      <c r="Q79" s="1024"/>
      <c r="R79" s="1024"/>
      <c r="S79" s="1024"/>
      <c r="T79" s="1027"/>
    </row>
    <row r="80" spans="2:20" ht="15.75" thickBot="1" x14ac:dyDescent="0.25">
      <c r="B80" s="467" t="s">
        <v>3657</v>
      </c>
      <c r="C80" s="1017" t="s">
        <v>1154</v>
      </c>
      <c r="D80" s="1018"/>
      <c r="E80" s="1021">
        <f>SUM(E76:H79)</f>
        <v>0</v>
      </c>
      <c r="F80" s="1022"/>
      <c r="G80" s="1022"/>
      <c r="H80" s="1023"/>
      <c r="I80" s="1021">
        <f>SUM(I76:L79)</f>
        <v>0</v>
      </c>
      <c r="J80" s="1022"/>
      <c r="K80" s="1022"/>
      <c r="L80" s="1023"/>
      <c r="M80" s="1021">
        <f>SUM(M76:P79)</f>
        <v>0</v>
      </c>
      <c r="N80" s="1022"/>
      <c r="O80" s="1022"/>
      <c r="P80" s="1023"/>
      <c r="Q80" s="1021">
        <f>SUM(Q76:T79)</f>
        <v>0</v>
      </c>
      <c r="R80" s="1022"/>
      <c r="S80" s="1022"/>
      <c r="T80" s="1048"/>
    </row>
    <row r="81" spans="2:20" ht="15" x14ac:dyDescent="0.2">
      <c r="C81" s="24"/>
      <c r="D81" s="24"/>
      <c r="E81" s="24"/>
      <c r="F81" s="24"/>
      <c r="G81" s="24"/>
      <c r="H81" s="24"/>
      <c r="I81" s="24"/>
      <c r="J81" s="24"/>
      <c r="K81" s="24"/>
      <c r="L81" s="24"/>
    </row>
    <row r="82" spans="2:20" s="326" customFormat="1" ht="15" x14ac:dyDescent="0.3">
      <c r="C82" s="23"/>
      <c r="D82" s="24"/>
      <c r="E82" s="325"/>
      <c r="F82" s="325"/>
      <c r="G82" s="325"/>
      <c r="H82" s="325"/>
      <c r="I82" s="325"/>
      <c r="J82" s="325"/>
      <c r="K82" s="325"/>
      <c r="L82" s="325"/>
      <c r="M82" s="325"/>
      <c r="N82" s="325"/>
      <c r="O82" s="325"/>
      <c r="P82" s="325"/>
      <c r="Q82" s="325"/>
      <c r="R82" s="325"/>
      <c r="S82" s="325"/>
      <c r="T82" s="325"/>
    </row>
    <row r="83" spans="2:20" s="322" customFormat="1" ht="15.75" thickBot="1" x14ac:dyDescent="0.35">
      <c r="C83" s="1016" t="s">
        <v>91</v>
      </c>
      <c r="D83" s="1016"/>
      <c r="E83" s="1016"/>
      <c r="F83" s="1016"/>
      <c r="G83" s="1016"/>
      <c r="H83" s="1016"/>
      <c r="I83" s="1016"/>
      <c r="J83" s="1016"/>
      <c r="K83" s="1016"/>
      <c r="L83" s="1016"/>
      <c r="M83" s="1016"/>
      <c r="N83" s="1016"/>
      <c r="O83" s="1016"/>
      <c r="P83" s="1016"/>
      <c r="Q83" s="1016"/>
      <c r="R83" s="1016"/>
      <c r="S83" s="1019" t="s">
        <v>1188</v>
      </c>
      <c r="T83" s="1019"/>
    </row>
    <row r="84" spans="2:20" s="322" customFormat="1" ht="18" customHeight="1" x14ac:dyDescent="0.3">
      <c r="B84" s="616"/>
      <c r="C84" s="985" t="s">
        <v>1211</v>
      </c>
      <c r="D84" s="995" t="s">
        <v>95</v>
      </c>
      <c r="E84" s="997" t="s">
        <v>99</v>
      </c>
      <c r="F84" s="997"/>
      <c r="G84" s="997"/>
      <c r="H84" s="997"/>
      <c r="I84" s="997"/>
      <c r="J84" s="997"/>
      <c r="K84" s="997"/>
      <c r="L84" s="997"/>
      <c r="M84" s="997" t="s">
        <v>100</v>
      </c>
      <c r="N84" s="997"/>
      <c r="O84" s="997"/>
      <c r="P84" s="997"/>
      <c r="Q84" s="997"/>
      <c r="R84" s="997"/>
      <c r="S84" s="997"/>
      <c r="T84" s="998"/>
    </row>
    <row r="85" spans="2:20" s="322" customFormat="1" ht="13.5" customHeight="1" x14ac:dyDescent="0.3">
      <c r="B85" s="614"/>
      <c r="C85" s="973"/>
      <c r="D85" s="996"/>
      <c r="E85" s="973" t="s">
        <v>104</v>
      </c>
      <c r="F85" s="973"/>
      <c r="G85" s="973"/>
      <c r="H85" s="973"/>
      <c r="I85" s="973" t="s">
        <v>101</v>
      </c>
      <c r="J85" s="973"/>
      <c r="K85" s="973"/>
      <c r="L85" s="973"/>
      <c r="M85" s="973" t="s">
        <v>104</v>
      </c>
      <c r="N85" s="973"/>
      <c r="O85" s="973"/>
      <c r="P85" s="973"/>
      <c r="Q85" s="973" t="s">
        <v>101</v>
      </c>
      <c r="R85" s="973"/>
      <c r="S85" s="973"/>
      <c r="T85" s="1029"/>
    </row>
    <row r="86" spans="2:20" s="322" customFormat="1" ht="13.5" customHeight="1" outlineLevel="1" x14ac:dyDescent="0.3">
      <c r="B86" s="622"/>
      <c r="C86" s="385"/>
      <c r="D86" s="345"/>
      <c r="E86" s="1062" t="s">
        <v>401</v>
      </c>
      <c r="F86" s="1062"/>
      <c r="G86" s="1062"/>
      <c r="H86" s="1062"/>
      <c r="I86" s="1062" t="s">
        <v>402</v>
      </c>
      <c r="J86" s="1062"/>
      <c r="K86" s="1062"/>
      <c r="L86" s="1062"/>
      <c r="M86" s="1062" t="s">
        <v>403</v>
      </c>
      <c r="N86" s="1062"/>
      <c r="O86" s="1062"/>
      <c r="P86" s="1062"/>
      <c r="Q86" s="1062" t="s">
        <v>404</v>
      </c>
      <c r="R86" s="1062"/>
      <c r="S86" s="1062"/>
      <c r="T86" s="1063"/>
    </row>
    <row r="87" spans="2:20" ht="15" outlineLevel="1" x14ac:dyDescent="0.2">
      <c r="B87" s="60" t="s">
        <v>3658</v>
      </c>
      <c r="C87" s="399">
        <v>1</v>
      </c>
      <c r="D87" s="387" t="s">
        <v>96</v>
      </c>
      <c r="E87" s="1024"/>
      <c r="F87" s="1024"/>
      <c r="G87" s="1024"/>
      <c r="H87" s="1024"/>
      <c r="I87" s="1024"/>
      <c r="J87" s="1024"/>
      <c r="K87" s="1024"/>
      <c r="L87" s="1024"/>
      <c r="M87" s="1024"/>
      <c r="N87" s="1024"/>
      <c r="O87" s="1024"/>
      <c r="P87" s="1024"/>
      <c r="Q87" s="1024"/>
      <c r="R87" s="1024"/>
      <c r="S87" s="1024"/>
      <c r="T87" s="1027"/>
    </row>
    <row r="88" spans="2:20" ht="15" outlineLevel="1" x14ac:dyDescent="0.2">
      <c r="B88" s="60" t="s">
        <v>3659</v>
      </c>
      <c r="C88" s="399">
        <v>2</v>
      </c>
      <c r="D88" s="387" t="s">
        <v>97</v>
      </c>
      <c r="E88" s="1024"/>
      <c r="F88" s="1024"/>
      <c r="G88" s="1024"/>
      <c r="H88" s="1024"/>
      <c r="I88" s="1024"/>
      <c r="J88" s="1024"/>
      <c r="K88" s="1024"/>
      <c r="L88" s="1024"/>
      <c r="M88" s="1024"/>
      <c r="N88" s="1024"/>
      <c r="O88" s="1024"/>
      <c r="P88" s="1024"/>
      <c r="Q88" s="1024"/>
      <c r="R88" s="1024"/>
      <c r="S88" s="1024"/>
      <c r="T88" s="1027"/>
    </row>
    <row r="89" spans="2:20" ht="30" outlineLevel="1" x14ac:dyDescent="0.2">
      <c r="B89" s="60" t="s">
        <v>3660</v>
      </c>
      <c r="C89" s="399">
        <v>3</v>
      </c>
      <c r="D89" s="387" t="s">
        <v>3410</v>
      </c>
      <c r="E89" s="1024"/>
      <c r="F89" s="1024"/>
      <c r="G89" s="1024"/>
      <c r="H89" s="1024"/>
      <c r="I89" s="1024"/>
      <c r="J89" s="1024"/>
      <c r="K89" s="1024"/>
      <c r="L89" s="1024"/>
      <c r="M89" s="1024"/>
      <c r="N89" s="1024"/>
      <c r="O89" s="1024"/>
      <c r="P89" s="1024"/>
      <c r="Q89" s="1024"/>
      <c r="R89" s="1024"/>
      <c r="S89" s="1024"/>
      <c r="T89" s="1027"/>
    </row>
    <row r="90" spans="2:20" ht="15" outlineLevel="1" x14ac:dyDescent="0.2">
      <c r="B90" s="60" t="s">
        <v>3661</v>
      </c>
      <c r="C90" s="399">
        <v>4</v>
      </c>
      <c r="D90" s="387" t="s">
        <v>1153</v>
      </c>
      <c r="E90" s="1024"/>
      <c r="F90" s="1024"/>
      <c r="G90" s="1024"/>
      <c r="H90" s="1024"/>
      <c r="I90" s="1024"/>
      <c r="J90" s="1024"/>
      <c r="K90" s="1024"/>
      <c r="L90" s="1024"/>
      <c r="M90" s="1024"/>
      <c r="N90" s="1024"/>
      <c r="O90" s="1024"/>
      <c r="P90" s="1024"/>
      <c r="Q90" s="1024"/>
      <c r="R90" s="1024"/>
      <c r="S90" s="1024"/>
      <c r="T90" s="1027"/>
    </row>
    <row r="91" spans="2:20" ht="15.75" thickBot="1" x14ac:dyDescent="0.25">
      <c r="B91" s="467" t="s">
        <v>3662</v>
      </c>
      <c r="C91" s="1017" t="s">
        <v>1154</v>
      </c>
      <c r="D91" s="1018"/>
      <c r="E91" s="1021">
        <f>SUM(E87:H90)</f>
        <v>0</v>
      </c>
      <c r="F91" s="1022"/>
      <c r="G91" s="1022"/>
      <c r="H91" s="1023"/>
      <c r="I91" s="1021">
        <f>SUM(I87:L90)</f>
        <v>0</v>
      </c>
      <c r="J91" s="1022"/>
      <c r="K91" s="1022"/>
      <c r="L91" s="1023"/>
      <c r="M91" s="1021">
        <f>SUM(M87:P90)</f>
        <v>0</v>
      </c>
      <c r="N91" s="1022"/>
      <c r="O91" s="1022"/>
      <c r="P91" s="1023"/>
      <c r="Q91" s="1021">
        <f>SUM(Q87:T90)</f>
        <v>0</v>
      </c>
      <c r="R91" s="1022"/>
      <c r="S91" s="1022"/>
      <c r="T91" s="1048"/>
    </row>
    <row r="92" spans="2:20" ht="13.5" x14ac:dyDescent="0.2">
      <c r="C92" s="327"/>
      <c r="D92" s="327"/>
      <c r="E92" s="327"/>
      <c r="F92" s="327"/>
      <c r="G92" s="327"/>
      <c r="H92" s="327"/>
      <c r="I92" s="327"/>
      <c r="J92" s="327"/>
      <c r="K92" s="327"/>
      <c r="L92" s="327"/>
    </row>
    <row r="93" spans="2:20" s="326" customFormat="1" ht="13.5" x14ac:dyDescent="0.25">
      <c r="C93" s="1"/>
      <c r="D93" s="2"/>
      <c r="E93" s="325"/>
      <c r="F93" s="325"/>
      <c r="G93" s="325"/>
      <c r="H93" s="325"/>
      <c r="I93" s="325"/>
      <c r="J93" s="325"/>
      <c r="K93" s="325"/>
      <c r="L93" s="325"/>
      <c r="M93" s="325"/>
      <c r="N93" s="325"/>
      <c r="O93" s="325"/>
      <c r="P93" s="325"/>
      <c r="Q93" s="325"/>
      <c r="R93" s="325"/>
      <c r="S93" s="325"/>
      <c r="T93" s="325"/>
    </row>
    <row r="94" spans="2:20" s="322" customFormat="1" ht="15" customHeight="1" thickBot="1" x14ac:dyDescent="0.35">
      <c r="C94" s="1059" t="s">
        <v>1171</v>
      </c>
      <c r="D94" s="1059"/>
      <c r="E94" s="1059"/>
      <c r="F94" s="1059"/>
      <c r="G94" s="1059"/>
      <c r="H94" s="1059"/>
      <c r="I94" s="1059"/>
      <c r="J94" s="1059"/>
      <c r="K94" s="1059"/>
      <c r="L94" s="1059"/>
      <c r="M94" s="1059"/>
      <c r="N94" s="1059"/>
      <c r="O94" s="1059"/>
      <c r="P94" s="1059"/>
      <c r="Q94" s="1059"/>
      <c r="R94" s="1059"/>
      <c r="S94" s="1069" t="s">
        <v>1189</v>
      </c>
      <c r="T94" s="1069"/>
    </row>
    <row r="95" spans="2:20" s="322" customFormat="1" ht="18" customHeight="1" x14ac:dyDescent="0.3">
      <c r="B95" s="616"/>
      <c r="C95" s="985" t="s">
        <v>1211</v>
      </c>
      <c r="D95" s="995" t="s">
        <v>95</v>
      </c>
      <c r="E95" s="1072" t="s">
        <v>99</v>
      </c>
      <c r="F95" s="1072"/>
      <c r="G95" s="1072"/>
      <c r="H95" s="1072"/>
      <c r="I95" s="1072"/>
      <c r="J95" s="1072"/>
      <c r="K95" s="1072"/>
      <c r="L95" s="1072"/>
      <c r="M95" s="1072" t="s">
        <v>100</v>
      </c>
      <c r="N95" s="1072"/>
      <c r="O95" s="1072"/>
      <c r="P95" s="1072"/>
      <c r="Q95" s="1072"/>
      <c r="R95" s="1072"/>
      <c r="S95" s="1072"/>
      <c r="T95" s="1073"/>
    </row>
    <row r="96" spans="2:20" s="320" customFormat="1" ht="14.25" customHeight="1" x14ac:dyDescent="0.3">
      <c r="B96" s="618"/>
      <c r="C96" s="973"/>
      <c r="D96" s="996"/>
      <c r="E96" s="926" t="s">
        <v>101</v>
      </c>
      <c r="F96" s="926"/>
      <c r="G96" s="926"/>
      <c r="H96" s="926"/>
      <c r="I96" s="926"/>
      <c r="J96" s="926"/>
      <c r="K96" s="926"/>
      <c r="L96" s="926"/>
      <c r="M96" s="926" t="s">
        <v>101</v>
      </c>
      <c r="N96" s="926"/>
      <c r="O96" s="926"/>
      <c r="P96" s="926"/>
      <c r="Q96" s="926"/>
      <c r="R96" s="926"/>
      <c r="S96" s="926"/>
      <c r="T96" s="1071"/>
    </row>
    <row r="97" spans="2:20" s="323" customFormat="1" ht="15" outlineLevel="1" x14ac:dyDescent="0.3">
      <c r="B97" s="622"/>
      <c r="C97" s="386"/>
      <c r="D97" s="343"/>
      <c r="E97" s="1067" t="s">
        <v>401</v>
      </c>
      <c r="F97" s="1067"/>
      <c r="G97" s="1067"/>
      <c r="H97" s="1067"/>
      <c r="I97" s="1067"/>
      <c r="J97" s="1067"/>
      <c r="K97" s="1067"/>
      <c r="L97" s="1067"/>
      <c r="M97" s="1067" t="s">
        <v>402</v>
      </c>
      <c r="N97" s="1067"/>
      <c r="O97" s="1067"/>
      <c r="P97" s="1067"/>
      <c r="Q97" s="1067"/>
      <c r="R97" s="1067"/>
      <c r="S97" s="1067"/>
      <c r="T97" s="1068"/>
    </row>
    <row r="98" spans="2:20" ht="15" outlineLevel="1" x14ac:dyDescent="0.2">
      <c r="B98" s="60" t="s">
        <v>3663</v>
      </c>
      <c r="C98" s="399">
        <v>1</v>
      </c>
      <c r="D98" s="387" t="s">
        <v>96</v>
      </c>
      <c r="E98" s="1024"/>
      <c r="F98" s="1024"/>
      <c r="G98" s="1024"/>
      <c r="H98" s="1024"/>
      <c r="I98" s="1024"/>
      <c r="J98" s="1024"/>
      <c r="K98" s="1024"/>
      <c r="L98" s="1024"/>
      <c r="M98" s="1024"/>
      <c r="N98" s="1024"/>
      <c r="O98" s="1024"/>
      <c r="P98" s="1024"/>
      <c r="Q98" s="1024"/>
      <c r="R98" s="1024"/>
      <c r="S98" s="1024"/>
      <c r="T98" s="1027"/>
    </row>
    <row r="99" spans="2:20" ht="15" outlineLevel="1" x14ac:dyDescent="0.2">
      <c r="B99" s="60" t="s">
        <v>3664</v>
      </c>
      <c r="C99" s="399">
        <v>2</v>
      </c>
      <c r="D99" s="387" t="s">
        <v>97</v>
      </c>
      <c r="E99" s="1024"/>
      <c r="F99" s="1024"/>
      <c r="G99" s="1024"/>
      <c r="H99" s="1024"/>
      <c r="I99" s="1024"/>
      <c r="J99" s="1024"/>
      <c r="K99" s="1024"/>
      <c r="L99" s="1024"/>
      <c r="M99" s="1024"/>
      <c r="N99" s="1024"/>
      <c r="O99" s="1024"/>
      <c r="P99" s="1024"/>
      <c r="Q99" s="1024"/>
      <c r="R99" s="1024"/>
      <c r="S99" s="1024"/>
      <c r="T99" s="1027"/>
    </row>
    <row r="100" spans="2:20" ht="30" outlineLevel="1" x14ac:dyDescent="0.2">
      <c r="B100" s="60" t="s">
        <v>3665</v>
      </c>
      <c r="C100" s="399">
        <v>3</v>
      </c>
      <c r="D100" s="387" t="s">
        <v>3410</v>
      </c>
      <c r="E100" s="1024"/>
      <c r="F100" s="1024"/>
      <c r="G100" s="1024"/>
      <c r="H100" s="1024"/>
      <c r="I100" s="1024"/>
      <c r="J100" s="1024"/>
      <c r="K100" s="1024"/>
      <c r="L100" s="1024"/>
      <c r="M100" s="1024"/>
      <c r="N100" s="1024"/>
      <c r="O100" s="1024"/>
      <c r="P100" s="1024"/>
      <c r="Q100" s="1024"/>
      <c r="R100" s="1024"/>
      <c r="S100" s="1024"/>
      <c r="T100" s="1027"/>
    </row>
    <row r="101" spans="2:20" ht="15" outlineLevel="1" x14ac:dyDescent="0.2">
      <c r="B101" s="60" t="s">
        <v>3666</v>
      </c>
      <c r="C101" s="399">
        <v>4</v>
      </c>
      <c r="D101" s="387" t="s">
        <v>1153</v>
      </c>
      <c r="E101" s="1024"/>
      <c r="F101" s="1024"/>
      <c r="G101" s="1024"/>
      <c r="H101" s="1024"/>
      <c r="I101" s="1024"/>
      <c r="J101" s="1024"/>
      <c r="K101" s="1024"/>
      <c r="L101" s="1024"/>
      <c r="M101" s="1024"/>
      <c r="N101" s="1024"/>
      <c r="O101" s="1024"/>
      <c r="P101" s="1024"/>
      <c r="Q101" s="1024"/>
      <c r="R101" s="1024"/>
      <c r="S101" s="1024"/>
      <c r="T101" s="1027"/>
    </row>
    <row r="102" spans="2:20" ht="15" customHeight="1" thickBot="1" x14ac:dyDescent="0.25">
      <c r="B102" s="491" t="s">
        <v>3667</v>
      </c>
      <c r="C102" s="1018" t="s">
        <v>1154</v>
      </c>
      <c r="D102" s="1070"/>
      <c r="E102" s="1066">
        <f>SUM(E98:L101)</f>
        <v>0</v>
      </c>
      <c r="F102" s="1066"/>
      <c r="G102" s="1066"/>
      <c r="H102" s="1066"/>
      <c r="I102" s="1066"/>
      <c r="J102" s="1066"/>
      <c r="K102" s="1066"/>
      <c r="L102" s="1066"/>
      <c r="M102" s="1064">
        <f>SUM(M98:T101)</f>
        <v>0</v>
      </c>
      <c r="N102" s="1064"/>
      <c r="O102" s="1064"/>
      <c r="P102" s="1064"/>
      <c r="Q102" s="1064"/>
      <c r="R102" s="1064"/>
      <c r="S102" s="1064"/>
      <c r="T102" s="1065"/>
    </row>
    <row r="103" spans="2:20" ht="15" x14ac:dyDescent="0.3">
      <c r="C103" s="322"/>
      <c r="D103" s="322"/>
    </row>
    <row r="104" spans="2:20" ht="15" x14ac:dyDescent="0.3">
      <c r="C104" s="1074"/>
      <c r="D104" s="1074"/>
    </row>
    <row r="105" spans="2:20" ht="15" x14ac:dyDescent="0.3">
      <c r="C105" s="782"/>
      <c r="D105" s="782"/>
      <c r="E105" s="782"/>
      <c r="F105" s="782"/>
      <c r="G105" s="782"/>
      <c r="H105" s="782"/>
      <c r="I105" s="782"/>
      <c r="J105" s="782"/>
      <c r="K105" s="782"/>
    </row>
    <row r="106" spans="2:20" ht="15" x14ac:dyDescent="0.2">
      <c r="C106" s="629"/>
      <c r="D106" s="629"/>
      <c r="E106" s="629"/>
      <c r="F106" s="629"/>
      <c r="G106" s="629"/>
      <c r="H106" s="629"/>
      <c r="I106" s="633"/>
      <c r="J106" s="633"/>
      <c r="K106" s="643"/>
    </row>
    <row r="107" spans="2:20" ht="15" x14ac:dyDescent="0.3">
      <c r="C107" s="782"/>
      <c r="D107" s="782"/>
      <c r="E107" s="782"/>
      <c r="F107" s="782"/>
      <c r="G107" s="782"/>
      <c r="H107" s="782"/>
      <c r="I107" s="782"/>
      <c r="J107" s="782"/>
      <c r="K107" s="782"/>
    </row>
    <row r="108" spans="2:20" ht="15" x14ac:dyDescent="0.2">
      <c r="C108" s="629"/>
      <c r="D108" s="629"/>
      <c r="E108" s="629"/>
      <c r="F108" s="629"/>
      <c r="G108" s="629"/>
      <c r="H108" s="629"/>
      <c r="I108" s="633"/>
      <c r="J108" s="633"/>
      <c r="K108" s="643"/>
    </row>
    <row r="109" spans="2:20" ht="15" x14ac:dyDescent="0.3">
      <c r="C109" s="782"/>
      <c r="D109" s="782"/>
      <c r="E109" s="782"/>
      <c r="F109" s="782"/>
      <c r="G109" s="782"/>
      <c r="H109" s="782"/>
      <c r="I109" s="782"/>
      <c r="J109" s="782"/>
      <c r="K109" s="782"/>
    </row>
    <row r="110" spans="2:20" ht="15" x14ac:dyDescent="0.3">
      <c r="C110" s="322"/>
      <c r="D110" s="322"/>
    </row>
    <row r="111" spans="2:20" ht="15" x14ac:dyDescent="0.3">
      <c r="C111" s="322"/>
      <c r="D111" s="322"/>
    </row>
  </sheetData>
  <mergeCells count="270">
    <mergeCell ref="C105:K105"/>
    <mergeCell ref="C107:K107"/>
    <mergeCell ref="S83:T83"/>
    <mergeCell ref="E100:L100"/>
    <mergeCell ref="E99:L99"/>
    <mergeCell ref="E98:L98"/>
    <mergeCell ref="E90:H90"/>
    <mergeCell ref="S94:T94"/>
    <mergeCell ref="C94:R94"/>
    <mergeCell ref="C102:D102"/>
    <mergeCell ref="M96:T96"/>
    <mergeCell ref="E96:L96"/>
    <mergeCell ref="C95:C96"/>
    <mergeCell ref="D95:D96"/>
    <mergeCell ref="M95:T95"/>
    <mergeCell ref="E95:L95"/>
    <mergeCell ref="M98:T98"/>
    <mergeCell ref="I90:L90"/>
    <mergeCell ref="M90:P90"/>
    <mergeCell ref="Q90:T90"/>
    <mergeCell ref="C91:D91"/>
    <mergeCell ref="E91:H91"/>
    <mergeCell ref="C104:D104"/>
    <mergeCell ref="I87:L87"/>
    <mergeCell ref="M87:P87"/>
    <mergeCell ref="Q87:T87"/>
    <mergeCell ref="E88:H88"/>
    <mergeCell ref="I88:L88"/>
    <mergeCell ref="M88:P88"/>
    <mergeCell ref="Q88:T88"/>
    <mergeCell ref="E89:H89"/>
    <mergeCell ref="I89:L89"/>
    <mergeCell ref="M89:P89"/>
    <mergeCell ref="Q89:T89"/>
    <mergeCell ref="E87:H87"/>
    <mergeCell ref="I91:L91"/>
    <mergeCell ref="M91:P91"/>
    <mergeCell ref="M102:T102"/>
    <mergeCell ref="E102:L102"/>
    <mergeCell ref="E101:L101"/>
    <mergeCell ref="M99:T99"/>
    <mergeCell ref="M100:T100"/>
    <mergeCell ref="M101:T101"/>
    <mergeCell ref="M97:T97"/>
    <mergeCell ref="E97:L97"/>
    <mergeCell ref="Q91:T91"/>
    <mergeCell ref="C84:C85"/>
    <mergeCell ref="D84:D85"/>
    <mergeCell ref="E84:L84"/>
    <mergeCell ref="M84:T84"/>
    <mergeCell ref="E85:H85"/>
    <mergeCell ref="I85:L85"/>
    <mergeCell ref="M85:P85"/>
    <mergeCell ref="Q85:T85"/>
    <mergeCell ref="E86:H86"/>
    <mergeCell ref="I86:L86"/>
    <mergeCell ref="M86:P86"/>
    <mergeCell ref="Q86:T86"/>
    <mergeCell ref="C80:D80"/>
    <mergeCell ref="E80:H80"/>
    <mergeCell ref="I80:L80"/>
    <mergeCell ref="M80:P80"/>
    <mergeCell ref="Q80:T80"/>
    <mergeCell ref="S72:T72"/>
    <mergeCell ref="C72:R72"/>
    <mergeCell ref="E78:H78"/>
    <mergeCell ref="I78:L78"/>
    <mergeCell ref="M78:P78"/>
    <mergeCell ref="Q78:T78"/>
    <mergeCell ref="E79:H79"/>
    <mergeCell ref="I79:L79"/>
    <mergeCell ref="M79:P79"/>
    <mergeCell ref="Q79:T79"/>
    <mergeCell ref="E76:H76"/>
    <mergeCell ref="I76:L76"/>
    <mergeCell ref="M76:P76"/>
    <mergeCell ref="Q76:T76"/>
    <mergeCell ref="E77:H77"/>
    <mergeCell ref="I77:L77"/>
    <mergeCell ref="M77:P77"/>
    <mergeCell ref="Q77:T77"/>
    <mergeCell ref="M73:T73"/>
    <mergeCell ref="C55:K55"/>
    <mergeCell ref="C57:K57"/>
    <mergeCell ref="E74:H74"/>
    <mergeCell ref="I74:L74"/>
    <mergeCell ref="M74:P74"/>
    <mergeCell ref="Q74:T74"/>
    <mergeCell ref="E75:H75"/>
    <mergeCell ref="I75:L75"/>
    <mergeCell ref="M75:P75"/>
    <mergeCell ref="Q75:T75"/>
    <mergeCell ref="S61:T61"/>
    <mergeCell ref="C61:R61"/>
    <mergeCell ref="C73:C74"/>
    <mergeCell ref="D73:D74"/>
    <mergeCell ref="E73:L73"/>
    <mergeCell ref="E68:H68"/>
    <mergeCell ref="I68:L68"/>
    <mergeCell ref="M68:P68"/>
    <mergeCell ref="E67:H67"/>
    <mergeCell ref="I67:L67"/>
    <mergeCell ref="M67:P67"/>
    <mergeCell ref="Q67:T67"/>
    <mergeCell ref="Q68:T68"/>
    <mergeCell ref="C69:D69"/>
    <mergeCell ref="M69:P69"/>
    <mergeCell ref="Q69:T69"/>
    <mergeCell ref="E64:H64"/>
    <mergeCell ref="I64:L64"/>
    <mergeCell ref="M64:P64"/>
    <mergeCell ref="Q64:T64"/>
    <mergeCell ref="E65:H65"/>
    <mergeCell ref="I65:L65"/>
    <mergeCell ref="M65:P65"/>
    <mergeCell ref="Q65:T65"/>
    <mergeCell ref="E66:H66"/>
    <mergeCell ref="I66:L66"/>
    <mergeCell ref="M66:P66"/>
    <mergeCell ref="Q66:T66"/>
    <mergeCell ref="E69:H69"/>
    <mergeCell ref="I69:L69"/>
    <mergeCell ref="C62:C63"/>
    <mergeCell ref="O49:P49"/>
    <mergeCell ref="C50:D50"/>
    <mergeCell ref="G50:H50"/>
    <mergeCell ref="I50:J50"/>
    <mergeCell ref="K50:L50"/>
    <mergeCell ref="D62:D63"/>
    <mergeCell ref="E62:L62"/>
    <mergeCell ref="M62:T62"/>
    <mergeCell ref="E63:H63"/>
    <mergeCell ref="I63:L63"/>
    <mergeCell ref="M63:P63"/>
    <mergeCell ref="Q63:T63"/>
    <mergeCell ref="E49:F49"/>
    <mergeCell ref="G49:H49"/>
    <mergeCell ref="Q50:R50"/>
    <mergeCell ref="S50:T50"/>
    <mergeCell ref="E50:F50"/>
    <mergeCell ref="M50:N50"/>
    <mergeCell ref="O50:P50"/>
    <mergeCell ref="I49:J49"/>
    <mergeCell ref="Q49:R49"/>
    <mergeCell ref="K49:L49"/>
    <mergeCell ref="S49:T49"/>
    <mergeCell ref="G48:H48"/>
    <mergeCell ref="G47:H47"/>
    <mergeCell ref="Q47:R47"/>
    <mergeCell ref="Q46:R46"/>
    <mergeCell ref="C30:C32"/>
    <mergeCell ref="D30:D32"/>
    <mergeCell ref="M30:T30"/>
    <mergeCell ref="E30:L30"/>
    <mergeCell ref="C38:D38"/>
    <mergeCell ref="E31:F31"/>
    <mergeCell ref="G31:H31"/>
    <mergeCell ref="I31:J31"/>
    <mergeCell ref="K31:L31"/>
    <mergeCell ref="S45:T45"/>
    <mergeCell ref="K46:L46"/>
    <mergeCell ref="G44:H44"/>
    <mergeCell ref="I44:J44"/>
    <mergeCell ref="M44:N44"/>
    <mergeCell ref="O44:P44"/>
    <mergeCell ref="C42:C44"/>
    <mergeCell ref="M48:N48"/>
    <mergeCell ref="M31:N31"/>
    <mergeCell ref="O31:P31"/>
    <mergeCell ref="Q43:R43"/>
    <mergeCell ref="S43:T44"/>
    <mergeCell ref="Q31:R31"/>
    <mergeCell ref="S31:T31"/>
    <mergeCell ref="Q26:T26"/>
    <mergeCell ref="Q25:T25"/>
    <mergeCell ref="Q24:T24"/>
    <mergeCell ref="Q23:T23"/>
    <mergeCell ref="E42:L42"/>
    <mergeCell ref="K43:L44"/>
    <mergeCell ref="E43:J43"/>
    <mergeCell ref="M42:T42"/>
    <mergeCell ref="M43:N43"/>
    <mergeCell ref="Q44:R44"/>
    <mergeCell ref="S41:T41"/>
    <mergeCell ref="C41:R41"/>
    <mergeCell ref="D42:D44"/>
    <mergeCell ref="E44:F44"/>
    <mergeCell ref="I26:L26"/>
    <mergeCell ref="I25:L25"/>
    <mergeCell ref="M47:N47"/>
    <mergeCell ref="M46:N46"/>
    <mergeCell ref="E7:L7"/>
    <mergeCell ref="Q8:R8"/>
    <mergeCell ref="O47:P47"/>
    <mergeCell ref="O46:P46"/>
    <mergeCell ref="E46:F46"/>
    <mergeCell ref="G46:H46"/>
    <mergeCell ref="E45:F45"/>
    <mergeCell ref="G45:H45"/>
    <mergeCell ref="I45:J45"/>
    <mergeCell ref="K45:L45"/>
    <mergeCell ref="E47:F47"/>
    <mergeCell ref="I47:J47"/>
    <mergeCell ref="I46:J46"/>
    <mergeCell ref="K47:L47"/>
    <mergeCell ref="Q45:R45"/>
    <mergeCell ref="E23:H23"/>
    <mergeCell ref="E24:H24"/>
    <mergeCell ref="O43:P43"/>
    <mergeCell ref="B1:C1"/>
    <mergeCell ref="C4:T4"/>
    <mergeCell ref="S6:T6"/>
    <mergeCell ref="C6:R6"/>
    <mergeCell ref="D7:D9"/>
    <mergeCell ref="C7:C9"/>
    <mergeCell ref="O8:P8"/>
    <mergeCell ref="S8:T8"/>
    <mergeCell ref="M8:N8"/>
    <mergeCell ref="M7:T7"/>
    <mergeCell ref="B7:B9"/>
    <mergeCell ref="B2:T2"/>
    <mergeCell ref="K8:L8"/>
    <mergeCell ref="M49:N49"/>
    <mergeCell ref="E48:F48"/>
    <mergeCell ref="O48:P48"/>
    <mergeCell ref="C15:D15"/>
    <mergeCell ref="Q22:T22"/>
    <mergeCell ref="M22:P22"/>
    <mergeCell ref="I22:L22"/>
    <mergeCell ref="E22:H22"/>
    <mergeCell ref="C19:C20"/>
    <mergeCell ref="D19:D20"/>
    <mergeCell ref="M21:P21"/>
    <mergeCell ref="E21:H21"/>
    <mergeCell ref="I21:L21"/>
    <mergeCell ref="I20:L20"/>
    <mergeCell ref="Q20:T20"/>
    <mergeCell ref="M20:P20"/>
    <mergeCell ref="Q21:T21"/>
    <mergeCell ref="K48:L48"/>
    <mergeCell ref="M45:N45"/>
    <mergeCell ref="O45:P45"/>
    <mergeCell ref="Q48:R48"/>
    <mergeCell ref="J27:K27"/>
    <mergeCell ref="S48:T48"/>
    <mergeCell ref="S46:T46"/>
    <mergeCell ref="C109:K109"/>
    <mergeCell ref="S47:T47"/>
    <mergeCell ref="I48:J48"/>
    <mergeCell ref="C53:K53"/>
    <mergeCell ref="E8:F8"/>
    <mergeCell ref="G8:H8"/>
    <mergeCell ref="I8:J8"/>
    <mergeCell ref="C83:R83"/>
    <mergeCell ref="M19:T19"/>
    <mergeCell ref="E19:L19"/>
    <mergeCell ref="C26:D26"/>
    <mergeCell ref="S18:T18"/>
    <mergeCell ref="C18:R18"/>
    <mergeCell ref="S29:T29"/>
    <mergeCell ref="C29:R29"/>
    <mergeCell ref="E20:H20"/>
    <mergeCell ref="M26:P26"/>
    <mergeCell ref="M25:P25"/>
    <mergeCell ref="M24:P24"/>
    <mergeCell ref="M23:P23"/>
    <mergeCell ref="E26:H26"/>
    <mergeCell ref="E25:H25"/>
    <mergeCell ref="I23:L23"/>
    <mergeCell ref="I24:L24"/>
  </mergeCells>
  <phoneticPr fontId="32" type="noConversion"/>
  <pageMargins left="0.16" right="0.16" top="0.16" bottom="0.4" header="0.17" footer="0.4"/>
  <pageSetup paperSize="9" scale="58" fitToHeight="2" orientation="landscape" horizontalDpi="300" verticalDpi="300" r:id="rId1"/>
  <headerFooter alignWithMargins="0"/>
  <ignoredErrors>
    <ignoredError sqref="B15:B51 B58:B102"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1"/>
  </sheetPr>
  <dimension ref="A1:D110"/>
  <sheetViews>
    <sheetView workbookViewId="0">
      <selection activeCell="H8" sqref="H8"/>
    </sheetView>
  </sheetViews>
  <sheetFormatPr defaultRowHeight="12.75" x14ac:dyDescent="0.25"/>
  <cols>
    <col min="1" max="1" width="5.42578125" style="1077" customWidth="1"/>
    <col min="2" max="2" width="85.5703125" style="1077" customWidth="1"/>
    <col min="3" max="4" width="19" style="1077" customWidth="1"/>
    <col min="5" max="16384" width="9.140625" style="1077"/>
  </cols>
  <sheetData>
    <row r="1" spans="1:4" x14ac:dyDescent="0.25">
      <c r="A1" s="1075" t="s">
        <v>4700</v>
      </c>
      <c r="B1" s="1076"/>
      <c r="D1" s="1078" t="s">
        <v>4806</v>
      </c>
    </row>
    <row r="2" spans="1:4" ht="6.75" customHeight="1" x14ac:dyDescent="0.25">
      <c r="A2" s="1075"/>
    </row>
    <row r="3" spans="1:4" x14ac:dyDescent="0.25">
      <c r="A3" s="1075" t="s">
        <v>4701</v>
      </c>
    </row>
    <row r="4" spans="1:4" ht="6.75" customHeight="1" x14ac:dyDescent="0.25"/>
    <row r="5" spans="1:4" x14ac:dyDescent="0.25">
      <c r="A5" s="1077" t="s">
        <v>4702</v>
      </c>
      <c r="B5" s="1079" t="s">
        <v>4807</v>
      </c>
      <c r="C5" s="1079"/>
      <c r="D5" s="1079"/>
    </row>
    <row r="6" spans="1:4" ht="11.25" customHeight="1" x14ac:dyDescent="0.25">
      <c r="C6" s="1080" t="s">
        <v>323</v>
      </c>
      <c r="D6" s="1080"/>
    </row>
    <row r="7" spans="1:4" ht="27.75" customHeight="1" x14ac:dyDescent="0.25">
      <c r="A7" s="1081"/>
      <c r="B7" s="1082"/>
      <c r="C7" s="1083" t="s">
        <v>322</v>
      </c>
      <c r="D7" s="1083" t="s">
        <v>333</v>
      </c>
    </row>
    <row r="8" spans="1:4" ht="14.25" customHeight="1" x14ac:dyDescent="0.25">
      <c r="A8" s="1084" t="s">
        <v>4703</v>
      </c>
      <c r="B8" s="1084"/>
      <c r="C8" s="1084"/>
      <c r="D8" s="1084"/>
    </row>
    <row r="9" spans="1:4" ht="13.5" customHeight="1" x14ac:dyDescent="0.25">
      <c r="A9" s="1085">
        <v>1</v>
      </c>
      <c r="B9" s="1086" t="s">
        <v>4704</v>
      </c>
      <c r="C9" s="1087">
        <f>SUM(C10:C18)</f>
        <v>0</v>
      </c>
      <c r="D9" s="1087">
        <f>SUM(D10:D18)</f>
        <v>0</v>
      </c>
    </row>
    <row r="10" spans="1:4" ht="12" customHeight="1" x14ac:dyDescent="0.25">
      <c r="A10" s="1088">
        <v>10001</v>
      </c>
      <c r="B10" s="1089" t="s">
        <v>4705</v>
      </c>
      <c r="C10" s="1090"/>
      <c r="D10" s="1090"/>
    </row>
    <row r="11" spans="1:4" ht="12" customHeight="1" x14ac:dyDescent="0.25">
      <c r="A11" s="1088">
        <v>10002</v>
      </c>
      <c r="B11" s="1089" t="s">
        <v>4706</v>
      </c>
      <c r="C11" s="1090"/>
      <c r="D11" s="1090"/>
    </row>
    <row r="12" spans="1:4" ht="12" customHeight="1" x14ac:dyDescent="0.25">
      <c r="A12" s="1088">
        <v>10003</v>
      </c>
      <c r="B12" s="1089" t="s">
        <v>4707</v>
      </c>
      <c r="C12" s="1090"/>
      <c r="D12" s="1090"/>
    </row>
    <row r="13" spans="1:4" ht="12" customHeight="1" x14ac:dyDescent="0.25">
      <c r="A13" s="1088">
        <v>10004</v>
      </c>
      <c r="B13" s="1089" t="s">
        <v>4708</v>
      </c>
      <c r="C13" s="1090"/>
      <c r="D13" s="1090"/>
    </row>
    <row r="14" spans="1:4" ht="12" customHeight="1" x14ac:dyDescent="0.25">
      <c r="A14" s="1088">
        <v>10005</v>
      </c>
      <c r="B14" s="1089" t="s">
        <v>4709</v>
      </c>
      <c r="C14" s="1090"/>
      <c r="D14" s="1090"/>
    </row>
    <row r="15" spans="1:4" ht="12" customHeight="1" x14ac:dyDescent="0.25">
      <c r="A15" s="1088">
        <v>10006</v>
      </c>
      <c r="B15" s="1089" t="s">
        <v>4710</v>
      </c>
      <c r="C15" s="1090"/>
      <c r="D15" s="1090"/>
    </row>
    <row r="16" spans="1:4" ht="12" customHeight="1" x14ac:dyDescent="0.25">
      <c r="A16" s="1088">
        <v>10007</v>
      </c>
      <c r="B16" s="1081" t="s">
        <v>4711</v>
      </c>
      <c r="C16" s="1090"/>
      <c r="D16" s="1090"/>
    </row>
    <row r="17" spans="1:4" ht="12" customHeight="1" x14ac:dyDescent="0.25">
      <c r="A17" s="1088">
        <v>10008</v>
      </c>
      <c r="B17" s="1081" t="s">
        <v>4712</v>
      </c>
      <c r="C17" s="1090"/>
      <c r="D17" s="1090"/>
    </row>
    <row r="18" spans="1:4" ht="12" customHeight="1" x14ac:dyDescent="0.25">
      <c r="A18" s="1088">
        <v>10009</v>
      </c>
      <c r="B18" s="1081" t="s">
        <v>4713</v>
      </c>
      <c r="C18" s="1090"/>
      <c r="D18" s="1090"/>
    </row>
    <row r="19" spans="1:4" ht="13.5" customHeight="1" x14ac:dyDescent="0.25">
      <c r="A19" s="1085">
        <v>2</v>
      </c>
      <c r="B19" s="1086" t="s">
        <v>4714</v>
      </c>
      <c r="C19" s="1087">
        <f>SUM(C20:C51)</f>
        <v>0</v>
      </c>
      <c r="D19" s="1087">
        <f>SUM(D20:D51)</f>
        <v>0</v>
      </c>
    </row>
    <row r="20" spans="1:4" ht="12" customHeight="1" x14ac:dyDescent="0.25">
      <c r="A20" s="1088">
        <v>20001</v>
      </c>
      <c r="B20" s="1089" t="s">
        <v>4715</v>
      </c>
      <c r="C20" s="1090"/>
      <c r="D20" s="1090"/>
    </row>
    <row r="21" spans="1:4" ht="12" customHeight="1" x14ac:dyDescent="0.25">
      <c r="A21" s="1088">
        <v>20002</v>
      </c>
      <c r="B21" s="1089" t="s">
        <v>4716</v>
      </c>
      <c r="C21" s="1090"/>
      <c r="D21" s="1090"/>
    </row>
    <row r="22" spans="1:4" ht="12" customHeight="1" x14ac:dyDescent="0.25">
      <c r="A22" s="1088">
        <v>20003</v>
      </c>
      <c r="B22" s="1089" t="s">
        <v>4717</v>
      </c>
      <c r="C22" s="1090"/>
      <c r="D22" s="1090"/>
    </row>
    <row r="23" spans="1:4" ht="12" customHeight="1" x14ac:dyDescent="0.25">
      <c r="A23" s="1088">
        <v>20004</v>
      </c>
      <c r="B23" s="1089" t="s">
        <v>4718</v>
      </c>
      <c r="C23" s="1090"/>
      <c r="D23" s="1090"/>
    </row>
    <row r="24" spans="1:4" ht="12" customHeight="1" x14ac:dyDescent="0.25">
      <c r="A24" s="1088">
        <v>20005</v>
      </c>
      <c r="B24" s="1089" t="s">
        <v>4719</v>
      </c>
      <c r="C24" s="1090"/>
      <c r="D24" s="1090"/>
    </row>
    <row r="25" spans="1:4" ht="12" customHeight="1" x14ac:dyDescent="0.25">
      <c r="A25" s="1088">
        <v>20006</v>
      </c>
      <c r="B25" s="1091" t="s">
        <v>4720</v>
      </c>
      <c r="C25" s="1090"/>
      <c r="D25" s="1090"/>
    </row>
    <row r="26" spans="1:4" ht="12" customHeight="1" x14ac:dyDescent="0.25">
      <c r="A26" s="1088">
        <v>20007</v>
      </c>
      <c r="B26" s="1089" t="s">
        <v>4721</v>
      </c>
      <c r="C26" s="1090"/>
      <c r="D26" s="1090"/>
    </row>
    <row r="27" spans="1:4" ht="12" customHeight="1" x14ac:dyDescent="0.25">
      <c r="A27" s="1088">
        <v>20008</v>
      </c>
      <c r="B27" s="1089" t="s">
        <v>4722</v>
      </c>
      <c r="C27" s="1090"/>
      <c r="D27" s="1090"/>
    </row>
    <row r="28" spans="1:4" ht="12" customHeight="1" x14ac:dyDescent="0.25">
      <c r="A28" s="1088">
        <v>20009</v>
      </c>
      <c r="B28" s="1089" t="s">
        <v>4723</v>
      </c>
      <c r="C28" s="1090"/>
      <c r="D28" s="1090"/>
    </row>
    <row r="29" spans="1:4" ht="12" customHeight="1" x14ac:dyDescent="0.25">
      <c r="A29" s="1088">
        <v>20010</v>
      </c>
      <c r="B29" s="1089" t="s">
        <v>4724</v>
      </c>
      <c r="C29" s="1090"/>
      <c r="D29" s="1090"/>
    </row>
    <row r="30" spans="1:4" ht="12" customHeight="1" x14ac:dyDescent="0.25">
      <c r="A30" s="1088">
        <v>20011</v>
      </c>
      <c r="B30" s="1089" t="s">
        <v>4725</v>
      </c>
      <c r="C30" s="1090"/>
      <c r="D30" s="1090"/>
    </row>
    <row r="31" spans="1:4" ht="12" customHeight="1" x14ac:dyDescent="0.25">
      <c r="A31" s="1088">
        <v>20012</v>
      </c>
      <c r="B31" s="1089" t="s">
        <v>4726</v>
      </c>
      <c r="C31" s="1090"/>
      <c r="D31" s="1090"/>
    </row>
    <row r="32" spans="1:4" ht="12" customHeight="1" x14ac:dyDescent="0.25">
      <c r="A32" s="1088">
        <v>20013</v>
      </c>
      <c r="B32" s="1089" t="s">
        <v>4727</v>
      </c>
      <c r="C32" s="1090"/>
      <c r="D32" s="1090"/>
    </row>
    <row r="33" spans="1:4" ht="12" customHeight="1" x14ac:dyDescent="0.25">
      <c r="A33" s="1088">
        <v>20014</v>
      </c>
      <c r="B33" s="1089" t="s">
        <v>4728</v>
      </c>
      <c r="C33" s="1090"/>
      <c r="D33" s="1090"/>
    </row>
    <row r="34" spans="1:4" ht="12" customHeight="1" x14ac:dyDescent="0.25">
      <c r="A34" s="1088">
        <v>20015</v>
      </c>
      <c r="B34" s="1089" t="s">
        <v>4729</v>
      </c>
      <c r="C34" s="1090"/>
      <c r="D34" s="1090"/>
    </row>
    <row r="35" spans="1:4" ht="12" customHeight="1" x14ac:dyDescent="0.25">
      <c r="A35" s="1088">
        <v>20016</v>
      </c>
      <c r="B35" s="1089" t="s">
        <v>4730</v>
      </c>
      <c r="C35" s="1090"/>
      <c r="D35" s="1090"/>
    </row>
    <row r="36" spans="1:4" ht="12" customHeight="1" x14ac:dyDescent="0.25">
      <c r="A36" s="1088">
        <v>20017</v>
      </c>
      <c r="B36" s="1089" t="s">
        <v>4731</v>
      </c>
      <c r="C36" s="1090"/>
      <c r="D36" s="1090"/>
    </row>
    <row r="37" spans="1:4" ht="12" customHeight="1" x14ac:dyDescent="0.25">
      <c r="A37" s="1088">
        <v>20018</v>
      </c>
      <c r="B37" s="1089" t="s">
        <v>4732</v>
      </c>
      <c r="C37" s="1090"/>
      <c r="D37" s="1090"/>
    </row>
    <row r="38" spans="1:4" ht="12" customHeight="1" x14ac:dyDescent="0.25">
      <c r="A38" s="1088">
        <v>20019</v>
      </c>
      <c r="B38" s="1089" t="s">
        <v>4733</v>
      </c>
      <c r="C38" s="1090"/>
      <c r="D38" s="1090"/>
    </row>
    <row r="39" spans="1:4" ht="12" customHeight="1" x14ac:dyDescent="0.25">
      <c r="A39" s="1088">
        <v>20020</v>
      </c>
      <c r="B39" s="1089" t="s">
        <v>4734</v>
      </c>
      <c r="C39" s="1090"/>
      <c r="D39" s="1090"/>
    </row>
    <row r="40" spans="1:4" ht="12" customHeight="1" x14ac:dyDescent="0.25">
      <c r="A40" s="1088">
        <v>20021</v>
      </c>
      <c r="B40" s="1089" t="s">
        <v>4735</v>
      </c>
      <c r="C40" s="1090"/>
      <c r="D40" s="1090"/>
    </row>
    <row r="41" spans="1:4" ht="12" customHeight="1" x14ac:dyDescent="0.25">
      <c r="A41" s="1088">
        <v>20022</v>
      </c>
      <c r="B41" s="1089" t="s">
        <v>4736</v>
      </c>
      <c r="C41" s="1090"/>
      <c r="D41" s="1090"/>
    </row>
    <row r="42" spans="1:4" ht="12" customHeight="1" x14ac:dyDescent="0.25">
      <c r="A42" s="1088">
        <v>20023</v>
      </c>
      <c r="B42" s="1089" t="s">
        <v>4737</v>
      </c>
      <c r="C42" s="1090"/>
      <c r="D42" s="1090"/>
    </row>
    <row r="43" spans="1:4" ht="12" customHeight="1" x14ac:dyDescent="0.25">
      <c r="A43" s="1088">
        <v>20024</v>
      </c>
      <c r="B43" s="1089" t="s">
        <v>4738</v>
      </c>
      <c r="C43" s="1090"/>
      <c r="D43" s="1090"/>
    </row>
    <row r="44" spans="1:4" ht="12" customHeight="1" x14ac:dyDescent="0.25">
      <c r="A44" s="1088">
        <v>20025</v>
      </c>
      <c r="B44" s="1089" t="s">
        <v>4739</v>
      </c>
      <c r="C44" s="1090"/>
      <c r="D44" s="1090"/>
    </row>
    <row r="45" spans="1:4" ht="12" customHeight="1" x14ac:dyDescent="0.25">
      <c r="A45" s="1088">
        <v>20026</v>
      </c>
      <c r="B45" s="1089" t="s">
        <v>4740</v>
      </c>
      <c r="C45" s="1090"/>
      <c r="D45" s="1090"/>
    </row>
    <row r="46" spans="1:4" ht="12" customHeight="1" x14ac:dyDescent="0.25">
      <c r="A46" s="1088">
        <v>20027</v>
      </c>
      <c r="B46" s="1089" t="s">
        <v>4741</v>
      </c>
      <c r="C46" s="1090"/>
      <c r="D46" s="1090"/>
    </row>
    <row r="47" spans="1:4" ht="12" customHeight="1" x14ac:dyDescent="0.25">
      <c r="A47" s="1088">
        <v>20028</v>
      </c>
      <c r="B47" s="1089" t="s">
        <v>4742</v>
      </c>
      <c r="C47" s="1090"/>
      <c r="D47" s="1090"/>
    </row>
    <row r="48" spans="1:4" ht="12" customHeight="1" x14ac:dyDescent="0.25">
      <c r="A48" s="1088">
        <v>20029</v>
      </c>
      <c r="B48" s="1089" t="s">
        <v>4743</v>
      </c>
      <c r="C48" s="1090"/>
      <c r="D48" s="1090"/>
    </row>
    <row r="49" spans="1:4" ht="12" customHeight="1" x14ac:dyDescent="0.25">
      <c r="A49" s="1088">
        <v>20030</v>
      </c>
      <c r="B49" s="1089" t="s">
        <v>4744</v>
      </c>
      <c r="C49" s="1090"/>
      <c r="D49" s="1090"/>
    </row>
    <row r="50" spans="1:4" ht="12" customHeight="1" x14ac:dyDescent="0.25">
      <c r="A50" s="1088">
        <v>20031</v>
      </c>
      <c r="B50" s="1089" t="s">
        <v>4745</v>
      </c>
      <c r="C50" s="1090"/>
      <c r="D50" s="1090"/>
    </row>
    <row r="51" spans="1:4" ht="12" customHeight="1" x14ac:dyDescent="0.25">
      <c r="A51" s="1088">
        <v>20032</v>
      </c>
      <c r="B51" s="1089" t="s">
        <v>4746</v>
      </c>
      <c r="C51" s="1090"/>
      <c r="D51" s="1090"/>
    </row>
    <row r="52" spans="1:4" ht="13.5" customHeight="1" x14ac:dyDescent="0.25">
      <c r="A52" s="1085">
        <v>3</v>
      </c>
      <c r="B52" s="1086" t="s">
        <v>4747</v>
      </c>
      <c r="C52" s="1087">
        <f>C9-C19</f>
        <v>0</v>
      </c>
      <c r="D52" s="1087">
        <f>D9-D19</f>
        <v>0</v>
      </c>
    </row>
    <row r="53" spans="1:4" ht="14.25" customHeight="1" x14ac:dyDescent="0.25">
      <c r="A53" s="1092" t="s">
        <v>4748</v>
      </c>
      <c r="B53" s="1092"/>
      <c r="C53" s="1092"/>
      <c r="D53" s="1092"/>
    </row>
    <row r="54" spans="1:4" ht="13.5" customHeight="1" x14ac:dyDescent="0.25">
      <c r="A54" s="1085">
        <v>4</v>
      </c>
      <c r="B54" s="1086" t="s">
        <v>4749</v>
      </c>
      <c r="C54" s="1087">
        <f>SUM(C55:C67)</f>
        <v>0</v>
      </c>
      <c r="D54" s="1087">
        <f>SUM(D55:D67)</f>
        <v>0</v>
      </c>
    </row>
    <row r="55" spans="1:4" ht="12" customHeight="1" x14ac:dyDescent="0.25">
      <c r="A55" s="1088">
        <v>40001</v>
      </c>
      <c r="B55" s="1081" t="s">
        <v>4750</v>
      </c>
      <c r="C55" s="1090"/>
      <c r="D55" s="1090"/>
    </row>
    <row r="56" spans="1:4" ht="12" customHeight="1" x14ac:dyDescent="0.25">
      <c r="A56" s="1088">
        <v>40002</v>
      </c>
      <c r="B56" s="1089" t="s">
        <v>4751</v>
      </c>
      <c r="C56" s="1090"/>
      <c r="D56" s="1090"/>
    </row>
    <row r="57" spans="1:4" ht="12" customHeight="1" x14ac:dyDescent="0.25">
      <c r="A57" s="1088">
        <v>40003</v>
      </c>
      <c r="B57" s="1089" t="s">
        <v>4752</v>
      </c>
      <c r="C57" s="1090"/>
      <c r="D57" s="1090"/>
    </row>
    <row r="58" spans="1:4" ht="12" customHeight="1" x14ac:dyDescent="0.25">
      <c r="A58" s="1088">
        <v>40004</v>
      </c>
      <c r="B58" s="1089" t="s">
        <v>4753</v>
      </c>
      <c r="C58" s="1090"/>
      <c r="D58" s="1090"/>
    </row>
    <row r="59" spans="1:4" ht="12" customHeight="1" x14ac:dyDescent="0.25">
      <c r="A59" s="1088">
        <v>40005</v>
      </c>
      <c r="B59" s="1089" t="s">
        <v>4754</v>
      </c>
      <c r="C59" s="1090"/>
      <c r="D59" s="1090"/>
    </row>
    <row r="60" spans="1:4" ht="12" customHeight="1" x14ac:dyDescent="0.25">
      <c r="A60" s="1088">
        <v>40006</v>
      </c>
      <c r="B60" s="1089" t="s">
        <v>4755</v>
      </c>
      <c r="C60" s="1090"/>
      <c r="D60" s="1090"/>
    </row>
    <row r="61" spans="1:4" ht="12" customHeight="1" x14ac:dyDescent="0.25">
      <c r="A61" s="1088">
        <v>40007</v>
      </c>
      <c r="B61" s="1089" t="s">
        <v>4756</v>
      </c>
      <c r="C61" s="1090"/>
      <c r="D61" s="1090"/>
    </row>
    <row r="62" spans="1:4" ht="12" customHeight="1" x14ac:dyDescent="0.25">
      <c r="A62" s="1088">
        <v>40008</v>
      </c>
      <c r="B62" s="1089" t="s">
        <v>4757</v>
      </c>
      <c r="C62" s="1090"/>
      <c r="D62" s="1090"/>
    </row>
    <row r="63" spans="1:4" ht="12" customHeight="1" x14ac:dyDescent="0.25">
      <c r="A63" s="1088">
        <v>40009</v>
      </c>
      <c r="B63" s="1089" t="s">
        <v>4758</v>
      </c>
      <c r="C63" s="1090"/>
      <c r="D63" s="1090"/>
    </row>
    <row r="64" spans="1:4" ht="12" customHeight="1" x14ac:dyDescent="0.25">
      <c r="A64" s="1088">
        <v>40010</v>
      </c>
      <c r="B64" s="1089" t="s">
        <v>4759</v>
      </c>
      <c r="C64" s="1090"/>
      <c r="D64" s="1090"/>
    </row>
    <row r="65" spans="1:4" ht="12" customHeight="1" x14ac:dyDescent="0.25">
      <c r="A65" s="1088">
        <v>40011</v>
      </c>
      <c r="B65" s="1089" t="s">
        <v>4760</v>
      </c>
      <c r="C65" s="1090"/>
      <c r="D65" s="1090"/>
    </row>
    <row r="66" spans="1:4" ht="12" customHeight="1" x14ac:dyDescent="0.25">
      <c r="A66" s="1088">
        <v>40012</v>
      </c>
      <c r="B66" s="1089" t="s">
        <v>4761</v>
      </c>
      <c r="C66" s="1090"/>
      <c r="D66" s="1090"/>
    </row>
    <row r="67" spans="1:4" ht="12" customHeight="1" x14ac:dyDescent="0.25">
      <c r="A67" s="1088">
        <v>40013</v>
      </c>
      <c r="B67" s="1089" t="s">
        <v>4762</v>
      </c>
      <c r="C67" s="1090"/>
      <c r="D67" s="1090"/>
    </row>
    <row r="68" spans="1:4" ht="13.5" customHeight="1" x14ac:dyDescent="0.25">
      <c r="A68" s="1085">
        <v>5</v>
      </c>
      <c r="B68" s="1086" t="s">
        <v>4763</v>
      </c>
      <c r="C68" s="1087">
        <f>SUM(C69:C76)</f>
        <v>0</v>
      </c>
      <c r="D68" s="1087">
        <f>SUM(D69:D76)</f>
        <v>0</v>
      </c>
    </row>
    <row r="69" spans="1:4" ht="12" customHeight="1" x14ac:dyDescent="0.25">
      <c r="A69" s="1088">
        <v>50001</v>
      </c>
      <c r="B69" s="1081" t="s">
        <v>4764</v>
      </c>
      <c r="C69" s="1090"/>
      <c r="D69" s="1090"/>
    </row>
    <row r="70" spans="1:4" ht="12" customHeight="1" x14ac:dyDescent="0.25">
      <c r="A70" s="1088">
        <v>50002</v>
      </c>
      <c r="B70" s="1089" t="s">
        <v>4765</v>
      </c>
      <c r="C70" s="1090"/>
      <c r="D70" s="1090"/>
    </row>
    <row r="71" spans="1:4" ht="12" customHeight="1" x14ac:dyDescent="0.25">
      <c r="A71" s="1088">
        <v>50003</v>
      </c>
      <c r="B71" s="1089" t="s">
        <v>4766</v>
      </c>
      <c r="C71" s="1090"/>
      <c r="D71" s="1090"/>
    </row>
    <row r="72" spans="1:4" ht="12" customHeight="1" x14ac:dyDescent="0.25">
      <c r="A72" s="1088">
        <v>50004</v>
      </c>
      <c r="B72" s="1089" t="s">
        <v>4767</v>
      </c>
      <c r="C72" s="1090"/>
      <c r="D72" s="1090"/>
    </row>
    <row r="73" spans="1:4" ht="12" customHeight="1" x14ac:dyDescent="0.25">
      <c r="A73" s="1088">
        <v>50005</v>
      </c>
      <c r="B73" s="1089" t="s">
        <v>4768</v>
      </c>
      <c r="C73" s="1090"/>
      <c r="D73" s="1090"/>
    </row>
    <row r="74" spans="1:4" ht="12" customHeight="1" x14ac:dyDescent="0.25">
      <c r="A74" s="1088">
        <v>50006</v>
      </c>
      <c r="B74" s="1089" t="s">
        <v>4769</v>
      </c>
      <c r="C74" s="1090"/>
      <c r="D74" s="1090"/>
    </row>
    <row r="75" spans="1:4" ht="12" customHeight="1" x14ac:dyDescent="0.25">
      <c r="A75" s="1088">
        <v>50007</v>
      </c>
      <c r="B75" s="1089" t="s">
        <v>4770</v>
      </c>
      <c r="C75" s="1090"/>
      <c r="D75" s="1090"/>
    </row>
    <row r="76" spans="1:4" ht="12" customHeight="1" x14ac:dyDescent="0.25">
      <c r="A76" s="1088">
        <v>50008</v>
      </c>
      <c r="B76" s="1089" t="s">
        <v>4771</v>
      </c>
      <c r="C76" s="1090"/>
      <c r="D76" s="1090"/>
    </row>
    <row r="77" spans="1:4" ht="13.5" customHeight="1" x14ac:dyDescent="0.25">
      <c r="A77" s="1085">
        <v>6</v>
      </c>
      <c r="B77" s="1086" t="s">
        <v>4772</v>
      </c>
      <c r="C77" s="1087">
        <f>C54-C68</f>
        <v>0</v>
      </c>
      <c r="D77" s="1087">
        <f>D54-D68</f>
        <v>0</v>
      </c>
    </row>
    <row r="78" spans="1:4" ht="14.25" customHeight="1" x14ac:dyDescent="0.25">
      <c r="A78" s="1092" t="s">
        <v>4773</v>
      </c>
      <c r="B78" s="1092"/>
      <c r="C78" s="1092"/>
      <c r="D78" s="1092"/>
    </row>
    <row r="79" spans="1:4" ht="13.5" customHeight="1" x14ac:dyDescent="0.25">
      <c r="A79" s="1085">
        <v>7</v>
      </c>
      <c r="B79" s="1086" t="s">
        <v>4774</v>
      </c>
      <c r="C79" s="1087">
        <f>SUM(C80:C82)</f>
        <v>0</v>
      </c>
      <c r="D79" s="1087">
        <f>SUM(D80:D82)</f>
        <v>0</v>
      </c>
    </row>
    <row r="80" spans="1:4" ht="12" customHeight="1" x14ac:dyDescent="0.25">
      <c r="A80" s="1088">
        <v>70001</v>
      </c>
      <c r="B80" s="1081" t="s">
        <v>4775</v>
      </c>
      <c r="C80" s="1090"/>
      <c r="D80" s="1090"/>
    </row>
    <row r="81" spans="1:4" ht="12" customHeight="1" x14ac:dyDescent="0.25">
      <c r="A81" s="1088">
        <v>70002</v>
      </c>
      <c r="B81" s="1089" t="s">
        <v>4776</v>
      </c>
      <c r="C81" s="1090"/>
      <c r="D81" s="1090"/>
    </row>
    <row r="82" spans="1:4" ht="12" customHeight="1" x14ac:dyDescent="0.25">
      <c r="A82" s="1088">
        <v>70003</v>
      </c>
      <c r="B82" s="1089" t="s">
        <v>4762</v>
      </c>
      <c r="C82" s="1090"/>
      <c r="D82" s="1090"/>
    </row>
    <row r="83" spans="1:4" x14ac:dyDescent="0.25">
      <c r="A83" s="1085">
        <v>8</v>
      </c>
      <c r="B83" s="1086" t="s">
        <v>4802</v>
      </c>
      <c r="C83" s="1087">
        <f>SUM(C84:C88)</f>
        <v>0</v>
      </c>
      <c r="D83" s="1087">
        <f>SUM(D84:D88)</f>
        <v>0</v>
      </c>
    </row>
    <row r="84" spans="1:4" ht="12" customHeight="1" x14ac:dyDescent="0.25">
      <c r="A84" s="1088">
        <v>80001</v>
      </c>
      <c r="B84" s="1081" t="s">
        <v>4777</v>
      </c>
      <c r="C84" s="1090"/>
      <c r="D84" s="1090"/>
    </row>
    <row r="85" spans="1:4" ht="12" customHeight="1" x14ac:dyDescent="0.25">
      <c r="A85" s="1088">
        <v>80002</v>
      </c>
      <c r="B85" s="1089" t="s">
        <v>4778</v>
      </c>
      <c r="C85" s="1090"/>
      <c r="D85" s="1090"/>
    </row>
    <row r="86" spans="1:4" ht="12" customHeight="1" x14ac:dyDescent="0.25">
      <c r="A86" s="1088">
        <v>80003</v>
      </c>
      <c r="B86" s="1089" t="s">
        <v>4779</v>
      </c>
      <c r="C86" s="1090"/>
      <c r="D86" s="1090"/>
    </row>
    <row r="87" spans="1:4" ht="12" customHeight="1" x14ac:dyDescent="0.25">
      <c r="A87" s="1088">
        <v>80004</v>
      </c>
      <c r="B87" s="1089" t="s">
        <v>4780</v>
      </c>
      <c r="C87" s="1090"/>
      <c r="D87" s="1090"/>
    </row>
    <row r="88" spans="1:4" ht="12" customHeight="1" x14ac:dyDescent="0.25">
      <c r="A88" s="1088">
        <v>80005</v>
      </c>
      <c r="B88" s="1089" t="s">
        <v>4781</v>
      </c>
      <c r="C88" s="1090"/>
      <c r="D88" s="1090"/>
    </row>
    <row r="89" spans="1:4" ht="13.5" customHeight="1" x14ac:dyDescent="0.25">
      <c r="A89" s="1085">
        <v>9</v>
      </c>
      <c r="B89" s="1086" t="s">
        <v>4782</v>
      </c>
      <c r="C89" s="1087">
        <f>C79-C83</f>
        <v>0</v>
      </c>
      <c r="D89" s="1087">
        <f>D79-D83</f>
        <v>0</v>
      </c>
    </row>
    <row r="90" spans="1:4" ht="13.5" customHeight="1" x14ac:dyDescent="0.25">
      <c r="A90" s="1085">
        <v>10</v>
      </c>
      <c r="B90" s="1086" t="s">
        <v>4783</v>
      </c>
      <c r="C90" s="1087">
        <f>C52+C77+C89</f>
        <v>0</v>
      </c>
      <c r="D90" s="1087">
        <f>D52+D77+D89</f>
        <v>0</v>
      </c>
    </row>
    <row r="91" spans="1:4" ht="8.25" customHeight="1" x14ac:dyDescent="0.25">
      <c r="A91" s="1088"/>
      <c r="B91" s="1089"/>
      <c r="C91" s="1081"/>
      <c r="D91" s="1081"/>
    </row>
    <row r="92" spans="1:4" ht="12" customHeight="1" x14ac:dyDescent="0.25">
      <c r="A92" s="1085">
        <v>11</v>
      </c>
      <c r="B92" s="1086" t="s">
        <v>4784</v>
      </c>
      <c r="C92" s="1087"/>
      <c r="D92" s="1087"/>
    </row>
    <row r="93" spans="1:4" ht="12" customHeight="1" x14ac:dyDescent="0.25">
      <c r="A93" s="1085">
        <v>12</v>
      </c>
      <c r="B93" s="1086" t="s">
        <v>4785</v>
      </c>
      <c r="C93" s="1087"/>
      <c r="D93" s="1087"/>
    </row>
    <row r="94" spans="1:4" ht="12" customHeight="1" x14ac:dyDescent="0.25">
      <c r="A94" s="1085">
        <v>13</v>
      </c>
      <c r="B94" s="1086" t="s">
        <v>4786</v>
      </c>
      <c r="C94" s="1087"/>
      <c r="D94" s="1087"/>
    </row>
    <row r="95" spans="1:4" ht="8.25" customHeight="1" x14ac:dyDescent="0.25">
      <c r="A95" s="1088"/>
      <c r="B95" s="1089"/>
      <c r="C95" s="1081"/>
      <c r="D95" s="1081"/>
    </row>
    <row r="96" spans="1:4" ht="12" customHeight="1" x14ac:dyDescent="0.25">
      <c r="A96" s="1085">
        <v>14</v>
      </c>
      <c r="B96" s="1086" t="s">
        <v>4787</v>
      </c>
      <c r="C96" s="1087">
        <f>SUM(C97:C99)</f>
        <v>0</v>
      </c>
      <c r="D96" s="1087">
        <f>SUM(D97:D99)</f>
        <v>0</v>
      </c>
    </row>
    <row r="97" spans="1:4" ht="12" customHeight="1" x14ac:dyDescent="0.25">
      <c r="A97" s="1088">
        <v>14001</v>
      </c>
      <c r="B97" s="1089" t="s">
        <v>4788</v>
      </c>
      <c r="C97" s="1090"/>
      <c r="D97" s="1090"/>
    </row>
    <row r="98" spans="1:4" ht="12" customHeight="1" x14ac:dyDescent="0.25">
      <c r="A98" s="1088">
        <v>14002</v>
      </c>
      <c r="B98" s="1089" t="s">
        <v>4789</v>
      </c>
      <c r="C98" s="1090"/>
      <c r="D98" s="1090"/>
    </row>
    <row r="99" spans="1:4" ht="12" customHeight="1" x14ac:dyDescent="0.25">
      <c r="A99" s="1088">
        <v>14003</v>
      </c>
      <c r="B99" s="1089" t="s">
        <v>4790</v>
      </c>
      <c r="C99" s="1090"/>
      <c r="D99" s="1090"/>
    </row>
    <row r="100" spans="1:4" ht="12" customHeight="1" x14ac:dyDescent="0.25">
      <c r="A100" s="1085">
        <v>15</v>
      </c>
      <c r="B100" s="1086" t="s">
        <v>4791</v>
      </c>
      <c r="C100" s="1087"/>
      <c r="D100" s="1087"/>
    </row>
    <row r="101" spans="1:4" ht="8.25" customHeight="1" x14ac:dyDescent="0.25">
      <c r="A101" s="1088"/>
      <c r="B101" s="1089"/>
      <c r="C101" s="1081"/>
      <c r="D101" s="1081"/>
    </row>
    <row r="102" spans="1:4" ht="13.5" customHeight="1" x14ac:dyDescent="0.25">
      <c r="A102" s="1085">
        <v>16</v>
      </c>
      <c r="B102" s="1086" t="s">
        <v>4792</v>
      </c>
      <c r="C102" s="1087">
        <f>C96+C92-C93+C90+C100</f>
        <v>0</v>
      </c>
      <c r="D102" s="1087">
        <f>D96+D90+D100</f>
        <v>0</v>
      </c>
    </row>
    <row r="103" spans="1:4" ht="12" customHeight="1" x14ac:dyDescent="0.25">
      <c r="A103" s="1088">
        <v>16001</v>
      </c>
      <c r="B103" s="1089" t="s">
        <v>4788</v>
      </c>
      <c r="C103" s="1090"/>
      <c r="D103" s="1090"/>
    </row>
    <row r="104" spans="1:4" ht="12" customHeight="1" x14ac:dyDescent="0.25">
      <c r="A104" s="1088">
        <v>16002</v>
      </c>
      <c r="B104" s="1089" t="s">
        <v>4789</v>
      </c>
      <c r="C104" s="1090"/>
      <c r="D104" s="1090"/>
    </row>
    <row r="105" spans="1:4" ht="12" customHeight="1" x14ac:dyDescent="0.25">
      <c r="A105" s="1088">
        <v>16003</v>
      </c>
      <c r="B105" s="1089" t="s">
        <v>4790</v>
      </c>
      <c r="C105" s="1090"/>
      <c r="D105" s="1090"/>
    </row>
    <row r="106" spans="1:4" ht="12" customHeight="1" x14ac:dyDescent="0.25">
      <c r="A106" s="1093"/>
      <c r="B106" s="1094"/>
      <c r="C106" s="1095"/>
      <c r="D106" s="1095"/>
    </row>
    <row r="107" spans="1:4" ht="12" customHeight="1" x14ac:dyDescent="0.25">
      <c r="A107" s="1093"/>
      <c r="B107" s="1094"/>
      <c r="C107" s="1095"/>
      <c r="D107" s="1095"/>
    </row>
    <row r="108" spans="1:4" x14ac:dyDescent="0.25">
      <c r="B108" s="1096"/>
      <c r="C108" s="1076"/>
    </row>
    <row r="109" spans="1:4" ht="6.75" customHeight="1" x14ac:dyDescent="0.25">
      <c r="B109" s="1096"/>
    </row>
    <row r="110" spans="1:4" x14ac:dyDescent="0.25">
      <c r="B110" s="1096"/>
      <c r="C110" s="1076"/>
    </row>
  </sheetData>
  <mergeCells count="4">
    <mergeCell ref="C6:D6"/>
    <mergeCell ref="A8:D8"/>
    <mergeCell ref="A53:D53"/>
    <mergeCell ref="A78:D7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27</vt:i4>
      </vt:variant>
    </vt:vector>
  </HeadingPairs>
  <TitlesOfParts>
    <vt:vector size="56" baseType="lpstr">
      <vt:lpstr>Info</vt:lpstr>
      <vt:lpstr>BS</vt:lpstr>
      <vt:lpstr>BS-C</vt:lpstr>
      <vt:lpstr>BS-D</vt:lpstr>
      <vt:lpstr>BS-FA </vt:lpstr>
      <vt:lpstr>BS-IR &amp; RR</vt:lpstr>
      <vt:lpstr>BS-L</vt:lpstr>
      <vt:lpstr>BS-I</vt:lpstr>
      <vt:lpstr>BS-R</vt:lpstr>
      <vt:lpstr>BS-DC</vt:lpstr>
      <vt:lpstr>BS-PPE</vt:lpstr>
      <vt:lpstr>BS-IP &amp; OA</vt:lpstr>
      <vt:lpstr>BS-IA</vt:lpstr>
      <vt:lpstr>BS-OIL &amp; OL</vt:lpstr>
      <vt:lpstr>BS-FL</vt:lpstr>
      <vt:lpstr>BS-PL</vt:lpstr>
      <vt:lpstr>BS-LA</vt:lpstr>
      <vt:lpstr>IS</vt:lpstr>
      <vt:lpstr>IS-COM</vt:lpstr>
      <vt:lpstr>IS-D</vt:lpstr>
      <vt:lpstr>IS-FA</vt:lpstr>
      <vt:lpstr>IS-I</vt:lpstr>
      <vt:lpstr>IS-IP &amp; L</vt:lpstr>
      <vt:lpstr>IS-Ex.S &amp; Ex.Ad</vt:lpstr>
      <vt:lpstr>IS-Ex.T &amp; Ex.F &amp; O</vt:lpstr>
      <vt:lpstr>C</vt:lpstr>
      <vt:lpstr>P&amp;C(NL)</vt:lpstr>
      <vt:lpstr>P&amp;C(L)</vt:lpstr>
      <vt:lpstr>CF</vt:lpstr>
      <vt:lpstr>BS!Print_Area</vt:lpstr>
      <vt:lpstr>'BS-D'!Print_Area</vt:lpstr>
      <vt:lpstr>'BS-DC'!Print_Area</vt:lpstr>
      <vt:lpstr>'BS-FA '!Print_Area</vt:lpstr>
      <vt:lpstr>'BS-FL'!Print_Area</vt:lpstr>
      <vt:lpstr>'BS-I'!Print_Area</vt:lpstr>
      <vt:lpstr>'BS-IA'!Print_Area</vt:lpstr>
      <vt:lpstr>'BS-IP &amp; OA'!Print_Area</vt:lpstr>
      <vt:lpstr>'BS-IR &amp; RR'!Print_Area</vt:lpstr>
      <vt:lpstr>'BS-L'!Print_Area</vt:lpstr>
      <vt:lpstr>'BS-LA'!Print_Area</vt:lpstr>
      <vt:lpstr>'BS-OIL &amp; OL'!Print_Area</vt:lpstr>
      <vt:lpstr>'BS-PL'!Print_Area</vt:lpstr>
      <vt:lpstr>'BS-PPE'!Print_Area</vt:lpstr>
      <vt:lpstr>'BS-R'!Print_Area</vt:lpstr>
      <vt:lpstr>'C'!Print_Area</vt:lpstr>
      <vt:lpstr>Info!Print_Area</vt:lpstr>
      <vt:lpstr>IS!Print_Area</vt:lpstr>
      <vt:lpstr>'IS-COM'!Print_Area</vt:lpstr>
      <vt:lpstr>'IS-Ex.S &amp; Ex.Ad'!Print_Area</vt:lpstr>
      <vt:lpstr>'IS-Ex.T &amp; Ex.F &amp; O'!Print_Area</vt:lpstr>
      <vt:lpstr>'IS-FA'!Print_Area</vt:lpstr>
      <vt:lpstr>'IS-I'!Print_Area</vt:lpstr>
      <vt:lpstr>'IS-IP &amp; L'!Print_Area</vt:lpstr>
      <vt:lpstr>'P&amp;C(NL)'!Print_Area</vt:lpstr>
      <vt:lpstr>'P&amp;C(L)'!Print_Titles</vt:lpstr>
      <vt:lpstr>'P&amp;C(NL)'!Print_Titles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Edward Vakhtangishvili</cp:lastModifiedBy>
  <cp:lastPrinted>2010-07-02T09:21:42Z</cp:lastPrinted>
  <dcterms:created xsi:type="dcterms:W3CDTF">1996-10-14T23:33:28Z</dcterms:created>
  <dcterms:modified xsi:type="dcterms:W3CDTF">2018-05-17T07:18:22Z</dcterms:modified>
</cp:coreProperties>
</file>