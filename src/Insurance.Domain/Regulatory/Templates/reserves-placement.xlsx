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filterPrivacy="1" codeName="ThisWorkbook" defaultThemeVersion="124226"/>
  <xr:revisionPtr revIDLastSave="0" documentId="10_ncr:8100000_{B93F7B79-5730-4BC3-A6DE-22ADE900009A}" xr6:coauthVersionLast="33" xr6:coauthVersionMax="33" xr10:uidLastSave="{00000000-0000-0000-0000-000000000000}"/>
  <bookViews>
    <workbookView xWindow="2805" yWindow="1320" windowWidth="14805" windowHeight="8340" tabRatio="772" activeTab="1" xr2:uid="{00000000-000D-0000-FFFF-FFFF00000000}"/>
  </bookViews>
  <sheets>
    <sheet name="რეზერვები" sheetId="16" r:id="rId1"/>
    <sheet name="ინვ. დაქვ. რეზერვ. ოდენობა" sheetId="13" r:id="rId2"/>
    <sheet name="დასაშვები აქტივების სტრუქტურა" sheetId="15" r:id="rId3"/>
    <sheet name="A1" sheetId="1" r:id="rId4"/>
    <sheet name="A2" sheetId="2" r:id="rId5"/>
    <sheet name="A3" sheetId="3" r:id="rId6"/>
    <sheet name="A4" sheetId="4" r:id="rId7"/>
    <sheet name="A5" sheetId="5" r:id="rId8"/>
    <sheet name="A6" sheetId="6" r:id="rId9"/>
    <sheet name="A7" sheetId="7" r:id="rId10"/>
    <sheet name="A8" sheetId="8" r:id="rId11"/>
    <sheet name="A9" sheetId="9" r:id="rId12"/>
    <sheet name="A10" sheetId="10" r:id="rId13"/>
    <sheet name="A11" sheetId="11" r:id="rId14"/>
    <sheet name="A12" sheetId="12" r:id="rId15"/>
    <sheet name="ინვესტირება" sheetId="14" r:id="rId16"/>
  </sheets>
  <definedNames>
    <definedName name="_xlnm.Print_Area" localSheetId="3">'A1'!$A$1:$E$41</definedName>
    <definedName name="_xlnm.Print_Area" localSheetId="12">'A10'!$A$1:$E$42</definedName>
    <definedName name="_xlnm.Print_Area" localSheetId="13">'A11'!$A$1:$E$42</definedName>
    <definedName name="_xlnm.Print_Area" localSheetId="14">'A12'!$A$1:$E$42</definedName>
    <definedName name="_xlnm.Print_Area" localSheetId="4">'A2'!$A$1:$E$41</definedName>
    <definedName name="_xlnm.Print_Area" localSheetId="5">'A3'!$A$1:$F$42</definedName>
    <definedName name="_xlnm.Print_Area" localSheetId="6">'A4'!$A$1:$E$43</definedName>
    <definedName name="_xlnm.Print_Area" localSheetId="7">'A5'!$A$1:$F$43</definedName>
    <definedName name="_xlnm.Print_Area" localSheetId="8">'A6'!$A$1:$E$42</definedName>
    <definedName name="_xlnm.Print_Area" localSheetId="9">'A7'!$A$1:$E$42</definedName>
    <definedName name="_xlnm.Print_Area" localSheetId="10">'A8'!$A$1:$E$42</definedName>
    <definedName name="_xlnm.Print_Area" localSheetId="11">'A9'!$A$1:$E$42</definedName>
    <definedName name="_xlnm.Print_Area" localSheetId="2">'დასაშვები აქტივების სტრუქტურა'!$A$1:$J$33</definedName>
    <definedName name="_xlnm.Print_Area" localSheetId="1">'ინვ. დაქვ. რეზერვ. ოდენობა'!$A$1:$D$48</definedName>
    <definedName name="_xlnm.Print_Area" localSheetId="15">ინვესტირება!$A$1:$E$37</definedName>
    <definedName name="_xlnm.Print_Area" localSheetId="0">რეზერვები!$A$1:$J$57</definedName>
  </definedNames>
  <calcPr calcId="162913"/>
</workbook>
</file>

<file path=xl/calcChain.xml><?xml version="1.0" encoding="utf-8"?>
<calcChain xmlns="http://schemas.openxmlformats.org/spreadsheetml/2006/main">
  <c r="E22" i="14" l="1"/>
  <c r="C8" i="16"/>
  <c r="C42" i="16"/>
  <c r="C37" i="16"/>
  <c r="C31" i="16"/>
  <c r="C27" i="16"/>
  <c r="C21" i="16"/>
  <c r="C18" i="16"/>
  <c r="C14" i="16"/>
  <c r="H8" i="16"/>
  <c r="H48" i="16"/>
  <c r="D33" i="13" s="1"/>
  <c r="D32" i="13"/>
  <c r="D31" i="13" s="1"/>
  <c r="I8" i="16"/>
  <c r="D8" i="16"/>
  <c r="E8" i="16"/>
  <c r="F8" i="16"/>
  <c r="F48" i="16" s="1"/>
  <c r="D17" i="13" s="1"/>
  <c r="G8" i="16"/>
  <c r="J48" i="16"/>
  <c r="A5" i="1"/>
  <c r="A4" i="1"/>
  <c r="A5" i="2"/>
  <c r="A4" i="2"/>
  <c r="A5" i="3"/>
  <c r="A4" i="3"/>
  <c r="A5" i="4"/>
  <c r="A4" i="4"/>
  <c r="A5" i="5"/>
  <c r="A4" i="5"/>
  <c r="A5" i="6"/>
  <c r="A4" i="6"/>
  <c r="A5" i="7"/>
  <c r="A4" i="7"/>
  <c r="A5" i="8"/>
  <c r="A4" i="8"/>
  <c r="A5" i="9"/>
  <c r="A4" i="9"/>
  <c r="A5" i="10"/>
  <c r="A4" i="10"/>
  <c r="A5" i="11"/>
  <c r="A4" i="11"/>
  <c r="B5" i="14"/>
  <c r="B4" i="14"/>
  <c r="A5" i="12"/>
  <c r="A4" i="12"/>
  <c r="E24" i="14"/>
  <c r="G42" i="16"/>
  <c r="F42" i="16"/>
  <c r="E42" i="16"/>
  <c r="D42" i="16"/>
  <c r="G37" i="16"/>
  <c r="F37" i="16"/>
  <c r="E37" i="16"/>
  <c r="D37" i="16"/>
  <c r="G31" i="16"/>
  <c r="F31" i="16"/>
  <c r="E31" i="16"/>
  <c r="D31" i="16"/>
  <c r="G18" i="16"/>
  <c r="F18" i="16"/>
  <c r="E18" i="16"/>
  <c r="D18" i="16"/>
  <c r="G21" i="16"/>
  <c r="F21" i="16"/>
  <c r="E21" i="16"/>
  <c r="D21" i="16"/>
  <c r="D27" i="16"/>
  <c r="E27" i="16"/>
  <c r="E48" i="16"/>
  <c r="D16" i="13" s="1"/>
  <c r="F27" i="16"/>
  <c r="G27" i="16"/>
  <c r="F14" i="16"/>
  <c r="D14" i="16"/>
  <c r="E14" i="16"/>
  <c r="G14" i="16"/>
  <c r="C17" i="14"/>
  <c r="B43" i="13"/>
  <c r="B39" i="12" s="1"/>
  <c r="B42" i="13"/>
  <c r="A37" i="7"/>
  <c r="B38" i="13"/>
  <c r="A34" i="5" s="1"/>
  <c r="B30" i="15"/>
  <c r="B26" i="15"/>
  <c r="A34" i="1"/>
  <c r="B29" i="14"/>
  <c r="A35" i="12"/>
  <c r="A34" i="11"/>
  <c r="A34" i="10"/>
  <c r="A34" i="9"/>
  <c r="A34" i="8"/>
  <c r="A34" i="7"/>
  <c r="A34" i="2"/>
  <c r="A35" i="3"/>
  <c r="A35" i="6"/>
  <c r="A35" i="5"/>
  <c r="A35" i="4"/>
  <c r="B5" i="15"/>
  <c r="B4" i="15"/>
  <c r="B4" i="13"/>
  <c r="B5" i="13"/>
  <c r="B39" i="13"/>
  <c r="I48" i="16"/>
  <c r="D29" i="13"/>
  <c r="D28" i="13"/>
  <c r="G48" i="16"/>
  <c r="D24" i="13" s="1"/>
  <c r="D23" i="13" s="1"/>
  <c r="A34" i="12"/>
  <c r="B32" i="14"/>
  <c r="A37" i="8"/>
  <c r="A33" i="1"/>
  <c r="C19" i="14"/>
  <c r="B19" i="14"/>
  <c r="C18" i="14"/>
  <c r="B18" i="14"/>
  <c r="B17" i="14"/>
  <c r="C16" i="14"/>
  <c r="B16" i="14"/>
  <c r="C15" i="14"/>
  <c r="B15" i="14"/>
  <c r="C14" i="14"/>
  <c r="B14" i="14"/>
  <c r="C13" i="14"/>
  <c r="B13" i="14"/>
  <c r="C12" i="14"/>
  <c r="B12" i="14"/>
  <c r="C11" i="14"/>
  <c r="B11" i="14"/>
  <c r="C10" i="14"/>
  <c r="B10" i="14"/>
  <c r="C9" i="14"/>
  <c r="B9" i="14"/>
  <c r="B8" i="14"/>
  <c r="C8" i="14"/>
  <c r="D29" i="12"/>
  <c r="D29" i="11"/>
  <c r="D29" i="10"/>
  <c r="D29" i="9"/>
  <c r="D29" i="8"/>
  <c r="D29" i="7"/>
  <c r="D29" i="6"/>
  <c r="E29" i="5"/>
  <c r="D29" i="4"/>
  <c r="E29" i="3"/>
  <c r="D29" i="2"/>
  <c r="D29" i="1"/>
  <c r="B25" i="15"/>
  <c r="B39" i="3"/>
  <c r="A33" i="11"/>
  <c r="A33" i="2"/>
  <c r="A34" i="6"/>
  <c r="B38" i="2"/>
  <c r="D48" i="16"/>
  <c r="A37" i="10"/>
  <c r="A38" i="12"/>
  <c r="A38" i="5"/>
  <c r="A37" i="2"/>
  <c r="A37" i="11"/>
  <c r="A38" i="6"/>
  <c r="A37" i="1"/>
  <c r="A37" i="9"/>
  <c r="A38" i="4"/>
  <c r="A38" i="3"/>
  <c r="B29" i="15"/>
  <c r="D15" i="13" l="1"/>
  <c r="A38" i="8"/>
  <c r="A33" i="7"/>
  <c r="C30" i="15"/>
  <c r="B38" i="1"/>
  <c r="B39" i="4"/>
  <c r="A33" i="9"/>
  <c r="B33" i="14"/>
  <c r="A38" i="10"/>
  <c r="B28" i="14"/>
  <c r="B38" i="11"/>
  <c r="A34" i="3"/>
  <c r="B39" i="6"/>
  <c r="B38" i="7"/>
  <c r="A38" i="9"/>
  <c r="A33" i="8"/>
  <c r="B39" i="5"/>
  <c r="A33" i="10"/>
  <c r="A34" i="4"/>
  <c r="C48" i="16"/>
  <c r="D9" i="13" l="1"/>
  <c r="E23" i="14" s="1"/>
  <c r="D8" i="13"/>
  <c r="B25" i="14" l="1"/>
  <c r="D7" i="13"/>
  <c r="D35" i="13" s="1"/>
  <c r="G18" i="15" l="1"/>
  <c r="E19" i="15"/>
  <c r="E10" i="15"/>
  <c r="G16" i="15"/>
  <c r="E17" i="15"/>
  <c r="I22" i="15"/>
  <c r="A29" i="12" s="1"/>
  <c r="G17" i="15"/>
  <c r="E23" i="15"/>
  <c r="E21" i="15"/>
  <c r="G13" i="15"/>
  <c r="G12" i="15"/>
  <c r="G23" i="15"/>
  <c r="E18" i="15"/>
  <c r="E11" i="15"/>
  <c r="E15" i="15"/>
  <c r="G14" i="15"/>
  <c r="E20" i="15"/>
  <c r="E8" i="15"/>
  <c r="G8" i="15"/>
  <c r="E13" i="15"/>
  <c r="E12" i="15"/>
  <c r="G21" i="15"/>
  <c r="E14" i="15"/>
  <c r="E16" i="15"/>
  <c r="G22" i="15"/>
  <c r="E9" i="12" s="1"/>
  <c r="E22" i="15"/>
  <c r="G9" i="15"/>
  <c r="G20" i="15"/>
  <c r="E9" i="15"/>
  <c r="B20" i="14"/>
  <c r="G11" i="15"/>
  <c r="E18" i="9" l="1"/>
  <c r="E22" i="9"/>
  <c r="E16" i="9"/>
  <c r="E17" i="9"/>
  <c r="E20" i="9"/>
  <c r="E27" i="9"/>
  <c r="E21" i="9"/>
  <c r="E24" i="9"/>
  <c r="E25" i="9"/>
  <c r="E19" i="9"/>
  <c r="E9" i="9"/>
  <c r="E28" i="9"/>
  <c r="E10" i="9"/>
  <c r="E15" i="9"/>
  <c r="E23" i="9"/>
  <c r="E26" i="9"/>
  <c r="E11" i="9"/>
  <c r="E12" i="9"/>
  <c r="E13" i="9"/>
  <c r="E14" i="9"/>
  <c r="E28" i="10"/>
  <c r="E23" i="10"/>
  <c r="E11" i="10"/>
  <c r="E18" i="10"/>
  <c r="E25" i="10"/>
  <c r="E22" i="10"/>
  <c r="E27" i="10"/>
  <c r="E10" i="10"/>
  <c r="E16" i="10"/>
  <c r="E12" i="10"/>
  <c r="E19" i="10"/>
  <c r="E13" i="10"/>
  <c r="E14" i="10"/>
  <c r="E26" i="10"/>
  <c r="E24" i="10"/>
  <c r="E21" i="10"/>
  <c r="E17" i="10"/>
  <c r="E9" i="10"/>
  <c r="E15" i="10"/>
  <c r="E20" i="10"/>
  <c r="E22" i="6"/>
  <c r="E16" i="6"/>
  <c r="E28" i="6"/>
  <c r="E25" i="6"/>
  <c r="E12" i="6"/>
  <c r="E15" i="6"/>
  <c r="E21" i="6"/>
  <c r="E11" i="6"/>
  <c r="E17" i="6"/>
  <c r="E26" i="6"/>
  <c r="E18" i="6"/>
  <c r="E10" i="6"/>
  <c r="E14" i="6"/>
  <c r="E27" i="6"/>
  <c r="E24" i="6"/>
  <c r="E20" i="6"/>
  <c r="E13" i="6"/>
  <c r="E9" i="6"/>
  <c r="E23" i="6"/>
  <c r="E19" i="6"/>
  <c r="E15" i="12"/>
  <c r="E25" i="12"/>
  <c r="E19" i="12"/>
  <c r="E10" i="12"/>
  <c r="E12" i="12"/>
  <c r="E16" i="12"/>
  <c r="E11" i="12"/>
  <c r="E24" i="12"/>
  <c r="E13" i="12"/>
  <c r="E17" i="12"/>
  <c r="E28" i="12"/>
  <c r="E14" i="12"/>
  <c r="E20" i="12"/>
  <c r="E26" i="12"/>
  <c r="E23" i="12"/>
  <c r="E22" i="12"/>
  <c r="E21" i="12"/>
  <c r="E18" i="12"/>
  <c r="E27" i="12"/>
  <c r="E27" i="7"/>
  <c r="E19" i="7"/>
  <c r="E17" i="7"/>
  <c r="E21" i="7"/>
  <c r="E10" i="7"/>
  <c r="E26" i="7"/>
  <c r="E15" i="7"/>
  <c r="E24" i="7"/>
  <c r="E25" i="7"/>
  <c r="E12" i="7"/>
  <c r="E20" i="7"/>
  <c r="E11" i="7"/>
  <c r="E22" i="7"/>
  <c r="E13" i="7"/>
  <c r="E9" i="7"/>
  <c r="E14" i="7"/>
  <c r="E16" i="7"/>
  <c r="E28" i="7"/>
  <c r="E18" i="7"/>
  <c r="E23" i="7"/>
  <c r="F25" i="3"/>
  <c r="F16" i="3"/>
  <c r="F27" i="3"/>
  <c r="F13" i="3"/>
  <c r="F14" i="3"/>
  <c r="F9" i="3"/>
  <c r="F17" i="3"/>
  <c r="F22" i="3"/>
  <c r="F10" i="3"/>
  <c r="F23" i="3"/>
  <c r="F18" i="3"/>
  <c r="F28" i="3"/>
  <c r="F19" i="3"/>
  <c r="F20" i="3"/>
  <c r="F24" i="3"/>
  <c r="F11" i="3"/>
  <c r="F12" i="3"/>
  <c r="F26" i="3"/>
  <c r="F15" i="3"/>
  <c r="F21" i="3"/>
  <c r="E28" i="2"/>
  <c r="E25" i="2"/>
  <c r="E9" i="2"/>
  <c r="E27" i="2"/>
  <c r="E18" i="2"/>
  <c r="E14" i="2"/>
  <c r="E26" i="2"/>
  <c r="E11" i="2"/>
  <c r="E20" i="2"/>
  <c r="E15" i="2"/>
  <c r="E19" i="2"/>
  <c r="E13" i="2"/>
  <c r="E17" i="2"/>
  <c r="E21" i="2"/>
  <c r="E12" i="2"/>
  <c r="E16" i="2"/>
  <c r="E22" i="2"/>
  <c r="E24" i="2"/>
  <c r="E10" i="2"/>
  <c r="E23" i="2"/>
  <c r="E23" i="1"/>
  <c r="E15" i="1"/>
  <c r="E27" i="1"/>
  <c r="E20" i="1"/>
  <c r="E14" i="1"/>
  <c r="E24" i="1"/>
  <c r="E26" i="1"/>
  <c r="E13" i="1"/>
  <c r="E11" i="1"/>
  <c r="E25" i="1"/>
  <c r="E16" i="1"/>
  <c r="E28" i="1"/>
  <c r="E9" i="1"/>
  <c r="E12" i="1"/>
  <c r="E19" i="1"/>
  <c r="E10" i="1"/>
  <c r="E22" i="1"/>
  <c r="E18" i="1"/>
  <c r="E21" i="1"/>
  <c r="E17" i="1"/>
  <c r="E26" i="4"/>
  <c r="E10" i="4"/>
  <c r="E20" i="4"/>
  <c r="E27" i="4"/>
  <c r="E18" i="4"/>
  <c r="E19" i="4"/>
  <c r="E15" i="4"/>
  <c r="E24" i="4"/>
  <c r="E12" i="4"/>
  <c r="E25" i="4"/>
  <c r="E23" i="4"/>
  <c r="E14" i="4"/>
  <c r="E21" i="4"/>
  <c r="E9" i="4"/>
  <c r="E17" i="4"/>
  <c r="E13" i="4"/>
  <c r="E28" i="4"/>
  <c r="E22" i="4"/>
  <c r="E16" i="4"/>
  <c r="E11" i="4"/>
  <c r="E14" i="8"/>
  <c r="E12" i="8"/>
  <c r="E19" i="8"/>
  <c r="E27" i="8"/>
  <c r="E13" i="8"/>
  <c r="E18" i="8"/>
  <c r="E28" i="8"/>
  <c r="E11" i="8"/>
  <c r="E21" i="8"/>
  <c r="E10" i="8"/>
  <c r="E20" i="8"/>
  <c r="E25" i="8"/>
  <c r="E22" i="8"/>
  <c r="E9" i="8"/>
  <c r="E16" i="8"/>
  <c r="E24" i="8"/>
  <c r="E17" i="8"/>
  <c r="E23" i="8"/>
  <c r="E15" i="8"/>
  <c r="E26" i="8"/>
  <c r="E22" i="11"/>
  <c r="E21" i="11"/>
  <c r="E26" i="11"/>
  <c r="E23" i="11"/>
  <c r="E20" i="11"/>
  <c r="E25" i="11"/>
  <c r="E17" i="11"/>
  <c r="E9" i="11"/>
  <c r="E12" i="11"/>
  <c r="E16" i="11"/>
  <c r="E28" i="11"/>
  <c r="E24" i="11"/>
  <c r="E14" i="11"/>
  <c r="E10" i="11"/>
  <c r="E18" i="11"/>
  <c r="E13" i="11"/>
  <c r="E27" i="11"/>
  <c r="E11" i="11"/>
  <c r="E15" i="11"/>
  <c r="E19" i="11"/>
  <c r="F18" i="5"/>
  <c r="F10" i="5"/>
  <c r="F19" i="5"/>
  <c r="F11" i="5"/>
  <c r="F25" i="5"/>
  <c r="F14" i="5"/>
  <c r="F28" i="5"/>
  <c r="F13" i="5"/>
  <c r="F17" i="5"/>
  <c r="F12" i="5"/>
  <c r="F26" i="5"/>
  <c r="F24" i="5"/>
  <c r="F21" i="5"/>
  <c r="F15" i="5"/>
  <c r="F16" i="5"/>
  <c r="F9" i="5"/>
  <c r="F22" i="5"/>
  <c r="F20" i="5"/>
  <c r="F23" i="5"/>
  <c r="F27" i="5"/>
  <c r="E29" i="12" l="1"/>
  <c r="D19" i="14" s="1"/>
  <c r="E19" i="14" s="1"/>
  <c r="F29" i="5"/>
  <c r="D12" i="14" s="1"/>
  <c r="E29" i="9"/>
  <c r="D16" i="14" s="1"/>
  <c r="E29" i="2"/>
  <c r="D9" i="14" s="1"/>
  <c r="E29" i="7"/>
  <c r="D14" i="14" s="1"/>
  <c r="E29" i="6"/>
  <c r="D13" i="14" s="1"/>
  <c r="E29" i="10"/>
  <c r="D17" i="14" s="1"/>
  <c r="E17" i="14" s="1"/>
  <c r="E29" i="11"/>
  <c r="D18" i="14" s="1"/>
  <c r="E18" i="14" s="1"/>
  <c r="E29" i="8"/>
  <c r="D15" i="14" s="1"/>
  <c r="E29" i="4"/>
  <c r="D11" i="14" s="1"/>
  <c r="F29" i="3"/>
  <c r="D10" i="14" s="1"/>
  <c r="E29" i="1"/>
  <c r="D8" i="14" s="1"/>
  <c r="E14" i="14" l="1"/>
  <c r="E8" i="14"/>
  <c r="D20" i="14"/>
  <c r="E10" i="14"/>
  <c r="E20" i="14" l="1"/>
  <c r="E25" i="14" s="1"/>
</calcChain>
</file>

<file path=xl/sharedStrings.xml><?xml version="1.0" encoding="utf-8"?>
<sst xmlns="http://schemas.openxmlformats.org/spreadsheetml/2006/main" count="510" uniqueCount="194">
  <si>
    <t>A1</t>
  </si>
  <si>
    <t>A2</t>
  </si>
  <si>
    <t>A1+A2</t>
  </si>
  <si>
    <t>A3</t>
  </si>
  <si>
    <t>A4</t>
  </si>
  <si>
    <t>A5</t>
  </si>
  <si>
    <t>A6</t>
  </si>
  <si>
    <t>A3+A4+A5+A6</t>
  </si>
  <si>
    <t>A7</t>
  </si>
  <si>
    <t>A8</t>
  </si>
  <si>
    <t>A9</t>
  </si>
  <si>
    <t>A7+A8+A9</t>
  </si>
  <si>
    <t>A10</t>
  </si>
  <si>
    <t>A11</t>
  </si>
  <si>
    <t>A12</t>
  </si>
  <si>
    <t>აქტივის კოდი</t>
  </si>
  <si>
    <t>ინვესტირებას დაქვემდებარებული მინიმალური ოდენობა</t>
  </si>
  <si>
    <t>გამოუმუშავებელი პრემიის რეზერვის ინვესტირებას დაქვემდებარებული ოდენობა</t>
  </si>
  <si>
    <t>გამოუმუშავებელი პრემიის რეზერვი</t>
  </si>
  <si>
    <t>გადამზღვევლის წილი გამოუმუშავებელი პრემიის რეზერვში</t>
  </si>
  <si>
    <t>სადაზღვევო რეზერვი სიცოცხლის მაგროვებადი და დაბრუნებადი დაზღვევის სახეობებისათვის – სიცოცხლის დაზღვევის რეზერვი</t>
  </si>
  <si>
    <t xml:space="preserve">სიცოცხლის დაზღვევის რეზერვის ინვესტირებას დაქვემდებარებული ოდენობა </t>
  </si>
  <si>
    <t>განცხადებული, მაგრამ დაურეგულირებელი ზარალების რეზერვის ინვესტირებას დაქვემდებარებული ოდენობა</t>
  </si>
  <si>
    <t>რეზერვის ოდენობა</t>
  </si>
  <si>
    <t>გადამზღვევლის წილი</t>
  </si>
  <si>
    <t>მომხდარი, მაგრამ განუცხადებელი ზარალების რეზერვის ინვესტირებას დაქვემდებარებული ოდენობა</t>
  </si>
  <si>
    <t>მომხდარი, მაგრამ განუცხადებელი ზარალების რეზერვი</t>
  </si>
  <si>
    <t>შეზღუდვები "ინვესტირებისათვის განკუთვნილი სადაზღვევო რეზერვების ჯამური ოდენობის" განთავსების მიმართ</t>
  </si>
  <si>
    <t>ინვესტირებისათვის დასაშვები ოდენობა</t>
  </si>
  <si>
    <t>თითოეულ ობიექტში განხორციელებული ინვესტიციის დასაშვები ოდენობა</t>
  </si>
  <si>
    <t>შენიშვნა: ფორმაში მითითებული სესხები არ უნდა იყოს გაცემული მზღვეველთან დაკავშირებულ პირებზე, თუ მზღვეველის მონაწილეობა დაკავშირებული პირების კაპიტალში აღემატება 20%–ს, ან თუ დაკავშირებული პირების მონაწილეობა მზღვეველის კაპიტალში აღემატება 20%–ს.</t>
  </si>
  <si>
    <t>ბანკის რეგისტრაციის ქვეყანა</t>
  </si>
  <si>
    <t>რეგისტრაციის ქვეყანა</t>
  </si>
  <si>
    <t>ფული სალაროში</t>
  </si>
  <si>
    <t>ემიტენტის რეგისტრაციის ქვეყანა</t>
  </si>
  <si>
    <t>მსესხებელი ბანკის დასახელება</t>
  </si>
  <si>
    <t>მსესხებლის დასახელება, რეგისტრაციის ქვეყანა</t>
  </si>
  <si>
    <t>A13</t>
  </si>
  <si>
    <t>A14</t>
  </si>
  <si>
    <t>გადამზღვევლის წილი სადაზღვევო რეზერვებში</t>
  </si>
  <si>
    <t>უზრუნველყოფის საგანი, მისი ადგილმდებარეობა და რეგისტრაციის ქვეყანა</t>
  </si>
  <si>
    <t>აქტივის დასახელება</t>
  </si>
  <si>
    <t>ემიტენტის დასახელება, ფასიანი ქაღალდის სახეობა</t>
  </si>
  <si>
    <t>საქართველოს, "ეგთო"–ს წევრ ქვეყნებისა და/ან განვითარებული ქვეყნების შესაბამისი უფლებამოსილების მქონე ორგანოს მიერ ლიცენზირებული საბანკო დაწესებულებებისათვის გაცემული სესხები</t>
  </si>
  <si>
    <t>ემიტენტის დასახელება, ფასიანი ქაღალდის სახეობა, ემიტენტის რეგისტრაციის ქვეყანა</t>
  </si>
  <si>
    <t>უძრავი ქონების დასახელება, ადგილმდებარეობა</t>
  </si>
  <si>
    <t>საბანკო დაწესებულების დასახელება</t>
  </si>
  <si>
    <t>აქტივის საბალანსო ღირებულება საანგარიშო პერიოდის ბოლოს</t>
  </si>
  <si>
    <t>სიცოცხლის დაზღვევა:</t>
  </si>
  <si>
    <t>სიცოცხლის ვადიანი დაზღვევა</t>
  </si>
  <si>
    <t>სიცოცხლის უვადო დაზღვევა</t>
  </si>
  <si>
    <t>უბედური შემთხვევის დაზღვევა:</t>
  </si>
  <si>
    <t>სამოგზაურო დაზღვევა</t>
  </si>
  <si>
    <t>სამედიცინო (ჯანმრთელობის) დაზღვევა</t>
  </si>
  <si>
    <t>სახმელეთო ავტოსატრანსპორტო საშუალებათა დაზღვევა (ავტოკასკო):</t>
  </si>
  <si>
    <t>სხვა სახმელეთო სატრანსპორტო საშუალებათა დაზღვევა</t>
  </si>
  <si>
    <t>ავტომოტოტრანსპორტის მფლობელთა სამოქალაქო პასუხისმგებლობის სავალდებულო დაზღვევა</t>
  </si>
  <si>
    <t>სახმელეთო ტრანსპორტის გამოყენებასთან დაკავშირებული სამოქალაქო პასუხისმგებლობის დაზღვევა</t>
  </si>
  <si>
    <t>სახმელეთო გადამზიდველის სამოქალაქო პასუხისმგებლობის დაზღვევა</t>
  </si>
  <si>
    <t>სარკინიგზო სატრანსპორტო საშუალებათა დაზღვევა</t>
  </si>
  <si>
    <t>საჰაერო სატრანსპორტო საშუალებათა გამოყენებასთან დაკავშირებული პასუხისმგებლობის დაზღვევა:</t>
  </si>
  <si>
    <t>მცურავ სატრანსპორტო საშუალებათა გამოყენებასთან დაკავშირებული პასუხისმგებლობის დაზღვევა</t>
  </si>
  <si>
    <t>ტვირთების დაზღვევა</t>
  </si>
  <si>
    <t>დაზღვევა საფინანსო დანაკარგებისაგან</t>
  </si>
  <si>
    <t>საბაჟო ვალდებულებების შესრულების გარანტიები/ფინანსური რისკის დაზღვევის პოლისები</t>
  </si>
  <si>
    <t>სახელმწიფო შესყიდვებთან დაკავშირებული გარანტიები</t>
  </si>
  <si>
    <t>სხვა სახის გარანტიები</t>
  </si>
  <si>
    <t>საკრედიტო ვალდებულებათა დაზღვევა</t>
  </si>
  <si>
    <t>სულ:</t>
  </si>
  <si>
    <t>არასახელმწიფო საპენსიო დაზღვევის რეზერვი – საპენსიო ვალდებულებები</t>
  </si>
  <si>
    <t>სულ</t>
  </si>
  <si>
    <t>"ეგთო"–ს წევრი ქვეყნებისა და/ან განვითარებული ქვეყნების ადგილობრივი თვითმმართველობის ერთეულების შესაბამისი ორგანოების მიერ გამოშვებული სასესხო ფასიანი ქაღალდები</t>
  </si>
  <si>
    <t>სასესხო ფასიანი ქაღალდები (ობლიგაციები) და პრივილეგირებული აქციები, რომელთა მიმოქცევა ხორციელდება საქართველოს, "ეგთო"–ს  წევრი ქვეყნების და/ან განვითარებული ქვეყნების ფასიანი ქაღალდების ორგანიზებულ ბაზარზე</t>
  </si>
  <si>
    <t>საქართველოში,  “ეგთო”–ს წევრ ქვეყნებში და/ან განვითარებულ ქვეყნებში რეგისტრირებული იურიდიული პირების მიერ გამოშვებული სასესხო ფასიანი ქაღალდები (ობლიგაციები) და პრივილეგირებული აქციები, რომელთა მიმოქცევა ხორციელდება ფასიანი ქაღალდების ორგანიზებული ბაზრის გარეთ</t>
  </si>
  <si>
    <t>წილობრივი ფასიანი ქაღალდები (გარდა პრივილეგირებული აქციებისა), რომელთა მიმოქცევა ხორციელდება საქართველოს, “ეგთო”–ს წევრი ქვეყნების და/ან განვითარებული ქვეყნების ფასიანი ქაღალდების ორგანიზებულ ბაზარზე</t>
  </si>
  <si>
    <t xml:space="preserve">საქართველოში, “ეგთო”–ს წევრ ქვეყნებში და/ან განვითარებულ ქვეყნებში რეგისტრირებული იურიდიული პირების მიერ გამოშვებული წილობრივი ფასიანი ქაღალდები (გარდა პრივილეგირებული აქციებისა),  რომელთა მიმოქცევა ხორციელდება ფასიანი ქაღალდების ორგანიზებული ბაზრის გარეთ  </t>
  </si>
  <si>
    <t>საქართველოში, “ეგთო”–ს წევრ ქვეყნებში და/ან განვითარებულ ქვეყნებში რეგისტრირებული ქონების უზრუნველყოფით  გაცემული იპოთეკური სესხები</t>
  </si>
  <si>
    <t>საქართველოში, “ეგთო”–ს წევრ ქვეყნებში და/ან განვითარებულ ქვეყნებში რეგისტრირებული უძრავი ქონება</t>
  </si>
  <si>
    <t>დეპოზიტები საბანკო დაწესებულებებში</t>
  </si>
  <si>
    <t>ინვესტირებას დაქვემდებარებული რეზერვების ჯამური ოდენობა</t>
  </si>
  <si>
    <t>შენიშვნა: ფორმაში მითითებული აქტივების ჯამური ოდენობა არ უნდა იყოს ინვესტირებისათვის დაქვემდებარებული სადაზღვევო რეზერვების 10%–ზე ნაკლები.</t>
  </si>
  <si>
    <t>A1 მიმართულებით განხორციელებული ინვესტიცია</t>
  </si>
  <si>
    <t>შენიშვნა: ფასიანი ქაღალდები არ უნდა იყოს გამოშვებული მზღვეველთან დაკავშირებული პირების მიერ, თუ მზღვეველის მონაწილეობა დაკავშირებული პირების კაპიტალში აღემატება 20%–ს, ან თუ დაკავშირებული პირების მონაწილეობა მზღვეველის კაპიტალში აღემატება 20%–ს;</t>
  </si>
  <si>
    <r>
      <t xml:space="preserve">განცხადებული, მაგრამ დაურეგულირებელი ზარალების რეზერვი </t>
    </r>
    <r>
      <rPr>
        <b/>
        <sz val="8"/>
        <color indexed="12"/>
        <rFont val="Sylfaen"/>
        <family val="1"/>
        <charset val="204"/>
      </rPr>
      <t>(ბრუტო)</t>
    </r>
  </si>
  <si>
    <r>
      <t xml:space="preserve">განცხადებული, მაგრამ დაურეგულირებელი ზარალების რეზერვი </t>
    </r>
    <r>
      <rPr>
        <b/>
        <sz val="8"/>
        <color indexed="12"/>
        <rFont val="Sylfaen"/>
        <family val="1"/>
        <charset val="204"/>
      </rPr>
      <t>(ნეტო)</t>
    </r>
  </si>
  <si>
    <r>
      <t xml:space="preserve">სადაზღვევო რეზერვი მაგროვებადი და დაბრუნებადი სიცოცხლის დაზღვევის სახეობებისათვის - სიცოცხლის დაზღვევის რეზერვი </t>
    </r>
    <r>
      <rPr>
        <b/>
        <sz val="8"/>
        <color indexed="12"/>
        <rFont val="Sylfaen"/>
        <family val="1"/>
        <charset val="204"/>
      </rPr>
      <t>(ბრუტო)</t>
    </r>
  </si>
  <si>
    <r>
      <t xml:space="preserve">სადაზღვევო რეზერვი მაგროვებადი და დაბრუნებადი სიცოცხლის დაზღვევის სახეობებისათვის - სიცოცხლის დაზღვევის რეზერვი </t>
    </r>
    <r>
      <rPr>
        <b/>
        <sz val="8"/>
        <color indexed="12"/>
        <rFont val="Sylfaen"/>
        <family val="1"/>
        <charset val="204"/>
      </rPr>
      <t>(ნეტო)</t>
    </r>
  </si>
  <si>
    <r>
      <rPr>
        <b/>
        <sz val="10"/>
        <color indexed="8"/>
        <rFont val="Sylfaen"/>
        <family val="1"/>
        <charset val="204"/>
      </rPr>
      <t>ინვესტირებისათვის დაშვებული თანხის ოდენობა</t>
    </r>
    <r>
      <rPr>
        <b/>
        <sz val="12"/>
        <color indexed="8"/>
        <rFont val="Sylfaen"/>
        <family val="1"/>
        <charset val="204"/>
      </rPr>
      <t xml:space="preserve"> </t>
    </r>
    <r>
      <rPr>
        <sz val="9"/>
        <color indexed="8"/>
        <rFont val="Sylfaen"/>
        <family val="1"/>
        <charset val="204"/>
      </rPr>
      <t>(თითოეული მიმართულების შეზღუდვების მიხედვით)</t>
    </r>
  </si>
  <si>
    <r>
      <rPr>
        <b/>
        <sz val="10"/>
        <color indexed="8"/>
        <rFont val="Sylfaen"/>
        <family val="1"/>
        <charset val="204"/>
      </rPr>
      <t>ინვესტირებისათვის დაშვებული თანხის ოდენობა</t>
    </r>
    <r>
      <rPr>
        <b/>
        <sz val="12"/>
        <color indexed="8"/>
        <rFont val="Sylfaen"/>
        <family val="1"/>
        <charset val="204"/>
      </rPr>
      <t xml:space="preserve"> </t>
    </r>
    <r>
      <rPr>
        <sz val="9"/>
        <color indexed="8"/>
        <rFont val="Sylfaen"/>
        <family val="1"/>
        <charset val="204"/>
      </rPr>
      <t>(ჯგუფური  შეზღუდვების მიხედვით)</t>
    </r>
  </si>
  <si>
    <t>A12 მიმართულებით განხორციელებული ინვესტიცია</t>
  </si>
  <si>
    <t>A11 მიმართულებით განხორციელებული ინვესტიცია</t>
  </si>
  <si>
    <t>A10 მიმართულებით განხორციელებული ინვესტიცია</t>
  </si>
  <si>
    <t>A9 მიმართულებით განხორციელებული ინვესტიცია</t>
  </si>
  <si>
    <t>სესხები, რომლებიც უზრუნველყოფილია A1 და A2 მიმართულებით განსაზღვრული ფასიანი ქაღალდებით</t>
  </si>
  <si>
    <t>A8 მიმართულებით განხორციელებული ინვესტიცია</t>
  </si>
  <si>
    <t>A7 მიმართულებით განხორციელებული ინვესტიცია</t>
  </si>
  <si>
    <t>A6 მიმართულებით განხორციელებული ინვესტიცია</t>
  </si>
  <si>
    <t>A5 მიმართულებით განხორციელებული ინვესტიცია</t>
  </si>
  <si>
    <t>A4 მიმართულებით განხორციელებული ინვესტიცია</t>
  </si>
  <si>
    <t>A3 მიმართულებით განხორციელებული ინვესტიცია</t>
  </si>
  <si>
    <t>A2 მიმართულებით განხორციელებული ინვესტიცია</t>
  </si>
  <si>
    <t>A1, A2, A3, A4, A5, A6, A7, A8, A9, A10, A11 და A12 აქტივებში ინვესტირებას დაქვემდებარებული სადაზღვევო რეზერვების ოდენობის განსაზღვრა</t>
  </si>
  <si>
    <t>პროფესიული პასუხისმგებლობის დაზღვევა</t>
  </si>
  <si>
    <t>დამქირავებლის პასუხისმგებლობის დაზღვევა</t>
  </si>
  <si>
    <t>სხვა სახის პასუხისმგებლობის დაზღვევა</t>
  </si>
  <si>
    <t>იურიდიული ხარჯების დაზღვევა</t>
  </si>
  <si>
    <t>ბირჟის დასახელება, რეგისტრაციის ქვეყანა</t>
  </si>
  <si>
    <t>ლარი</t>
  </si>
  <si>
    <t xml:space="preserve">ფული სალაროში და საბანკო დაწესებულებებში გახსნილ მიმდინარე ანგარიშებზე  </t>
  </si>
  <si>
    <t>სადაზღვევო რეზერვები საანგარიშო თარიღისათვის</t>
  </si>
  <si>
    <t>საპენსიო ვალდებულებები</t>
  </si>
  <si>
    <t>სადაზღვევო რეზერვების დასაფარად დაშვებული აქტივები სულ</t>
  </si>
  <si>
    <t>საჰაერო გადამზიდველის პასუხისმგებლობის დაზღვევა</t>
  </si>
  <si>
    <r>
      <t xml:space="preserve">გამოუმუშავებელი პრემიის რეზერვი </t>
    </r>
    <r>
      <rPr>
        <b/>
        <sz val="8"/>
        <color indexed="12"/>
        <rFont val="Sylfaen"/>
        <family val="1"/>
        <charset val="204"/>
      </rPr>
      <t>(ბრუტო)</t>
    </r>
  </si>
  <si>
    <r>
      <t xml:space="preserve">გამოუმუშავებელი პრემიის რეზერვი </t>
    </r>
    <r>
      <rPr>
        <b/>
        <sz val="8"/>
        <color indexed="12"/>
        <rFont val="Sylfaen"/>
        <family val="1"/>
        <charset val="204"/>
      </rPr>
      <t>(ნეტო)</t>
    </r>
  </si>
  <si>
    <t>შენიშვნა: ფორმაში მითითებული აქტივების მიმართ გამოყენებული არ უნდა იყოს საქართველოს კანონმდებლობით გათვალისწინებული უზრუნველყოფის საშუალებები (ყადაღა, იპოთეკა, გირავნობა და სხვა).</t>
  </si>
  <si>
    <t>შენიშვნა: ფორმაში მითითებული აქტივების მიმართ გამოყენებული არ უნდა იყოს საქართველოს კანონმდებლობით გათვალისწინებული უზრუნველყოფის საშუალებები (ყადაღა, იპოთეკა, გირავნობა და სხვა);</t>
  </si>
  <si>
    <t>ინვესტირებისათვის დაშვებული აქტივების ოდენობა</t>
  </si>
  <si>
    <t>აქტივის ოდენობა საანგარიშო პერიოდის ბოლოს</t>
  </si>
  <si>
    <t>საპენსიო ვალდებულებების ინვესტირებისათვის განკუთვნილი ოდენობა</t>
  </si>
  <si>
    <t>საქართველოს, "ეგთო"–ს წევრი ქვეყნებისა და/ან განვითარებული ქვეყნების ცენტრალური მთავრობების მიერ გამოშვებული სასესხო ფასიანი ქაღალდები</t>
  </si>
  <si>
    <t>კომპანიის დასახელება: ___________________________________</t>
  </si>
  <si>
    <t>ფორმა 13</t>
  </si>
  <si>
    <t>ფორმა N 11</t>
  </si>
  <si>
    <t>ფორმა  N 12</t>
  </si>
  <si>
    <t>ფორმა 14</t>
  </si>
  <si>
    <t>სადაზღვევო რეზერვების დასაფარად დასაშვები აქტივების სტრუქტურა</t>
  </si>
  <si>
    <t>ფორმა N 14.1</t>
  </si>
  <si>
    <t>ფორმა N 14.2</t>
  </si>
  <si>
    <t>ფორმა N 14.3</t>
  </si>
  <si>
    <t>ფორმა N 14.4</t>
  </si>
  <si>
    <t>ფორმა N 14.5</t>
  </si>
  <si>
    <t>ფორმა N 14.6</t>
  </si>
  <si>
    <t>ფორმა N 14.7</t>
  </si>
  <si>
    <t>ფორმა N 14.8</t>
  </si>
  <si>
    <t>ფორმა N 14.9</t>
  </si>
  <si>
    <t>ფორმა N 14.10</t>
  </si>
  <si>
    <t>ფორმა N 14.11</t>
  </si>
  <si>
    <t>ფორმა N 14.12</t>
  </si>
  <si>
    <t>სიცოცხლის დაზღვევის მაგროვებადი და დაბრუნებადი სახეობები</t>
  </si>
  <si>
    <t>სიცოცხლის დაზღვევის სხვა ფორმები</t>
  </si>
  <si>
    <t>დაზღვევა უბედური შემთხვევებისაგან</t>
  </si>
  <si>
    <t>მგზავრების, მძღოლის ან ეკიპაჟის დაზღვევა უბედური შემთხვევებისაგან</t>
  </si>
  <si>
    <t xml:space="preserve">სახმელეთო სატრანსპორტო საშუალებათა დაზღვევა (გარდა სარკინიგზო ტრანსპორტისა): </t>
  </si>
  <si>
    <t xml:space="preserve">სახმელეთო ტრანსპორტის გამოყენებასთან დაკავშირებული სამოქალაქო პასუხისმგებლობის დაზღვევა: </t>
  </si>
  <si>
    <t>საჰაერო სატრანსპორტო საშუალებათა დაზღვევა (კორპუსის დაზღვევა)</t>
  </si>
  <si>
    <t>სხვა პასუხისმგებლობის დაზღვევა, რომელიც დაკავშირებულია საჰაერო ტრანსპორტის გამოყენებასთან</t>
  </si>
  <si>
    <t>მცურავი სატრანსპორტო საშუალებების დაზღვევა (კორპუსის დაზღვევა)</t>
  </si>
  <si>
    <t>საზღვაო გადამზიდველის პასუხისმგებლობის დაზღვევა</t>
  </si>
  <si>
    <t>სხვა პასუხისმგებლობის დაზღვევა, რომელიც დაკავშირებულია მცურავი ტრანსპორტის გამოყენებასთან</t>
  </si>
  <si>
    <t>ქონების დაზღვევა (გარდა პპ. (5), (7), (8), (10), და (12)-ში ჩამოთვლილი ქონებისა):</t>
  </si>
  <si>
    <t>ვალდებულებათა შესრულების დაზღვევა</t>
  </si>
  <si>
    <t xml:space="preserve">სამოქალაქო პასუხისმგებლობის დაზღვევა (გარდა პპ. (6), (9), (11) სახეობებში ჩამოთვლილი პასუხისმგებლობისა): </t>
  </si>
  <si>
    <t>ანაზღაურებულ ზარალებთან დაკავშირებული მოთხოვნები გადაზღვევიდან</t>
  </si>
  <si>
    <t>საპენსიო დაზღვევა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</si>
  <si>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</si>
  <si>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</si>
  <si>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</si>
  <si>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</si>
  <si>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</si>
  <si>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</si>
  <si>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</si>
  <si>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</si>
  <si>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</si>
  <si>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</si>
  <si>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</si>
  <si>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</si>
  <si>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</si>
  <si>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</si>
  <si>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</si>
  <si>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</si>
  <si>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</si>
  <si>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</si>
  <si>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A15</t>
  </si>
  <si>
    <t>მოთხოვნები გადაზღვევიდან, სადაც მზღვეველის მიერ ზარალის სრული ოდენობის ანაზღაურების თარიღიდან 1 წელზე მეტი დროის პერიოდია გასული</t>
  </si>
  <si>
    <t>ანაზღაურებულ ზარალებთან დაკავშირებული მოთხოვნები გადაზღვევიდან (იმ მოთხოვნების გამოკლებით, სადაც მზღვეველის მიერ ზარალის სრული ოდენობის ანაზღაურების თარიღიდან 1 წელზე მეტი დროის პერიოდია გასული)</t>
  </si>
  <si>
    <t>სახეობის კოდი</t>
  </si>
  <si>
    <t>№</t>
  </si>
  <si>
    <t xml:space="preserve">დაზღვევის სახეობა </t>
  </si>
  <si>
    <t>საანგარიშო თარიღი:    ___________________________________</t>
  </si>
  <si>
    <t xml:space="preserve">მზღვეველის დავალიანება სამედიცინო მომსახურების მიმწოდებლებთან საქართველოს მთავრობის 2009 წლის 9 დეკემბრის N218 დადგენილების ფარგლებში </t>
  </si>
  <si>
    <t xml:space="preserve">მომხდარი, მაგრამ განუცხადებელი ზარალების რეზერვის ოდენობა საქართველოს მთავრობის 2009 წლის 9 დეკემბრის N218 დადგენილების ფარგლებში </t>
  </si>
  <si>
    <r>
      <t>გენერალური დირექტორი (დირექტორი)</t>
    </r>
    <r>
      <rPr>
        <sz val="12"/>
        <rFont val="Sylfaen"/>
        <family val="1"/>
      </rPr>
      <t xml:space="preserve"> _____________________________ </t>
    </r>
  </si>
  <si>
    <t xml:space="preserve">                                                                                                      (სახელი გვარი)</t>
  </si>
  <si>
    <t>ანგარიშგებაზე პასუხისმგებელი პირი    ________________________________________________________________</t>
  </si>
  <si>
    <t xml:space="preserve">                                                                                       (სახელი გვარი, ტელეფონის ნომერი, ელ–ფოსტის მისამართი)</t>
  </si>
  <si>
    <t xml:space="preserve">მომხდარი, მაგრამ განუცხადებელი ზარალების რეზერვის ოდენობა საქართველოს მთავრობის 2012 წლის 7 მაისის N165 დადგენილების ფარგლებში </t>
  </si>
  <si>
    <r>
      <t>მზღვეველის დავალიანება სამედიცინო მომსახურების მიმწოდებლებთან საქართველოს მთა</t>
    </r>
    <r>
      <rPr>
        <sz val="11"/>
        <rFont val="Sylfaen"/>
        <family val="1"/>
      </rPr>
      <t xml:space="preserve">ვრობის 2012 წლის 7 მაისის N165 დადგენილების </t>
    </r>
    <r>
      <rPr>
        <sz val="11"/>
        <color indexed="8"/>
        <rFont val="Sylfaen"/>
        <family val="1"/>
        <charset val="204"/>
      </rPr>
      <t xml:space="preserve">ფარგლებში </t>
    </r>
  </si>
  <si>
    <t>სადაზღვევო მოთხოვნები წმინდა (ფინანსური ანგარიშგების ფორმა N 1-4, სულ სადაზღვევო მოთხოვნები, წმინდა-00100 )</t>
  </si>
  <si>
    <t>ვალდებულებები გადაზღვევის მიმართ (ფინანსური ანგარიშგების ფორმა N 1-12, გადასახდელი გადაზღვევის პრემია–00010_სა და გადამზღვევლისგან მიღებული ავანსები (სადაზღვევო ზარალებთან დაკავშირებული)–00020_ს ჯამი)</t>
  </si>
  <si>
    <t>გადაზღვევის მოთხოვნები, (ფინანსური ანგარიშგების ფორმა N 1-4, სულ გადაზღვევის მოთხოვნები, წმინდა - 00230_სა და ანაზღაურებულ ზარალებთან დაკავშირებული მოთხოვნები გადაზღვევიდან, წმინდა–00130–ს სხვაობა)</t>
  </si>
  <si>
    <t xml:space="preserve">სადაზღვევო მოთხოვნები  (ფინანსური ანგარიშგების ფორმა N 1-4, სულ სადაზღვევო მოთხოვნები, წმინდა 00100-სტრიქონში ასახულ სადაზღვევო მოთხოვნებში) </t>
  </si>
  <si>
    <t>A12 (ფული სალაროში)</t>
  </si>
  <si>
    <t>A12 (საბანკო დაწესებულებები)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</si>
</sst>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5" formatCode="&quot;$&quot;#,##0_);\(&quot;$&quot;#,##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.00\ _L_a_r_i_-;\-* #,##0.00\ _L_a_r_i_-;_-* &quot;-&quot;??\ _L_a_r_i_-;_-@_-"/>
    <numFmt numFmtId="165" formatCode="0.0%"/>
    <numFmt numFmtId="166" formatCode="_(* #,##0_);_(* \(#,##0\);_(* &quot;-&quot;??_);_(@_)"/>
    <numFmt numFmtId="167" formatCode="&quot;$&quot;#,##0.0000_);\(&quot;$&quot;#,##0.0000\)"/>
    <numFmt numFmtId="168" formatCode="#,##0_)_%;\(#,##0\)_%;"/>
    <numFmt numFmtId="169" formatCode="_._.* #,##0.0_)_%;_._.* \(#,##0.0\)_%"/>
    <numFmt numFmtId="170" formatCode="#,##0.0_)_%;\(#,##0.0\)_%;\ \ .0_)_%"/>
    <numFmt numFmtId="171" formatCode="_._.* #,##0.00_)_%;_._.* \(#,##0.00\)_%"/>
    <numFmt numFmtId="172" formatCode="#,##0.00_)_%;\(#,##0.00\)_%;\ \ .00_)_%"/>
    <numFmt numFmtId="173" formatCode="_._.* #,##0.000_)_%;_._.* \(#,##0.000\)_%"/>
    <numFmt numFmtId="174" formatCode="#,##0.000_)_%;\(#,##0.000\)_%;\ \ .000_)_%"/>
    <numFmt numFmtId="175" formatCode="_-* #,##0.00\ _л_в_-;\-* #,##0.00\ _л_в_-;_-* &quot;-&quot;??\ _л_в_-;_-@_-"/>
    <numFmt numFmtId="176" formatCode="#,##0.00000"/>
    <numFmt numFmtId="177" formatCode="000"/>
    <numFmt numFmtId="178" formatCode="_._.* \(#,##0\)_%;_._.* #,##0_)_%;_._.* 0_)_%;_._.@_)_%"/>
    <numFmt numFmtId="179" formatCode="_._.&quot;$&quot;* \(#,##0\)_%;_._.&quot;$&quot;* #,##0_)_%;_._.&quot;$&quot;* 0_)_%;_._.@_)_%"/>
    <numFmt numFmtId="180" formatCode="* \(#,##0\);* #,##0_);&quot;-&quot;??_);@"/>
    <numFmt numFmtId="181" formatCode="&quot;$&quot;* #,##0_)_%;&quot;$&quot;* \(#,##0\)_%;&quot;$&quot;* &quot;-&quot;??_)_%;@_)_%"/>
    <numFmt numFmtId="182" formatCode="_._.&quot;$&quot;* #,##0.0_)_%;_._.&quot;$&quot;* \(#,##0.0\)_%"/>
    <numFmt numFmtId="183" formatCode="&quot;$&quot;* #,##0.0_)_%;&quot;$&quot;* \(#,##0.0\)_%;&quot;$&quot;* \ .0_)_%"/>
    <numFmt numFmtId="184" formatCode="_._.&quot;$&quot;* #,##0.00_)_%;_._.&quot;$&quot;* \(#,##0.00\)_%"/>
    <numFmt numFmtId="185" formatCode="&quot;$&quot;* #,##0.00_)_%;&quot;$&quot;* \(#,##0.00\)_%;&quot;$&quot;* \ .00_)_%"/>
    <numFmt numFmtId="186" formatCode="_._.&quot;$&quot;* #,##0.000_)_%;_._.&quot;$&quot;* \(#,##0.000\)_%"/>
    <numFmt numFmtId="187" formatCode="&quot;$&quot;* #,##0.000_)_%;&quot;$&quot;* \(#,##0.000\)_%;&quot;$&quot;* \ .000_)_%"/>
    <numFmt numFmtId="188" formatCode="mmmm\ d\,\ yyyy"/>
    <numFmt numFmtId="189" formatCode="* #,##0_);* \(#,##0\);&quot;-&quot;??_);@"/>
    <numFmt numFmtId="190" formatCode="_-* #,##0.00\ _z_ł_-;\-* #,##0.00\ _z_ł_-;_-* &quot;-&quot;??\ _z_ł_-;_-@_-"/>
    <numFmt numFmtId="191" formatCode="_-* #,##0.00\ [$€-1]_-;\-* #,##0.00\ [$€-1]_-;_-* &quot;-&quot;??\ [$€-1]_-"/>
    <numFmt numFmtId="192" formatCode="0.000000"/>
    <numFmt numFmtId="193" formatCode="0.0;\(0.0\)"/>
    <numFmt numFmtId="194" formatCode="#,##0.0_);\(#,##0.0\)"/>
    <numFmt numFmtId="195" formatCode="0.00\ %"/>
    <numFmt numFmtId="196" formatCode="_(&quot;MT&quot;* #,##0.00_);\(&quot;MT&quot;* #,##0.00\)"/>
    <numFmt numFmtId="197" formatCode="General_)"/>
    <numFmt numFmtId="198" formatCode="###0;[Red]\(###0\)"/>
    <numFmt numFmtId="199" formatCode="0.00_)"/>
    <numFmt numFmtId="200" formatCode="0_)"/>
    <numFmt numFmtId="201" formatCode="_(* #,##0_);\(* #,##0\)"/>
    <numFmt numFmtId="202" formatCode="0_)%;\(0\)%"/>
    <numFmt numFmtId="203" formatCode="_._._(* 0_)%;_._.* \(0\)%"/>
    <numFmt numFmtId="204" formatCode="_(0_)%;\(0\)%"/>
    <numFmt numFmtId="205" formatCode="0%_);\(0%\)"/>
    <numFmt numFmtId="206" formatCode="_(0.0_)%;\(0.0\)%"/>
    <numFmt numFmtId="207" formatCode="_._._(* 0.0_)%;_._.* \(0.0\)%"/>
    <numFmt numFmtId="208" formatCode="_(0.00_)%;\(0.00\)%"/>
    <numFmt numFmtId="209" formatCode="_._._(* 0.00_)%;_._.* \(0.00\)%"/>
    <numFmt numFmtId="210" formatCode="_(0.000_)%;\(0.000\)%"/>
    <numFmt numFmtId="211" formatCode="_._._(* 0.000_)%;_._.* \(0.000\)%"/>
    <numFmt numFmtId="212" formatCode="mm/dd/yy"/>
    <numFmt numFmtId="213" formatCode="#,##0;\(#,##0\)"/>
    <numFmt numFmtId="214" formatCode="_-* #,##0&quot;р.&quot;_-;\-* #,##0&quot;р.&quot;_-;_-* &quot;-&quot;&quot;р.&quot;_-;_-@_-"/>
    <numFmt numFmtId="215" formatCode="_-* #,##0.00&quot;р.&quot;_-;\-* #,##0.00&quot;р.&quot;_-;_-* &quot;-&quot;??&quot;р.&quot;_-;_-@_-"/>
    <numFmt numFmtId="216" formatCode="_-* #,##0\ _р_._-;\-* #,##0\ _р_._-;_-* &quot;-&quot;\ _р_._-;_-@_-"/>
    <numFmt numFmtId="217" formatCode="_-* #,##0.00\ _р_._-;\-* #,##0.00\ _р_._-;_-* &quot;-&quot;??\ _р_._-;_-@_-"/>
    <numFmt numFmtId="218" formatCode="_-* #,##0_р_._-;\-* #,##0_р_._-;_-* &quot;-&quot;_р_._-;_-@_-"/>
    <numFmt numFmtId="219" formatCode="_-* #,##0.00_р_._-;\-* #,##0.00_р_._-;_-* &quot;-&quot;??_р_._-;_-@_-"/>
    <numFmt numFmtId="220" formatCode="_-* #,##0.00\ _К_р_б_._-;\-* #,##0.00\ _К_р_б_._-;_-* &quot;-&quot;??\ _К_р_б_._-;_-@_-"/>
  </numFmts>
  <fonts count="13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  <charset val="204"/>
    </font>
    <font>
      <sz val="11"/>
      <color indexed="8"/>
      <name val="Sylfaen"/>
      <family val="1"/>
      <charset val="204"/>
    </font>
    <font>
      <b/>
      <i/>
      <sz val="10"/>
      <name val="Sylfaen"/>
      <family val="1"/>
      <charset val="204"/>
    </font>
    <font>
      <sz val="9"/>
      <name val="Sylfaen"/>
      <family val="1"/>
      <charset val="204"/>
    </font>
    <font>
      <b/>
      <sz val="10"/>
      <name val="Sylfaen"/>
      <family val="1"/>
      <charset val="204"/>
    </font>
    <font>
      <sz val="10"/>
      <name val="Sylfaen"/>
      <family val="1"/>
      <charset val="204"/>
    </font>
    <font>
      <b/>
      <sz val="12"/>
      <name val="Sylfaen"/>
      <family val="1"/>
      <charset val="204"/>
    </font>
    <font>
      <b/>
      <sz val="8"/>
      <name val="Sylfaen"/>
      <family val="1"/>
      <charset val="204"/>
    </font>
    <font>
      <b/>
      <sz val="8"/>
      <color indexed="12"/>
      <name val="Sylfaen"/>
      <family val="1"/>
      <charset val="204"/>
    </font>
    <font>
      <sz val="8"/>
      <name val="Sylfaen"/>
      <family val="1"/>
      <charset val="204"/>
    </font>
    <font>
      <b/>
      <sz val="11"/>
      <color indexed="8"/>
      <name val="Sylfaen"/>
      <family val="1"/>
      <charset val="204"/>
    </font>
    <font>
      <b/>
      <sz val="9"/>
      <name val="Sylfaen"/>
      <family val="1"/>
      <charset val="204"/>
    </font>
    <font>
      <b/>
      <sz val="12"/>
      <color indexed="8"/>
      <name val="Sylfaen"/>
      <family val="1"/>
      <charset val="204"/>
    </font>
    <font>
      <sz val="12"/>
      <name val="Sylfaen"/>
      <family val="1"/>
      <charset val="204"/>
    </font>
    <font>
      <b/>
      <sz val="10"/>
      <color indexed="8"/>
      <name val="Sylfaen"/>
      <family val="1"/>
      <charset val="204"/>
    </font>
    <font>
      <sz val="9"/>
      <color indexed="8"/>
      <name val="Sylfaen"/>
      <family val="1"/>
      <charset val="204"/>
    </font>
    <font>
      <sz val="10"/>
      <color indexed="8"/>
      <name val="Sylfaen"/>
      <family val="1"/>
      <charset val="204"/>
    </font>
    <font>
      <b/>
      <sz val="8"/>
      <color indexed="8"/>
      <name val="Sylfaen"/>
      <family val="1"/>
      <charset val="204"/>
    </font>
    <font>
      <sz val="12"/>
      <color indexed="8"/>
      <name val="Sylfaen"/>
      <family val="1"/>
      <charset val="204"/>
    </font>
    <font>
      <sz val="11"/>
      <name val="Sylfaen"/>
      <family val="1"/>
      <charset val="204"/>
    </font>
    <font>
      <b/>
      <sz val="11"/>
      <name val="Sylfaen"/>
      <family val="1"/>
      <charset val="204"/>
    </font>
    <font>
      <sz val="9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charset val="177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177"/>
    </font>
    <font>
      <sz val="11"/>
      <color indexed="9"/>
      <name val="Calibri"/>
      <family val="2"/>
      <charset val="177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177"/>
    </font>
    <font>
      <sz val="8"/>
      <name val="Times New Roman"/>
      <family val="1"/>
    </font>
    <font>
      <sz val="11"/>
      <color indexed="20"/>
      <name val="Calibri"/>
      <family val="2"/>
      <charset val="177"/>
    </font>
    <font>
      <sz val="10"/>
      <name val="Arial"/>
      <family val="2"/>
    </font>
    <font>
      <b/>
      <sz val="11"/>
      <color indexed="52"/>
      <name val="Calibri"/>
      <family val="2"/>
      <charset val="177"/>
    </font>
    <font>
      <b/>
      <sz val="11"/>
      <name val="Arial"/>
      <family val="2"/>
    </font>
    <font>
      <b/>
      <sz val="11"/>
      <color indexed="9"/>
      <name val="Calibri"/>
      <family val="2"/>
      <charset val="177"/>
    </font>
    <font>
      <b/>
      <sz val="8"/>
      <name val="Arial"/>
      <family val="2"/>
    </font>
    <font>
      <sz val="11"/>
      <name val="Times New Roman"/>
      <family val="1"/>
    </font>
    <font>
      <u val="singleAccounting"/>
      <sz val="11"/>
      <name val="Times New Roman"/>
      <family val="1"/>
    </font>
    <font>
      <sz val="10"/>
      <name val="Arial Cyr"/>
      <charset val="204"/>
    </font>
    <font>
      <sz val="11"/>
      <color indexed="8"/>
      <name val="Calibri"/>
      <family val="2"/>
      <charset val="1"/>
    </font>
    <font>
      <sz val="12"/>
      <name val="Times New Roman"/>
      <family val="1"/>
    </font>
    <font>
      <b/>
      <sz val="10"/>
      <color indexed="8"/>
      <name val="Helv"/>
    </font>
    <font>
      <b/>
      <sz val="16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1"/>
      <color indexed="12"/>
      <name val="Times New Roman"/>
      <family val="1"/>
    </font>
    <font>
      <sz val="10"/>
      <name val="Times New Roman"/>
      <family val="1"/>
    </font>
    <font>
      <sz val="10"/>
      <name val="David"/>
      <family val="2"/>
      <charset val="177"/>
    </font>
    <font>
      <sz val="10"/>
      <name val="Arial CE"/>
      <charset val="238"/>
    </font>
    <font>
      <b/>
      <sz val="11"/>
      <color indexed="8"/>
      <name val="Calibri"/>
      <family val="2"/>
      <charset val="204"/>
    </font>
    <font>
      <sz val="10"/>
      <color indexed="16"/>
      <name val="MS Serif"/>
      <family val="1"/>
    </font>
    <font>
      <sz val="10"/>
      <name val="Book Antiqua"/>
      <family val="1"/>
    </font>
    <font>
      <sz val="10"/>
      <name val="Times New Roman"/>
      <family val="1"/>
      <charset val="204"/>
    </font>
    <font>
      <i/>
      <sz val="11"/>
      <color indexed="23"/>
      <name val="Calibri"/>
      <family val="2"/>
      <charset val="177"/>
    </font>
    <font>
      <sz val="11"/>
      <color indexed="17"/>
      <name val="Calibri"/>
      <family val="2"/>
      <charset val="177"/>
    </font>
    <font>
      <sz val="8"/>
      <name val="Arial"/>
      <family val="2"/>
      <charset val="177"/>
    </font>
    <font>
      <b/>
      <sz val="12"/>
      <name val="Arial"/>
      <family val="2"/>
      <charset val="177"/>
    </font>
    <font>
      <b/>
      <sz val="15"/>
      <color indexed="56"/>
      <name val="Calibri"/>
      <family val="2"/>
      <charset val="177"/>
    </font>
    <font>
      <b/>
      <sz val="13"/>
      <color indexed="56"/>
      <name val="Calibri"/>
      <family val="2"/>
      <charset val="177"/>
    </font>
    <font>
      <b/>
      <sz val="11"/>
      <color indexed="56"/>
      <name val="Calibri"/>
      <family val="2"/>
      <charset val="177"/>
    </font>
    <font>
      <u/>
      <sz val="10"/>
      <color indexed="12"/>
      <name val="Arial CE"/>
      <charset val="177"/>
    </font>
    <font>
      <sz val="11"/>
      <name val="Times New Roman"/>
      <family val="1"/>
      <charset val="204"/>
    </font>
    <font>
      <sz val="11"/>
      <color indexed="62"/>
      <name val="Calibri"/>
      <family val="2"/>
      <charset val="177"/>
    </font>
    <font>
      <sz val="12"/>
      <name val="Helv"/>
      <charset val="177"/>
    </font>
    <font>
      <sz val="10"/>
      <color indexed="8"/>
      <name val="Helv"/>
    </font>
    <font>
      <sz val="11"/>
      <color indexed="52"/>
      <name val="Calibri"/>
      <family val="2"/>
      <charset val="177"/>
    </font>
    <font>
      <sz val="12"/>
      <color indexed="9"/>
      <name val="Helv"/>
      <charset val="177"/>
    </font>
    <font>
      <sz val="10"/>
      <name val="Geneva"/>
      <family val="2"/>
    </font>
    <font>
      <sz val="11"/>
      <color indexed="60"/>
      <name val="Calibri"/>
      <family val="2"/>
      <charset val="177"/>
    </font>
    <font>
      <sz val="10"/>
      <name val="Arial CE"/>
      <charset val="177"/>
    </font>
    <font>
      <b/>
      <i/>
      <sz val="16"/>
      <name val="Helv"/>
      <charset val="177"/>
    </font>
    <font>
      <sz val="12"/>
      <name val="Arial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  <charset val="177"/>
    </font>
    <font>
      <sz val="10"/>
      <name val="MS Sans Serif"/>
      <family val="2"/>
    </font>
    <font>
      <sz val="10"/>
      <name val="Tms Rmn"/>
      <family val="2"/>
    </font>
    <font>
      <b/>
      <sz val="10"/>
      <name val="MS Sans Serif"/>
      <family val="2"/>
    </font>
    <font>
      <b/>
      <sz val="12"/>
      <color indexed="8"/>
      <name val="Helv"/>
    </font>
    <font>
      <b/>
      <sz val="14"/>
      <color indexed="8"/>
      <name val="Helv"/>
    </font>
    <font>
      <sz val="8"/>
      <name val="Helv"/>
      <charset val="177"/>
    </font>
    <font>
      <b/>
      <sz val="18"/>
      <color indexed="62"/>
      <name val="Cambria"/>
      <family val="2"/>
      <charset val="204"/>
    </font>
    <font>
      <u/>
      <sz val="10"/>
      <color indexed="36"/>
      <name val="Arial CE"/>
      <charset val="177"/>
    </font>
    <font>
      <sz val="10"/>
      <name val="Helv"/>
      <charset val="204"/>
    </font>
    <font>
      <b/>
      <sz val="8"/>
      <color indexed="8"/>
      <name val="Helv"/>
      <charset val="177"/>
    </font>
    <font>
      <sz val="12"/>
      <name val="Arial"/>
      <family val="2"/>
      <charset val="204"/>
    </font>
    <font>
      <b/>
      <sz val="10"/>
      <color indexed="10"/>
      <name val="Arial"/>
      <family val="2"/>
    </font>
    <font>
      <b/>
      <sz val="18"/>
      <color indexed="56"/>
      <name val="Cambria"/>
      <family val="2"/>
      <charset val="177"/>
    </font>
    <font>
      <b/>
      <sz val="11"/>
      <color indexed="8"/>
      <name val="Calibri"/>
      <family val="2"/>
      <charset val="177"/>
    </font>
    <font>
      <sz val="11"/>
      <color indexed="10"/>
      <name val="Calibri"/>
      <family val="2"/>
      <charset val="177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indexed="12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u/>
      <sz val="10"/>
      <color indexed="36"/>
      <name val="Arial Cyr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Cyr"/>
    </font>
    <font>
      <sz val="10"/>
      <name val="UkrainianAntiqua"/>
      <charset val="204"/>
    </font>
    <font>
      <sz val="11"/>
      <color indexed="17"/>
      <name val="Calibri"/>
      <family val="2"/>
      <charset val="204"/>
    </font>
    <font>
      <b/>
      <sz val="10"/>
      <color indexed="10"/>
      <name val="Arial"/>
      <family val="2"/>
      <charset val="177"/>
    </font>
    <font>
      <sz val="10"/>
      <color indexed="17"/>
      <name val="Arial"/>
      <family val="2"/>
      <charset val="177"/>
    </font>
    <font>
      <sz val="10"/>
      <color indexed="10"/>
      <name val="Arial"/>
      <family val="2"/>
      <charset val="177"/>
    </font>
    <font>
      <i/>
      <sz val="10"/>
      <color indexed="23"/>
      <name val="Arial"/>
      <family val="2"/>
      <charset val="177"/>
    </font>
    <font>
      <b/>
      <sz val="18"/>
      <color indexed="62"/>
      <name val="Times New Roman"/>
      <family val="2"/>
      <charset val="177"/>
    </font>
    <font>
      <b/>
      <sz val="15"/>
      <color indexed="62"/>
      <name val="Arial"/>
      <family val="2"/>
      <charset val="177"/>
    </font>
    <font>
      <b/>
      <sz val="13"/>
      <color indexed="62"/>
      <name val="Arial"/>
      <family val="2"/>
      <charset val="177"/>
    </font>
    <font>
      <b/>
      <sz val="11"/>
      <color indexed="62"/>
      <name val="Arial"/>
      <family val="2"/>
      <charset val="177"/>
    </font>
    <font>
      <sz val="10"/>
      <color indexed="19"/>
      <name val="Arial"/>
      <family val="2"/>
      <charset val="177"/>
    </font>
    <font>
      <b/>
      <sz val="10"/>
      <color indexed="8"/>
      <name val="Arial"/>
      <family val="2"/>
      <charset val="177"/>
    </font>
    <font>
      <b/>
      <sz val="10"/>
      <color indexed="63"/>
      <name val="Arial"/>
      <family val="2"/>
      <charset val="177"/>
    </font>
    <font>
      <sz val="10"/>
      <color indexed="62"/>
      <name val="Arial"/>
      <family val="2"/>
      <charset val="177"/>
    </font>
    <font>
      <sz val="10"/>
      <color indexed="20"/>
      <name val="Arial"/>
      <family val="2"/>
      <charset val="177"/>
    </font>
    <font>
      <b/>
      <sz val="10"/>
      <color indexed="9"/>
      <name val="Arial"/>
      <family val="2"/>
      <charset val="177"/>
    </font>
    <font>
      <sz val="11"/>
      <color indexed="8"/>
      <name val="Sylfaen"/>
      <family val="1"/>
      <charset val="204"/>
    </font>
    <font>
      <b/>
      <sz val="12"/>
      <color indexed="22"/>
      <name val="Sylfaen"/>
      <family val="1"/>
      <charset val="204"/>
    </font>
    <font>
      <b/>
      <sz val="10"/>
      <color indexed="22"/>
      <name val="Sylfaen"/>
      <family val="1"/>
      <charset val="204"/>
    </font>
    <font>
      <sz val="10"/>
      <name val="Sylfaen"/>
      <family val="1"/>
    </font>
    <font>
      <sz val="9"/>
      <name val="Sylfaen"/>
      <family val="1"/>
    </font>
    <font>
      <b/>
      <sz val="10"/>
      <name val="Sylfaen"/>
      <family val="1"/>
    </font>
    <font>
      <b/>
      <sz val="10"/>
      <color indexed="8"/>
      <name val="Sylfaen"/>
      <family val="1"/>
    </font>
    <font>
      <sz val="11"/>
      <color indexed="8"/>
      <name val="Arial"/>
      <family val="2"/>
    </font>
    <font>
      <sz val="11"/>
      <name val="Sylfaen"/>
      <family val="1"/>
    </font>
    <font>
      <sz val="11"/>
      <color indexed="8"/>
      <name val="Sylfaen"/>
      <family val="1"/>
    </font>
    <font>
      <b/>
      <sz val="9"/>
      <name val="Sylfaen"/>
      <family val="1"/>
    </font>
    <font>
      <sz val="12"/>
      <name val="Sylfaen"/>
      <family val="1"/>
    </font>
  </fonts>
  <fills count="5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lightUp">
        <bgColor indexed="9"/>
      </patternFill>
    </fill>
    <fill>
      <patternFill patternType="solid">
        <fgColor indexed="22"/>
        <bgColor indexed="26"/>
      </patternFill>
    </fill>
    <fill>
      <patternFill patternType="solid">
        <fgColor indexed="9"/>
        <bgColor indexed="26"/>
      </patternFill>
    </fill>
    <fill>
      <patternFill patternType="lightUp">
        <fgColor indexed="23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</borders>
  <cellStyleXfs count="671">
    <xf numFmtId="0" fontId="0" fillId="0" borderId="0"/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7" borderId="0" applyNumberFormat="0" applyBorder="0" applyAlignment="0" applyProtection="0"/>
    <xf numFmtId="0" fontId="30" fillId="6" borderId="0" applyNumberFormat="0" applyBorder="0" applyAlignment="0" applyProtection="0"/>
    <xf numFmtId="0" fontId="30" fillId="10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29" fillId="11" borderId="0" applyNumberFormat="0" applyBorder="0" applyAlignment="0" applyProtection="0"/>
    <xf numFmtId="0" fontId="29" fillId="5" borderId="0" applyNumberFormat="0" applyBorder="0" applyAlignment="0" applyProtection="0"/>
    <xf numFmtId="0" fontId="29" fillId="8" borderId="0" applyNumberFormat="0" applyBorder="0" applyAlignment="0" applyProtection="0"/>
    <xf numFmtId="0" fontId="29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13" borderId="0" applyNumberFormat="0" applyBorder="0" applyAlignment="0" applyProtection="0"/>
    <xf numFmtId="0" fontId="30" fillId="3" borderId="0" applyNumberFormat="0" applyBorder="0" applyAlignment="0" applyProtection="0"/>
    <xf numFmtId="0" fontId="30" fillId="6" borderId="0" applyNumberFormat="0" applyBorder="0" applyAlignment="0" applyProtection="0"/>
    <xf numFmtId="0" fontId="30" fillId="10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4" borderId="0" applyNumberFormat="0" applyBorder="0" applyAlignment="0" applyProtection="0"/>
    <xf numFmtId="0" fontId="32" fillId="9" borderId="0" applyNumberFormat="0" applyBorder="0" applyAlignment="0" applyProtection="0"/>
    <xf numFmtId="0" fontId="32" fillId="11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3" fillId="6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3" borderId="0" applyNumberFormat="0" applyBorder="0" applyAlignment="0" applyProtection="0"/>
    <xf numFmtId="0" fontId="33" fillId="6" borderId="0" applyNumberFormat="0" applyBorder="0" applyAlignment="0" applyProtection="0"/>
    <xf numFmtId="0" fontId="33" fillId="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32" fillId="21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32" fillId="25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32" fillId="24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29" fillId="20" borderId="0" applyNumberFormat="0" applyBorder="0" applyAlignment="0" applyProtection="0"/>
    <xf numFmtId="0" fontId="29" fillId="24" borderId="0" applyNumberFormat="0" applyBorder="0" applyAlignment="0" applyProtection="0"/>
    <xf numFmtId="0" fontId="32" fillId="2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29" fillId="28" borderId="0" applyNumberFormat="0" applyBorder="0" applyAlignment="0" applyProtection="0"/>
    <xf numFmtId="0" fontId="29" fillId="20" borderId="0" applyNumberFormat="0" applyBorder="0" applyAlignment="0" applyProtection="0"/>
    <xf numFmtId="0" fontId="32" fillId="21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2" fillId="29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4" fillId="0" borderId="0">
      <alignment horizontal="center" wrapText="1"/>
      <protection locked="0"/>
    </xf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167" fontId="36" fillId="0" borderId="0" applyFill="0" applyBorder="0" applyAlignment="0"/>
    <xf numFmtId="167" fontId="36" fillId="0" borderId="0" applyFill="0" applyBorder="0" applyAlignment="0"/>
    <xf numFmtId="167" fontId="36" fillId="0" borderId="0" applyFill="0" applyBorder="0" applyAlignment="0"/>
    <xf numFmtId="167" fontId="36" fillId="0" borderId="0" applyFill="0" applyBorder="0" applyAlignment="0"/>
    <xf numFmtId="167" fontId="36" fillId="0" borderId="0" applyFill="0" applyBorder="0" applyAlignment="0"/>
    <xf numFmtId="167" fontId="36" fillId="0" borderId="0" applyFill="0" applyBorder="0" applyAlignment="0"/>
    <xf numFmtId="167" fontId="36" fillId="0" borderId="0" applyFill="0" applyBorder="0" applyAlignment="0"/>
    <xf numFmtId="167" fontId="36" fillId="0" borderId="0" applyFill="0" applyBorder="0" applyAlignment="0"/>
    <xf numFmtId="0" fontId="37" fillId="30" borderId="1" applyNumberFormat="0" applyAlignment="0" applyProtection="0"/>
    <xf numFmtId="0" fontId="37" fillId="30" borderId="1" applyNumberFormat="0" applyAlignment="0" applyProtection="0"/>
    <xf numFmtId="0" fontId="38" fillId="0" borderId="0" applyFill="0" applyBorder="0" applyProtection="0">
      <alignment horizontal="center"/>
      <protection locked="0"/>
    </xf>
    <xf numFmtId="0" fontId="39" fillId="31" borderId="2" applyNumberFormat="0" applyAlignment="0" applyProtection="0"/>
    <xf numFmtId="0" fontId="39" fillId="31" borderId="2" applyNumberFormat="0" applyAlignment="0" applyProtection="0"/>
    <xf numFmtId="0" fontId="40" fillId="0" borderId="3">
      <alignment horizontal="center"/>
    </xf>
    <xf numFmtId="43" fontId="2" fillId="0" borderId="0" applyFont="0" applyFill="0" applyBorder="0" applyAlignment="0" applyProtection="0"/>
    <xf numFmtId="168" fontId="36" fillId="0" borderId="0" applyFont="0" applyFill="0" applyBorder="0" applyAlignment="0" applyProtection="0"/>
    <xf numFmtId="169" fontId="41" fillId="0" borderId="0" applyFont="0" applyFill="0" applyBorder="0" applyAlignment="0" applyProtection="0"/>
    <xf numFmtId="170" fontId="25" fillId="0" borderId="0" applyFont="0" applyFill="0" applyBorder="0" applyAlignment="0" applyProtection="0"/>
    <xf numFmtId="171" fontId="42" fillId="0" borderId="0" applyFont="0" applyFill="0" applyBorder="0" applyAlignment="0" applyProtection="0"/>
    <xf numFmtId="172" fontId="25" fillId="0" borderId="0" applyFont="0" applyFill="0" applyBorder="0" applyAlignment="0" applyProtection="0"/>
    <xf numFmtId="173" fontId="42" fillId="0" borderId="0" applyFont="0" applyFill="0" applyBorder="0" applyAlignment="0" applyProtection="0"/>
    <xf numFmtId="174" fontId="25" fillId="0" borderId="0" applyFont="0" applyFill="0" applyBorder="0" applyAlignment="0" applyProtection="0"/>
    <xf numFmtId="175" fontId="43" fillId="0" borderId="0" applyFont="0" applyFill="0" applyBorder="0" applyAlignment="0" applyProtection="0"/>
    <xf numFmtId="175" fontId="43" fillId="0" borderId="0" applyFont="0" applyFill="0" applyBorder="0" applyAlignment="0" applyProtection="0"/>
    <xf numFmtId="175" fontId="43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75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176" fontId="36" fillId="0" borderId="0" applyFont="0" applyFill="0" applyBorder="0" applyAlignment="0" applyProtection="0"/>
    <xf numFmtId="167" fontId="43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4" fillId="0" borderId="0" applyFont="0" applyFill="0" applyBorder="0" applyAlignment="0" applyProtection="0"/>
    <xf numFmtId="175" fontId="45" fillId="0" borderId="0" applyFont="0" applyFill="0" applyBorder="0" applyAlignment="0" applyProtection="0"/>
    <xf numFmtId="167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77" fontId="46" fillId="32" borderId="0">
      <alignment horizontal="left"/>
    </xf>
    <xf numFmtId="0" fontId="47" fillId="0" borderId="0" applyNumberFormat="0" applyFill="0" applyBorder="0" applyAlignment="0" applyProtection="0"/>
    <xf numFmtId="0" fontId="48" fillId="0" borderId="0" applyNumberFormat="0" applyAlignment="0">
      <alignment horizontal="left"/>
    </xf>
    <xf numFmtId="0" fontId="49" fillId="0" borderId="0" applyNumberFormat="0" applyAlignment="0"/>
    <xf numFmtId="178" fontId="50" fillId="0" borderId="0" applyFill="0" applyBorder="0" applyProtection="0"/>
    <xf numFmtId="179" fontId="41" fillId="0" borderId="0" applyFont="0" applyFill="0" applyBorder="0" applyAlignment="0" applyProtection="0"/>
    <xf numFmtId="180" fontId="51" fillId="0" borderId="0" applyFill="0" applyBorder="0" applyProtection="0"/>
    <xf numFmtId="180" fontId="51" fillId="0" borderId="4" applyFill="0" applyProtection="0"/>
    <xf numFmtId="180" fontId="51" fillId="0" borderId="5" applyFill="0" applyProtection="0"/>
    <xf numFmtId="180" fontId="51" fillId="0" borderId="0" applyFill="0" applyBorder="0" applyProtection="0"/>
    <xf numFmtId="181" fontId="36" fillId="0" borderId="0" applyFont="0" applyFill="0" applyBorder="0" applyAlignment="0" applyProtection="0"/>
    <xf numFmtId="42" fontId="52" fillId="0" borderId="0" applyFont="0" applyFill="0" applyBorder="0" applyAlignment="0" applyProtection="0"/>
    <xf numFmtId="182" fontId="42" fillId="0" borderId="0" applyFont="0" applyFill="0" applyBorder="0" applyAlignment="0" applyProtection="0"/>
    <xf numFmtId="183" fontId="25" fillId="0" borderId="0" applyFont="0" applyFill="0" applyBorder="0" applyAlignment="0" applyProtection="0"/>
    <xf numFmtId="184" fontId="42" fillId="0" borderId="0" applyFont="0" applyFill="0" applyBorder="0" applyAlignment="0" applyProtection="0"/>
    <xf numFmtId="185" fontId="25" fillId="0" borderId="0" applyFont="0" applyFill="0" applyBorder="0" applyAlignment="0" applyProtection="0"/>
    <xf numFmtId="186" fontId="42" fillId="0" borderId="0" applyFont="0" applyFill="0" applyBorder="0" applyAlignment="0" applyProtection="0"/>
    <xf numFmtId="187" fontId="25" fillId="0" borderId="0" applyFont="0" applyFill="0" applyBorder="0" applyAlignment="0" applyProtection="0"/>
    <xf numFmtId="188" fontId="36" fillId="0" borderId="0" applyFont="0" applyFill="0" applyBorder="0" applyAlignment="0" applyProtection="0"/>
    <xf numFmtId="189" fontId="51" fillId="0" borderId="0" applyFill="0" applyBorder="0" applyProtection="0"/>
    <xf numFmtId="189" fontId="51" fillId="0" borderId="4" applyFill="0" applyProtection="0"/>
    <xf numFmtId="189" fontId="51" fillId="0" borderId="5" applyFill="0" applyProtection="0"/>
    <xf numFmtId="189" fontId="51" fillId="0" borderId="0" applyFill="0" applyBorder="0" applyProtection="0"/>
    <xf numFmtId="190" fontId="53" fillId="0" borderId="0" applyFont="0" applyFill="0" applyBorder="0" applyAlignment="0" applyProtection="0"/>
    <xf numFmtId="0" fontId="54" fillId="33" borderId="0" applyNumberFormat="0" applyBorder="0" applyAlignment="0" applyProtection="0"/>
    <xf numFmtId="0" fontId="54" fillId="34" borderId="0" applyNumberFormat="0" applyBorder="0" applyAlignment="0" applyProtection="0"/>
    <xf numFmtId="0" fontId="54" fillId="35" borderId="0" applyNumberFormat="0" applyBorder="0" applyAlignment="0" applyProtection="0"/>
    <xf numFmtId="0" fontId="55" fillId="0" borderId="0" applyNumberFormat="0" applyAlignment="0">
      <alignment horizontal="left"/>
    </xf>
    <xf numFmtId="191" fontId="56" fillId="0" borderId="0" applyFont="0" applyFill="0" applyBorder="0" applyAlignment="0" applyProtection="0"/>
    <xf numFmtId="192" fontId="57" fillId="0" borderId="3" applyFill="0" applyBorder="0">
      <alignment horizontal="center" vertical="center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38" fontId="60" fillId="36" borderId="0" applyNumberFormat="0" applyBorder="0" applyAlignment="0" applyProtection="0"/>
    <xf numFmtId="0" fontId="61" fillId="0" borderId="6" applyNumberFormat="0" applyAlignment="0" applyProtection="0">
      <alignment horizontal="left" vertical="center"/>
    </xf>
    <xf numFmtId="0" fontId="61" fillId="0" borderId="7">
      <alignment horizontal="left" vertical="center"/>
    </xf>
    <xf numFmtId="14" fontId="26" fillId="37" borderId="8">
      <alignment horizontal="center" vertical="center" wrapText="1"/>
    </xf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63" fillId="0" borderId="10" applyNumberFormat="0" applyFill="0" applyAlignment="0" applyProtection="0"/>
    <xf numFmtId="0" fontId="63" fillId="0" borderId="10" applyNumberFormat="0" applyFill="0" applyAlignment="0" applyProtection="0"/>
    <xf numFmtId="0" fontId="64" fillId="0" borderId="11" applyNumberFormat="0" applyFill="0" applyAlignment="0" applyProtection="0"/>
    <xf numFmtId="0" fontId="64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8" fillId="0" borderId="0" applyFill="0" applyAlignment="0" applyProtection="0">
      <protection locked="0"/>
    </xf>
    <xf numFmtId="0" fontId="38" fillId="0" borderId="12" applyFill="0" applyAlignment="0" applyProtection="0"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193" fontId="66" fillId="0" borderId="0" applyFill="0" applyBorder="0">
      <alignment horizontal="center" vertical="center"/>
    </xf>
    <xf numFmtId="10" fontId="60" fillId="38" borderId="13" applyNumberFormat="0" applyBorder="0" applyAlignment="0" applyProtection="0"/>
    <xf numFmtId="0" fontId="67" fillId="7" borderId="1" applyNumberFormat="0" applyAlignment="0" applyProtection="0"/>
    <xf numFmtId="0" fontId="67" fillId="7" borderId="1" applyNumberFormat="0" applyAlignment="0" applyProtection="0"/>
    <xf numFmtId="194" fontId="68" fillId="39" borderId="0"/>
    <xf numFmtId="195" fontId="69" fillId="0" borderId="14">
      <alignment horizontal="center"/>
    </xf>
    <xf numFmtId="0" fontId="70" fillId="0" borderId="15" applyNumberFormat="0" applyFill="0" applyAlignment="0" applyProtection="0"/>
    <xf numFmtId="0" fontId="70" fillId="0" borderId="15" applyNumberFormat="0" applyFill="0" applyAlignment="0" applyProtection="0"/>
    <xf numFmtId="194" fontId="71" fillId="40" borderId="0"/>
    <xf numFmtId="14" fontId="69" fillId="0" borderId="14">
      <alignment horizontal="center"/>
    </xf>
    <xf numFmtId="196" fontId="69" fillId="0" borderId="14"/>
    <xf numFmtId="197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9" fontId="72" fillId="0" borderId="0" applyFont="0" applyFill="0" applyBorder="0" applyAlignment="0" applyProtection="0"/>
    <xf numFmtId="200" fontId="72" fillId="0" borderId="0" applyFont="0" applyFill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27" fillId="0" borderId="0"/>
    <xf numFmtId="0" fontId="74" fillId="0" borderId="0"/>
    <xf numFmtId="199" fontId="75" fillId="0" borderId="0"/>
    <xf numFmtId="0" fontId="28" fillId="0" borderId="0"/>
    <xf numFmtId="0" fontId="3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" fillId="0" borderId="0"/>
    <xf numFmtId="0" fontId="1" fillId="0" borderId="0"/>
    <xf numFmtId="0" fontId="43" fillId="0" borderId="0"/>
    <xf numFmtId="0" fontId="1" fillId="0" borderId="0"/>
    <xf numFmtId="0" fontId="45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45" fillId="0" borderId="0"/>
    <xf numFmtId="0" fontId="1" fillId="0" borderId="0"/>
    <xf numFmtId="0" fontId="45" fillId="0" borderId="0"/>
    <xf numFmtId="0" fontId="1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1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45" fillId="0" borderId="0"/>
    <xf numFmtId="0" fontId="45" fillId="0" borderId="0"/>
    <xf numFmtId="0" fontId="1" fillId="0" borderId="0"/>
    <xf numFmtId="0" fontId="45" fillId="0" borderId="0"/>
    <xf numFmtId="0" fontId="45" fillId="0" borderId="0"/>
    <xf numFmtId="0" fontId="1" fillId="0" borderId="0"/>
    <xf numFmtId="0" fontId="45" fillId="0" borderId="0"/>
    <xf numFmtId="0" fontId="45" fillId="0" borderId="0"/>
    <xf numFmtId="0" fontId="1" fillId="0" borderId="0"/>
    <xf numFmtId="0" fontId="45" fillId="0" borderId="0"/>
    <xf numFmtId="0" fontId="45" fillId="0" borderId="0"/>
    <xf numFmtId="0" fontId="1" fillId="0" borderId="0"/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45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45" fillId="0" borderId="0"/>
    <xf numFmtId="0" fontId="1" fillId="0" borderId="0"/>
    <xf numFmtId="0" fontId="45" fillId="0" borderId="0"/>
    <xf numFmtId="0" fontId="45" fillId="0" borderId="0"/>
    <xf numFmtId="0" fontId="1" fillId="0" borderId="0"/>
    <xf numFmtId="0" fontId="43" fillId="0" borderId="0"/>
    <xf numFmtId="0" fontId="1" fillId="0" borderId="0"/>
    <xf numFmtId="0" fontId="43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1" fillId="0" borderId="0"/>
    <xf numFmtId="0" fontId="43" fillId="0" borderId="0"/>
    <xf numFmtId="0" fontId="43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44" fillId="0" borderId="0"/>
    <xf numFmtId="0" fontId="36" fillId="0" borderId="0"/>
    <xf numFmtId="0" fontId="76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6" fillId="0" borderId="0"/>
    <xf numFmtId="0" fontId="76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77" fillId="0" borderId="0"/>
    <xf numFmtId="0" fontId="53" fillId="0" borderId="0"/>
    <xf numFmtId="0" fontId="43" fillId="10" borderId="16" applyNumberFormat="0" applyFont="0" applyAlignment="0" applyProtection="0"/>
    <xf numFmtId="0" fontId="43" fillId="10" borderId="16" applyNumberFormat="0" applyFont="0" applyAlignment="0" applyProtection="0"/>
    <xf numFmtId="201" fontId="46" fillId="0" borderId="14"/>
    <xf numFmtId="201" fontId="69" fillId="0" borderId="14"/>
    <xf numFmtId="0" fontId="78" fillId="30" borderId="17" applyNumberFormat="0" applyAlignment="0" applyProtection="0"/>
    <xf numFmtId="0" fontId="78" fillId="30" borderId="17" applyNumberFormat="0" applyAlignment="0" applyProtection="0"/>
    <xf numFmtId="14" fontId="34" fillId="0" borderId="0">
      <alignment horizontal="center" wrapText="1"/>
      <protection locked="0"/>
    </xf>
    <xf numFmtId="9" fontId="2" fillId="0" borderId="0" applyFont="0" applyFill="0" applyBorder="0" applyAlignment="0" applyProtection="0"/>
    <xf numFmtId="202" fontId="38" fillId="0" borderId="0" applyFont="0" applyFill="0" applyBorder="0" applyAlignment="0" applyProtection="0"/>
    <xf numFmtId="203" fontId="41" fillId="0" borderId="0" applyFont="0" applyFill="0" applyBorder="0" applyAlignment="0" applyProtection="0"/>
    <xf numFmtId="204" fontId="42" fillId="0" borderId="0" applyFont="0" applyFill="0" applyBorder="0" applyAlignment="0" applyProtection="0"/>
    <xf numFmtId="205" fontId="36" fillId="0" borderId="0" applyFont="0" applyFill="0" applyBorder="0" applyAlignment="0" applyProtection="0"/>
    <xf numFmtId="10" fontId="36" fillId="0" borderId="0" applyFont="0" applyFill="0" applyBorder="0" applyAlignment="0" applyProtection="0"/>
    <xf numFmtId="10" fontId="36" fillId="0" borderId="0" applyFont="0" applyFill="0" applyBorder="0" applyAlignment="0" applyProtection="0"/>
    <xf numFmtId="10" fontId="36" fillId="0" borderId="0" applyFont="0" applyFill="0" applyBorder="0" applyAlignment="0" applyProtection="0"/>
    <xf numFmtId="10" fontId="36" fillId="0" borderId="0" applyFont="0" applyFill="0" applyBorder="0" applyAlignment="0" applyProtection="0"/>
    <xf numFmtId="10" fontId="36" fillId="0" borderId="0" applyFont="0" applyFill="0" applyBorder="0" applyAlignment="0" applyProtection="0"/>
    <xf numFmtId="10" fontId="36" fillId="0" borderId="0" applyFont="0" applyFill="0" applyBorder="0" applyAlignment="0" applyProtection="0"/>
    <xf numFmtId="10" fontId="36" fillId="0" borderId="0" applyFont="0" applyFill="0" applyBorder="0" applyAlignment="0" applyProtection="0"/>
    <xf numFmtId="10" fontId="36" fillId="0" borderId="0" applyFont="0" applyFill="0" applyBorder="0" applyAlignment="0" applyProtection="0"/>
    <xf numFmtId="206" fontId="42" fillId="0" borderId="0" applyFont="0" applyFill="0" applyBorder="0" applyAlignment="0" applyProtection="0"/>
    <xf numFmtId="207" fontId="41" fillId="0" borderId="0" applyFont="0" applyFill="0" applyBorder="0" applyAlignment="0" applyProtection="0"/>
    <xf numFmtId="208" fontId="42" fillId="0" borderId="0" applyFont="0" applyFill="0" applyBorder="0" applyAlignment="0" applyProtection="0"/>
    <xf numFmtId="209" fontId="41" fillId="0" borderId="0" applyFont="0" applyFill="0" applyBorder="0" applyAlignment="0" applyProtection="0"/>
    <xf numFmtId="210" fontId="42" fillId="0" borderId="0" applyFont="0" applyFill="0" applyBorder="0" applyAlignment="0" applyProtection="0"/>
    <xf numFmtId="211" fontId="41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9" fillId="0" borderId="18" applyNumberFormat="0" applyBorder="0"/>
    <xf numFmtId="5" fontId="80" fillId="0" borderId="0"/>
    <xf numFmtId="0" fontId="79" fillId="0" borderId="0" applyNumberFormat="0" applyFont="0" applyFill="0" applyBorder="0" applyAlignment="0" applyProtection="0">
      <alignment horizontal="left"/>
    </xf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0" fontId="81" fillId="0" borderId="8">
      <alignment horizontal="center"/>
    </xf>
    <xf numFmtId="0" fontId="46" fillId="0" borderId="0"/>
    <xf numFmtId="0" fontId="82" fillId="0" borderId="0"/>
    <xf numFmtId="0" fontId="83" fillId="0" borderId="0"/>
    <xf numFmtId="0" fontId="69" fillId="0" borderId="0"/>
    <xf numFmtId="212" fontId="84" fillId="0" borderId="0" applyNumberFormat="0" applyFill="0" applyBorder="0" applyAlignment="0" applyProtection="0">
      <alignment horizontal="left"/>
    </xf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/>
    <xf numFmtId="40" fontId="88" fillId="0" borderId="0" applyBorder="0">
      <alignment horizontal="right"/>
    </xf>
    <xf numFmtId="213" fontId="89" fillId="0" borderId="0" applyFill="0" applyBorder="0">
      <alignment horizontal="right"/>
    </xf>
    <xf numFmtId="0" fontId="90" fillId="0" borderId="0">
      <alignment horizontal="center" vertical="top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2" fillId="19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8" borderId="0" applyNumberFormat="0" applyBorder="0" applyAlignment="0" applyProtection="0"/>
    <xf numFmtId="0" fontId="94" fillId="7" borderId="1" applyNumberFormat="0" applyAlignment="0" applyProtection="0"/>
    <xf numFmtId="0" fontId="95" fillId="30" borderId="17" applyNumberFormat="0" applyAlignment="0" applyProtection="0"/>
    <xf numFmtId="0" fontId="96" fillId="30" borderId="1" applyNumberFormat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214" fontId="43" fillId="0" borderId="0" applyFont="0" applyFill="0" applyBorder="0" applyAlignment="0" applyProtection="0"/>
    <xf numFmtId="215" fontId="43" fillId="0" borderId="0" applyFont="0" applyFill="0" applyBorder="0" applyAlignment="0" applyProtection="0"/>
    <xf numFmtId="0" fontId="98" fillId="0" borderId="9" applyNumberFormat="0" applyFill="0" applyAlignment="0" applyProtection="0"/>
    <xf numFmtId="0" fontId="99" fillId="0" borderId="10" applyNumberFormat="0" applyFill="0" applyAlignment="0" applyProtection="0"/>
    <xf numFmtId="0" fontId="100" fillId="0" borderId="11" applyNumberFormat="0" applyFill="0" applyAlignment="0" applyProtection="0"/>
    <xf numFmtId="0" fontId="100" fillId="0" borderId="0" applyNumberFormat="0" applyFill="0" applyBorder="0" applyAlignment="0" applyProtection="0"/>
    <xf numFmtId="0" fontId="36" fillId="0" borderId="0"/>
    <xf numFmtId="0" fontId="54" fillId="0" borderId="19" applyNumberFormat="0" applyFill="0" applyAlignment="0" applyProtection="0"/>
    <xf numFmtId="0" fontId="101" fillId="31" borderId="2" applyNumberFormat="0" applyAlignment="0" applyProtection="0"/>
    <xf numFmtId="0" fontId="102" fillId="0" borderId="0" applyNumberFormat="0" applyFill="0" applyBorder="0" applyAlignment="0" applyProtection="0"/>
    <xf numFmtId="0" fontId="103" fillId="13" borderId="0" applyNumberFormat="0" applyBorder="0" applyAlignment="0" applyProtection="0"/>
    <xf numFmtId="0" fontId="29" fillId="0" borderId="0"/>
    <xf numFmtId="0" fontId="43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105" fillId="3" borderId="0" applyNumberFormat="0" applyBorder="0" applyAlignment="0" applyProtection="0"/>
    <xf numFmtId="0" fontId="106" fillId="0" borderId="0" applyNumberFormat="0" applyFill="0" applyBorder="0" applyAlignment="0" applyProtection="0"/>
    <xf numFmtId="0" fontId="43" fillId="10" borderId="16" applyNumberFormat="0" applyFont="0" applyAlignment="0" applyProtection="0"/>
    <xf numFmtId="0" fontId="107" fillId="0" borderId="15" applyNumberFormat="0" applyFill="0" applyAlignment="0" applyProtection="0"/>
    <xf numFmtId="0" fontId="87" fillId="0" borderId="0"/>
    <xf numFmtId="0" fontId="108" fillId="0" borderId="0" applyNumberFormat="0" applyFill="0" applyBorder="0" applyAlignment="0" applyProtection="0"/>
    <xf numFmtId="216" fontId="109" fillId="0" borderId="0" applyFont="0" applyFill="0" applyBorder="0" applyAlignment="0" applyProtection="0"/>
    <xf numFmtId="217" fontId="109" fillId="0" borderId="0" applyFont="0" applyFill="0" applyBorder="0" applyAlignment="0" applyProtection="0"/>
    <xf numFmtId="218" fontId="43" fillId="0" borderId="0" applyFont="0" applyFill="0" applyBorder="0" applyAlignment="0" applyProtection="0"/>
    <xf numFmtId="219" fontId="43" fillId="0" borderId="0" applyFont="0" applyFill="0" applyBorder="0" applyAlignment="0" applyProtection="0"/>
    <xf numFmtId="220" fontId="110" fillId="0" borderId="0" applyFont="0" applyFill="0" applyBorder="0" applyAlignment="0" applyProtection="0"/>
    <xf numFmtId="0" fontId="111" fillId="4" borderId="0" applyNumberFormat="0" applyBorder="0" applyAlignment="0" applyProtection="0"/>
    <xf numFmtId="0" fontId="33" fillId="41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42" borderId="0" applyNumberFormat="0" applyBorder="0" applyAlignment="0" applyProtection="0"/>
    <xf numFmtId="0" fontId="33" fillId="16" borderId="0" applyNumberFormat="0" applyBorder="0" applyAlignment="0" applyProtection="0"/>
    <xf numFmtId="0" fontId="33" fillId="22" borderId="0" applyNumberFormat="0" applyBorder="0" applyAlignment="0" applyProtection="0"/>
    <xf numFmtId="0" fontId="36" fillId="10" borderId="16" applyNumberFormat="0" applyFont="0" applyAlignment="0" applyProtection="0"/>
    <xf numFmtId="0" fontId="112" fillId="43" borderId="1" applyNumberFormat="0" applyAlignment="0" applyProtection="0"/>
    <xf numFmtId="0" fontId="113" fillId="6" borderId="0" applyNumberFormat="0" applyBorder="0" applyAlignment="0" applyProtection="0"/>
    <xf numFmtId="0" fontId="1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7" fillId="0" borderId="20" applyNumberFormat="0" applyFill="0" applyAlignment="0" applyProtection="0"/>
    <xf numFmtId="0" fontId="118" fillId="0" borderId="21" applyNumberFormat="0" applyFill="0" applyAlignment="0" applyProtection="0"/>
    <xf numFmtId="0" fontId="119" fillId="0" borderId="22" applyNumberFormat="0" applyFill="0" applyAlignment="0" applyProtection="0"/>
    <xf numFmtId="0" fontId="119" fillId="0" borderId="0" applyNumberFormat="0" applyFill="0" applyBorder="0" applyAlignment="0" applyProtection="0"/>
    <xf numFmtId="0" fontId="120" fillId="13" borderId="0" applyNumberFormat="0" applyBorder="0" applyAlignment="0" applyProtection="0"/>
    <xf numFmtId="0" fontId="121" fillId="0" borderId="23" applyNumberFormat="0" applyFill="0" applyAlignment="0" applyProtection="0"/>
    <xf numFmtId="0" fontId="122" fillId="43" borderId="17" applyNumberFormat="0" applyAlignment="0" applyProtection="0"/>
    <xf numFmtId="0" fontId="123" fillId="13" borderId="1" applyNumberFormat="0" applyAlignment="0" applyProtection="0"/>
    <xf numFmtId="0" fontId="124" fillId="5" borderId="0" applyNumberFormat="0" applyBorder="0" applyAlignment="0" applyProtection="0"/>
    <xf numFmtId="0" fontId="125" fillId="31" borderId="2" applyNumberFormat="0" applyAlignment="0" applyProtection="0"/>
    <xf numFmtId="0" fontId="114" fillId="0" borderId="24" applyNumberFormat="0" applyFill="0" applyAlignment="0" applyProtection="0"/>
  </cellStyleXfs>
  <cellXfs count="277">
    <xf numFmtId="0" fontId="0" fillId="0" borderId="0" xfId="0"/>
    <xf numFmtId="0" fontId="6" fillId="44" borderId="0" xfId="366" applyFont="1" applyFill="1" applyAlignment="1"/>
    <xf numFmtId="0" fontId="5" fillId="44" borderId="0" xfId="0" applyFont="1" applyFill="1"/>
    <xf numFmtId="0" fontId="126" fillId="44" borderId="0" xfId="0" applyFont="1" applyFill="1"/>
    <xf numFmtId="0" fontId="7" fillId="44" borderId="0" xfId="366" applyFont="1" applyFill="1"/>
    <xf numFmtId="0" fontId="8" fillId="44" borderId="0" xfId="366" applyFont="1" applyFill="1"/>
    <xf numFmtId="0" fontId="9" fillId="44" borderId="0" xfId="366" applyFont="1" applyFill="1"/>
    <xf numFmtId="0" fontId="9" fillId="44" borderId="0" xfId="366" applyFont="1" applyFill="1" applyBorder="1"/>
    <xf numFmtId="0" fontId="7" fillId="44" borderId="0" xfId="366" applyFont="1" applyFill="1" applyProtection="1">
      <protection locked="0"/>
    </xf>
    <xf numFmtId="0" fontId="10" fillId="44" borderId="0" xfId="366" applyFont="1" applyFill="1" applyAlignment="1" applyProtection="1">
      <protection locked="0"/>
    </xf>
    <xf numFmtId="0" fontId="8" fillId="44" borderId="0" xfId="366" applyFont="1" applyFill="1" applyAlignment="1" applyProtection="1">
      <protection locked="0"/>
    </xf>
    <xf numFmtId="0" fontId="9" fillId="44" borderId="0" xfId="366" applyFont="1" applyFill="1" applyProtection="1">
      <protection locked="0"/>
    </xf>
    <xf numFmtId="0" fontId="9" fillId="44" borderId="0" xfId="366" applyFont="1" applyFill="1" applyBorder="1" applyProtection="1">
      <protection locked="0"/>
    </xf>
    <xf numFmtId="0" fontId="8" fillId="44" borderId="0" xfId="366" applyFont="1" applyFill="1" applyProtection="1">
      <protection locked="0"/>
    </xf>
    <xf numFmtId="0" fontId="9" fillId="44" borderId="0" xfId="366" applyFont="1" applyFill="1" applyAlignment="1">
      <alignment horizontal="right" vertical="center"/>
    </xf>
    <xf numFmtId="0" fontId="11" fillId="0" borderId="25" xfId="366" applyFont="1" applyFill="1" applyBorder="1" applyAlignment="1">
      <alignment horizontal="center" vertical="center" wrapText="1"/>
    </xf>
    <xf numFmtId="0" fontId="11" fillId="0" borderId="26" xfId="366" applyFont="1" applyFill="1" applyBorder="1" applyAlignment="1">
      <alignment horizontal="center" vertical="center" wrapText="1"/>
    </xf>
    <xf numFmtId="0" fontId="11" fillId="0" borderId="27" xfId="366" applyFont="1" applyFill="1" applyBorder="1" applyAlignment="1">
      <alignment horizontal="center" vertical="center" wrapText="1"/>
    </xf>
    <xf numFmtId="0" fontId="11" fillId="0" borderId="28" xfId="366" applyFont="1" applyFill="1" applyBorder="1" applyAlignment="1">
      <alignment horizontal="center" vertical="center" wrapText="1"/>
    </xf>
    <xf numFmtId="0" fontId="13" fillId="44" borderId="0" xfId="366" applyFont="1" applyFill="1" applyBorder="1" applyAlignment="1">
      <alignment horizontal="center"/>
    </xf>
    <xf numFmtId="0" fontId="14" fillId="36" borderId="13" xfId="0" applyFont="1" applyFill="1" applyBorder="1" applyAlignment="1">
      <alignment wrapText="1"/>
    </xf>
    <xf numFmtId="0" fontId="8" fillId="44" borderId="0" xfId="366" applyFont="1" applyFill="1" applyBorder="1"/>
    <xf numFmtId="0" fontId="8" fillId="44" borderId="0" xfId="366" applyFont="1" applyFill="1" applyAlignment="1">
      <alignment horizontal="center"/>
    </xf>
    <xf numFmtId="49" fontId="7" fillId="44" borderId="0" xfId="366" applyNumberFormat="1" applyFont="1" applyFill="1" applyBorder="1" applyAlignment="1">
      <alignment horizontal="center"/>
    </xf>
    <xf numFmtId="2" fontId="9" fillId="44" borderId="0" xfId="366" applyNumberFormat="1" applyFont="1" applyFill="1" applyBorder="1" applyAlignment="1">
      <alignment vertical="center" wrapText="1"/>
    </xf>
    <xf numFmtId="0" fontId="9" fillId="44" borderId="0" xfId="366" applyFont="1" applyFill="1" applyBorder="1" applyAlignment="1">
      <alignment wrapText="1"/>
    </xf>
    <xf numFmtId="49" fontId="15" fillId="44" borderId="0" xfId="366" applyNumberFormat="1" applyFont="1" applyFill="1" applyBorder="1" applyAlignment="1">
      <alignment horizontal="center"/>
    </xf>
    <xf numFmtId="49" fontId="7" fillId="44" borderId="0" xfId="366" applyNumberFormat="1" applyFont="1" applyFill="1" applyBorder="1" applyAlignment="1">
      <alignment horizontal="right"/>
    </xf>
    <xf numFmtId="0" fontId="9" fillId="44" borderId="0" xfId="366" applyFont="1" applyFill="1" applyBorder="1" applyAlignment="1">
      <alignment horizontal="right"/>
    </xf>
    <xf numFmtId="49" fontId="7" fillId="44" borderId="0" xfId="366" applyNumberFormat="1" applyFont="1" applyFill="1" applyBorder="1" applyAlignment="1">
      <alignment horizontal="right" wrapText="1"/>
    </xf>
    <xf numFmtId="2" fontId="8" fillId="44" borderId="0" xfId="366" applyNumberFormat="1" applyFont="1" applyFill="1" applyBorder="1" applyAlignment="1">
      <alignment vertical="center" wrapText="1"/>
    </xf>
    <xf numFmtId="0" fontId="8" fillId="44" borderId="0" xfId="366" applyFont="1" applyFill="1" applyBorder="1" applyAlignment="1">
      <alignment wrapText="1"/>
    </xf>
    <xf numFmtId="0" fontId="15" fillId="44" borderId="0" xfId="366" applyFont="1" applyFill="1" applyBorder="1" applyAlignment="1">
      <alignment horizontal="center"/>
    </xf>
    <xf numFmtId="0" fontId="7" fillId="44" borderId="0" xfId="366" applyFont="1" applyFill="1" applyBorder="1" applyAlignment="1">
      <alignment horizontal="center"/>
    </xf>
    <xf numFmtId="0" fontId="8" fillId="44" borderId="0" xfId="366" applyFont="1" applyFill="1" applyBorder="1" applyAlignment="1">
      <alignment horizontal="center"/>
    </xf>
    <xf numFmtId="0" fontId="16" fillId="44" borderId="0" xfId="0" applyFont="1" applyFill="1"/>
    <xf numFmtId="0" fontId="14" fillId="44" borderId="0" xfId="0" applyFont="1" applyFill="1"/>
    <xf numFmtId="0" fontId="9" fillId="44" borderId="0" xfId="0" applyFont="1" applyFill="1"/>
    <xf numFmtId="0" fontId="9" fillId="44" borderId="0" xfId="0" applyFont="1" applyFill="1" applyAlignment="1">
      <alignment horizontal="center"/>
    </xf>
    <xf numFmtId="0" fontId="5" fillId="44" borderId="0" xfId="0" applyFont="1" applyFill="1" applyAlignment="1">
      <alignment horizontal="right"/>
    </xf>
    <xf numFmtId="0" fontId="5" fillId="36" borderId="13" xfId="0" applyFont="1" applyFill="1" applyBorder="1" applyAlignment="1">
      <alignment horizontal="center" vertical="center"/>
    </xf>
    <xf numFmtId="0" fontId="18" fillId="36" borderId="13" xfId="0" applyFont="1" applyFill="1" applyBorder="1" applyAlignment="1">
      <alignment horizontal="left" vertical="center" wrapText="1"/>
    </xf>
    <xf numFmtId="0" fontId="18" fillId="36" borderId="13" xfId="0" applyFont="1" applyFill="1" applyBorder="1" applyAlignment="1">
      <alignment horizontal="center" vertical="center" wrapText="1"/>
    </xf>
    <xf numFmtId="0" fontId="5" fillId="44" borderId="0" xfId="0" applyFont="1" applyFill="1" applyAlignment="1">
      <alignment horizontal="center"/>
    </xf>
    <xf numFmtId="0" fontId="20" fillId="0" borderId="13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center" wrapText="1"/>
    </xf>
    <xf numFmtId="43" fontId="20" fillId="0" borderId="13" xfId="124" applyFont="1" applyBorder="1" applyAlignment="1">
      <alignment horizontal="left" vertical="center" wrapText="1"/>
    </xf>
    <xf numFmtId="10" fontId="20" fillId="44" borderId="0" xfId="555" applyNumberFormat="1" applyFont="1" applyFill="1" applyAlignment="1">
      <alignment horizontal="left" vertical="center" wrapText="1"/>
    </xf>
    <xf numFmtId="0" fontId="20" fillId="44" borderId="0" xfId="0" applyFont="1" applyFill="1" applyAlignment="1">
      <alignment horizontal="left" vertical="center" wrapText="1"/>
    </xf>
    <xf numFmtId="0" fontId="127" fillId="36" borderId="13" xfId="0" applyFont="1" applyFill="1" applyBorder="1"/>
    <xf numFmtId="0" fontId="16" fillId="36" borderId="13" xfId="0" applyFont="1" applyFill="1" applyBorder="1"/>
    <xf numFmtId="43" fontId="16" fillId="36" borderId="13" xfId="124" applyFont="1" applyFill="1" applyBorder="1"/>
    <xf numFmtId="43" fontId="18" fillId="44" borderId="0" xfId="555" applyNumberFormat="1" applyFont="1" applyFill="1" applyAlignment="1">
      <alignment horizontal="center"/>
    </xf>
    <xf numFmtId="43" fontId="5" fillId="44" borderId="0" xfId="0" applyNumberFormat="1" applyFont="1" applyFill="1"/>
    <xf numFmtId="0" fontId="21" fillId="44" borderId="0" xfId="0" applyFont="1" applyFill="1"/>
    <xf numFmtId="10" fontId="18" fillId="44" borderId="0" xfId="555" applyNumberFormat="1" applyFont="1" applyFill="1" applyAlignment="1">
      <alignment horizontal="center"/>
    </xf>
    <xf numFmtId="0" fontId="9" fillId="0" borderId="13" xfId="0" applyFont="1" applyBorder="1" applyAlignment="1">
      <alignment horizontal="left" vertical="center" wrapText="1"/>
    </xf>
    <xf numFmtId="0" fontId="8" fillId="36" borderId="13" xfId="0" applyFont="1" applyFill="1" applyBorder="1" applyAlignment="1">
      <alignment horizontal="center" vertical="center" wrapText="1"/>
    </xf>
    <xf numFmtId="0" fontId="20" fillId="44" borderId="13" xfId="0" applyFont="1" applyFill="1" applyBorder="1" applyAlignment="1">
      <alignment horizontal="center" vertical="center" wrapText="1"/>
    </xf>
    <xf numFmtId="0" fontId="20" fillId="44" borderId="13" xfId="0" applyFont="1" applyFill="1" applyBorder="1" applyAlignment="1">
      <alignment horizontal="left" vertical="center" wrapText="1"/>
    </xf>
    <xf numFmtId="43" fontId="20" fillId="44" borderId="13" xfId="124" applyFont="1" applyFill="1" applyBorder="1" applyAlignment="1">
      <alignment horizontal="left" vertical="center" wrapText="1"/>
    </xf>
    <xf numFmtId="0" fontId="14" fillId="44" borderId="0" xfId="0" applyFont="1" applyFill="1" applyAlignment="1">
      <alignment wrapText="1"/>
    </xf>
    <xf numFmtId="9" fontId="14" fillId="36" borderId="13" xfId="0" applyNumberFormat="1" applyFont="1" applyFill="1" applyBorder="1" applyAlignment="1">
      <alignment horizontal="center" vertical="center"/>
    </xf>
    <xf numFmtId="43" fontId="14" fillId="36" borderId="13" xfId="124" applyFont="1" applyFill="1" applyBorder="1" applyAlignment="1">
      <alignment horizontal="center" vertical="center"/>
    </xf>
    <xf numFmtId="41" fontId="14" fillId="44" borderId="0" xfId="0" applyNumberFormat="1" applyFont="1" applyFill="1"/>
    <xf numFmtId="0" fontId="5" fillId="44" borderId="0" xfId="0" applyFont="1" applyFill="1" applyAlignment="1">
      <alignment horizontal="left" vertical="top" wrapText="1"/>
    </xf>
    <xf numFmtId="43" fontId="5" fillId="36" borderId="13" xfId="124" applyFont="1" applyFill="1" applyBorder="1" applyAlignment="1">
      <alignment horizontal="center" vertical="center"/>
    </xf>
    <xf numFmtId="43" fontId="5" fillId="44" borderId="29" xfId="124" applyFont="1" applyFill="1" applyBorder="1" applyAlignment="1">
      <alignment horizontal="center" vertical="center"/>
    </xf>
    <xf numFmtId="43" fontId="23" fillId="44" borderId="30" xfId="124" applyFont="1" applyFill="1" applyBorder="1" applyAlignment="1">
      <alignment horizontal="center" vertical="center"/>
    </xf>
    <xf numFmtId="43" fontId="5" fillId="44" borderId="13" xfId="124" applyFont="1" applyFill="1" applyBorder="1" applyAlignment="1">
      <alignment horizontal="center" vertical="center"/>
    </xf>
    <xf numFmtId="0" fontId="5" fillId="44" borderId="0" xfId="0" applyFont="1" applyFill="1" applyAlignment="1">
      <alignment horizontal="center" vertical="center"/>
    </xf>
    <xf numFmtId="43" fontId="5" fillId="44" borderId="0" xfId="124" applyFont="1" applyFill="1" applyAlignment="1">
      <alignment horizontal="center" vertical="center"/>
    </xf>
    <xf numFmtId="0" fontId="5" fillId="44" borderId="31" xfId="0" applyFont="1" applyFill="1" applyBorder="1" applyAlignment="1">
      <alignment horizontal="left" vertical="top" wrapText="1"/>
    </xf>
    <xf numFmtId="0" fontId="5" fillId="44" borderId="29" xfId="0" applyFont="1" applyFill="1" applyBorder="1" applyAlignment="1">
      <alignment horizontal="center" vertical="center"/>
    </xf>
    <xf numFmtId="0" fontId="14" fillId="36" borderId="13" xfId="0" applyFont="1" applyFill="1" applyBorder="1" applyAlignment="1">
      <alignment vertical="center" wrapText="1"/>
    </xf>
    <xf numFmtId="0" fontId="23" fillId="44" borderId="31" xfId="0" applyFont="1" applyFill="1" applyBorder="1" applyAlignment="1">
      <alignment horizontal="left" vertical="top" wrapText="1"/>
    </xf>
    <xf numFmtId="0" fontId="23" fillId="44" borderId="31" xfId="0" applyFont="1" applyFill="1" applyBorder="1" applyAlignment="1">
      <alignment wrapText="1"/>
    </xf>
    <xf numFmtId="0" fontId="23" fillId="44" borderId="31" xfId="0" applyFont="1" applyFill="1" applyBorder="1" applyAlignment="1">
      <alignment vertical="center" wrapText="1"/>
    </xf>
    <xf numFmtId="0" fontId="24" fillId="36" borderId="32" xfId="0" applyFont="1" applyFill="1" applyBorder="1" applyAlignment="1">
      <alignment wrapText="1"/>
    </xf>
    <xf numFmtId="0" fontId="14" fillId="36" borderId="33" xfId="0" applyFont="1" applyFill="1" applyBorder="1" applyAlignment="1">
      <alignment horizontal="center" vertical="center"/>
    </xf>
    <xf numFmtId="43" fontId="14" fillId="36" borderId="34" xfId="124" applyFont="1" applyFill="1" applyBorder="1" applyAlignment="1">
      <alignment horizontal="center" vertical="center"/>
    </xf>
    <xf numFmtId="0" fontId="9" fillId="44" borderId="0" xfId="0" applyFont="1" applyFill="1" applyBorder="1"/>
    <xf numFmtId="0" fontId="9" fillId="44" borderId="0" xfId="0" applyFont="1" applyFill="1" applyBorder="1" applyProtection="1">
      <protection locked="0"/>
    </xf>
    <xf numFmtId="2" fontId="9" fillId="44" borderId="0" xfId="0" applyNumberFormat="1" applyFont="1" applyFill="1" applyBorder="1" applyAlignment="1" applyProtection="1">
      <alignment vertical="center" wrapText="1"/>
      <protection locked="0"/>
    </xf>
    <xf numFmtId="43" fontId="20" fillId="36" borderId="13" xfId="124" applyFont="1" applyFill="1" applyBorder="1" applyAlignment="1">
      <alignment horizontal="left" vertical="center" wrapText="1"/>
    </xf>
    <xf numFmtId="0" fontId="128" fillId="36" borderId="35" xfId="0" applyFont="1" applyFill="1" applyBorder="1" applyAlignment="1" applyProtection="1">
      <alignment horizontal="center" vertical="center"/>
      <protection hidden="1"/>
    </xf>
    <xf numFmtId="0" fontId="126" fillId="44" borderId="0" xfId="0" applyFont="1" applyFill="1" applyProtection="1">
      <protection hidden="1"/>
    </xf>
    <xf numFmtId="0" fontId="126" fillId="44" borderId="0" xfId="0" applyFont="1" applyFill="1" applyAlignment="1" applyProtection="1">
      <alignment horizontal="right"/>
      <protection hidden="1"/>
    </xf>
    <xf numFmtId="0" fontId="126" fillId="44" borderId="36" xfId="0" applyFont="1" applyFill="1" applyBorder="1" applyAlignment="1" applyProtection="1">
      <alignment horizontal="center" vertical="center" wrapText="1"/>
      <protection hidden="1"/>
    </xf>
    <xf numFmtId="0" fontId="126" fillId="44" borderId="37" xfId="0" applyFont="1" applyFill="1" applyBorder="1" applyProtection="1">
      <protection hidden="1"/>
    </xf>
    <xf numFmtId="0" fontId="5" fillId="44" borderId="25" xfId="0" applyFont="1" applyFill="1" applyBorder="1" applyAlignment="1" applyProtection="1">
      <alignment horizontal="center" vertical="center"/>
      <protection hidden="1"/>
    </xf>
    <xf numFmtId="165" fontId="126" fillId="44" borderId="25" xfId="0" applyNumberFormat="1" applyFont="1" applyFill="1" applyBorder="1" applyAlignment="1" applyProtection="1">
      <alignment horizontal="center"/>
      <protection hidden="1"/>
    </xf>
    <xf numFmtId="43" fontId="5" fillId="44" borderId="25" xfId="124" applyFont="1" applyFill="1" applyBorder="1" applyProtection="1">
      <protection hidden="1"/>
    </xf>
    <xf numFmtId="9" fontId="126" fillId="44" borderId="25" xfId="0" applyNumberFormat="1" applyFont="1" applyFill="1" applyBorder="1" applyAlignment="1" applyProtection="1">
      <alignment horizontal="center"/>
      <protection hidden="1"/>
    </xf>
    <xf numFmtId="43" fontId="5" fillId="44" borderId="38" xfId="124" applyFont="1" applyFill="1" applyBorder="1" applyAlignment="1" applyProtection="1">
      <alignment horizontal="center"/>
      <protection hidden="1"/>
    </xf>
    <xf numFmtId="9" fontId="126" fillId="45" borderId="25" xfId="0" applyNumberFormat="1" applyFont="1" applyFill="1" applyBorder="1" applyAlignment="1" applyProtection="1">
      <alignment horizontal="center"/>
      <protection hidden="1"/>
    </xf>
    <xf numFmtId="43" fontId="5" fillId="45" borderId="38" xfId="124" applyFont="1" applyFill="1" applyBorder="1" applyAlignment="1" applyProtection="1">
      <alignment horizontal="center"/>
      <protection hidden="1"/>
    </xf>
    <xf numFmtId="0" fontId="126" fillId="44" borderId="39" xfId="0" applyFont="1" applyFill="1" applyBorder="1" applyProtection="1">
      <protection hidden="1"/>
    </xf>
    <xf numFmtId="0" fontId="5" fillId="44" borderId="13" xfId="0" applyFont="1" applyFill="1" applyBorder="1" applyAlignment="1" applyProtection="1">
      <alignment horizontal="center" vertical="center"/>
      <protection hidden="1"/>
    </xf>
    <xf numFmtId="165" fontId="126" fillId="44" borderId="13" xfId="0" applyNumberFormat="1" applyFont="1" applyFill="1" applyBorder="1" applyAlignment="1" applyProtection="1">
      <alignment horizontal="center"/>
      <protection hidden="1"/>
    </xf>
    <xf numFmtId="43" fontId="5" fillId="44" borderId="13" xfId="124" applyFont="1" applyFill="1" applyBorder="1" applyProtection="1">
      <protection hidden="1"/>
    </xf>
    <xf numFmtId="9" fontId="126" fillId="44" borderId="13" xfId="0" applyNumberFormat="1" applyFont="1" applyFill="1" applyBorder="1" applyAlignment="1" applyProtection="1">
      <alignment horizontal="center"/>
      <protection hidden="1"/>
    </xf>
    <xf numFmtId="43" fontId="5" fillId="44" borderId="40" xfId="124" applyFont="1" applyFill="1" applyBorder="1" applyAlignment="1" applyProtection="1">
      <alignment horizontal="center"/>
      <protection hidden="1"/>
    </xf>
    <xf numFmtId="9" fontId="126" fillId="45" borderId="13" xfId="0" applyNumberFormat="1" applyFont="1" applyFill="1" applyBorder="1" applyAlignment="1" applyProtection="1">
      <alignment horizontal="center"/>
      <protection hidden="1"/>
    </xf>
    <xf numFmtId="43" fontId="5" fillId="45" borderId="40" xfId="124" applyFont="1" applyFill="1" applyBorder="1" applyAlignment="1" applyProtection="1">
      <alignment horizontal="center"/>
      <protection hidden="1"/>
    </xf>
    <xf numFmtId="0" fontId="126" fillId="45" borderId="13" xfId="0" applyFont="1" applyFill="1" applyBorder="1" applyAlignment="1" applyProtection="1">
      <alignment horizontal="center"/>
      <protection hidden="1"/>
    </xf>
    <xf numFmtId="10" fontId="126" fillId="44" borderId="13" xfId="0" applyNumberFormat="1" applyFont="1" applyFill="1" applyBorder="1" applyAlignment="1" applyProtection="1">
      <alignment horizontal="center"/>
      <protection hidden="1"/>
    </xf>
    <xf numFmtId="10" fontId="126" fillId="45" borderId="13" xfId="0" applyNumberFormat="1" applyFont="1" applyFill="1" applyBorder="1" applyAlignment="1" applyProtection="1">
      <alignment horizontal="center"/>
      <protection hidden="1"/>
    </xf>
    <xf numFmtId="0" fontId="126" fillId="44" borderId="41" xfId="0" applyFont="1" applyFill="1" applyBorder="1" applyProtection="1">
      <protection hidden="1"/>
    </xf>
    <xf numFmtId="0" fontId="5" fillId="44" borderId="42" xfId="0" applyFont="1" applyFill="1" applyBorder="1" applyAlignment="1" applyProtection="1">
      <alignment horizontal="center" vertical="center"/>
      <protection hidden="1"/>
    </xf>
    <xf numFmtId="165" fontId="126" fillId="44" borderId="42" xfId="0" applyNumberFormat="1" applyFont="1" applyFill="1" applyBorder="1" applyAlignment="1" applyProtection="1">
      <alignment horizontal="center"/>
      <protection hidden="1"/>
    </xf>
    <xf numFmtId="43" fontId="5" fillId="44" borderId="42" xfId="124" applyFont="1" applyFill="1" applyBorder="1" applyProtection="1">
      <protection hidden="1"/>
    </xf>
    <xf numFmtId="9" fontId="126" fillId="44" borderId="42" xfId="0" applyNumberFormat="1" applyFont="1" applyFill="1" applyBorder="1" applyAlignment="1" applyProtection="1">
      <alignment horizontal="center"/>
      <protection hidden="1"/>
    </xf>
    <xf numFmtId="43" fontId="5" fillId="44" borderId="43" xfId="124" applyFont="1" applyFill="1" applyBorder="1" applyAlignment="1" applyProtection="1">
      <alignment horizontal="center"/>
      <protection hidden="1"/>
    </xf>
    <xf numFmtId="0" fontId="9" fillId="44" borderId="0" xfId="0" applyFont="1" applyFill="1" applyProtection="1">
      <protection hidden="1"/>
    </xf>
    <xf numFmtId="0" fontId="5" fillId="44" borderId="0" xfId="0" applyFont="1" applyFill="1" applyProtection="1">
      <protection hidden="1"/>
    </xf>
    <xf numFmtId="0" fontId="9" fillId="44" borderId="0" xfId="0" applyFont="1" applyFill="1" applyAlignment="1" applyProtection="1">
      <alignment horizontal="right"/>
      <protection hidden="1"/>
    </xf>
    <xf numFmtId="0" fontId="5" fillId="44" borderId="0" xfId="0" applyFont="1" applyFill="1" applyAlignment="1" applyProtection="1">
      <alignment horizontal="right"/>
      <protection hidden="1"/>
    </xf>
    <xf numFmtId="0" fontId="8" fillId="36" borderId="35" xfId="0" applyFont="1" applyFill="1" applyBorder="1" applyAlignment="1" applyProtection="1">
      <alignment vertical="center"/>
      <protection hidden="1"/>
    </xf>
    <xf numFmtId="0" fontId="16" fillId="36" borderId="35" xfId="0" applyFont="1" applyFill="1" applyBorder="1" applyAlignment="1" applyProtection="1">
      <alignment horizontal="center" vertical="center" wrapText="1"/>
      <protection hidden="1"/>
    </xf>
    <xf numFmtId="0" fontId="20" fillId="0" borderId="35" xfId="0" applyFont="1" applyBorder="1" applyAlignment="1" applyProtection="1">
      <alignment horizontal="center" vertical="center"/>
      <protection hidden="1"/>
    </xf>
    <xf numFmtId="0" fontId="20" fillId="0" borderId="35" xfId="0" applyFont="1" applyBorder="1" applyAlignment="1" applyProtection="1">
      <alignment horizontal="left" vertical="center" wrapText="1"/>
      <protection hidden="1"/>
    </xf>
    <xf numFmtId="43" fontId="18" fillId="36" borderId="35" xfId="124" applyFont="1" applyFill="1" applyBorder="1" applyAlignment="1" applyProtection="1">
      <alignment horizontal="left" vertical="center"/>
      <protection hidden="1"/>
    </xf>
    <xf numFmtId="0" fontId="18" fillId="44" borderId="0" xfId="0" applyFont="1" applyFill="1" applyAlignment="1" applyProtection="1">
      <alignment horizontal="left" vertical="center"/>
      <protection hidden="1"/>
    </xf>
    <xf numFmtId="43" fontId="5" fillId="36" borderId="35" xfId="124" applyFont="1" applyFill="1" applyBorder="1" applyProtection="1">
      <protection hidden="1"/>
    </xf>
    <xf numFmtId="43" fontId="18" fillId="36" borderId="35" xfId="124" applyFont="1" applyFill="1" applyBorder="1" applyAlignment="1" applyProtection="1">
      <alignment vertical="center"/>
      <protection hidden="1"/>
    </xf>
    <xf numFmtId="0" fontId="18" fillId="36" borderId="35" xfId="0" applyFont="1" applyFill="1" applyBorder="1" applyAlignment="1" applyProtection="1">
      <alignment horizontal="left" vertical="center" wrapText="1"/>
      <protection hidden="1"/>
    </xf>
    <xf numFmtId="0" fontId="18" fillId="44" borderId="0" xfId="0" applyFont="1" applyFill="1" applyAlignment="1" applyProtection="1">
      <alignment horizontal="center" vertical="center"/>
      <protection hidden="1"/>
    </xf>
    <xf numFmtId="0" fontId="18" fillId="44" borderId="0" xfId="0" applyFont="1" applyFill="1" applyAlignment="1" applyProtection="1">
      <alignment horizontal="left" vertical="center" wrapText="1"/>
      <protection hidden="1"/>
    </xf>
    <xf numFmtId="164" fontId="126" fillId="44" borderId="0" xfId="0" applyNumberFormat="1" applyFont="1" applyFill="1" applyProtection="1">
      <protection hidden="1"/>
    </xf>
    <xf numFmtId="0" fontId="9" fillId="44" borderId="0" xfId="0" applyFont="1" applyFill="1" applyAlignment="1" applyProtection="1">
      <alignment horizontal="center"/>
      <protection hidden="1"/>
    </xf>
    <xf numFmtId="43" fontId="5" fillId="0" borderId="13" xfId="124" applyFont="1" applyFill="1" applyBorder="1" applyAlignment="1">
      <alignment horizontal="center" vertical="center"/>
    </xf>
    <xf numFmtId="0" fontId="8" fillId="44" borderId="0" xfId="0" applyFont="1" applyFill="1" applyAlignment="1" applyProtection="1">
      <protection locked="0"/>
    </xf>
    <xf numFmtId="2" fontId="129" fillId="0" borderId="38" xfId="305" applyNumberFormat="1" applyFont="1" applyBorder="1" applyAlignment="1">
      <alignment vertical="center" wrapText="1"/>
    </xf>
    <xf numFmtId="2" fontId="129" fillId="0" borderId="40" xfId="305" applyNumberFormat="1" applyFont="1" applyBorder="1" applyAlignment="1">
      <alignment vertical="center" wrapText="1"/>
    </xf>
    <xf numFmtId="2" fontId="129" fillId="0" borderId="43" xfId="305" applyNumberFormat="1" applyFont="1" applyBorder="1" applyAlignment="1">
      <alignment vertical="center" wrapText="1"/>
    </xf>
    <xf numFmtId="2" fontId="129" fillId="44" borderId="43" xfId="0" applyNumberFormat="1" applyFont="1" applyFill="1" applyBorder="1" applyAlignment="1">
      <alignment vertical="center" wrapText="1"/>
    </xf>
    <xf numFmtId="0" fontId="9" fillId="44" borderId="44" xfId="0" applyFont="1" applyFill="1" applyBorder="1" applyAlignment="1">
      <alignment vertical="center" wrapText="1"/>
    </xf>
    <xf numFmtId="0" fontId="9" fillId="44" borderId="43" xfId="0" applyFont="1" applyFill="1" applyBorder="1" applyAlignment="1">
      <alignment vertical="center" wrapText="1"/>
    </xf>
    <xf numFmtId="0" fontId="9" fillId="44" borderId="40" xfId="0" applyFont="1" applyFill="1" applyBorder="1" applyAlignment="1">
      <alignment vertical="center" wrapText="1"/>
    </xf>
    <xf numFmtId="2" fontId="9" fillId="44" borderId="44" xfId="0" applyNumberFormat="1" applyFont="1" applyFill="1" applyBorder="1" applyAlignment="1">
      <alignment vertical="center" wrapText="1"/>
    </xf>
    <xf numFmtId="0" fontId="9" fillId="44" borderId="44" xfId="0" applyFont="1" applyFill="1" applyBorder="1" applyAlignment="1">
      <alignment wrapText="1"/>
    </xf>
    <xf numFmtId="0" fontId="9" fillId="44" borderId="44" xfId="0" applyFont="1" applyFill="1" applyBorder="1" applyAlignment="1">
      <alignment horizontal="left" wrapText="1"/>
    </xf>
    <xf numFmtId="0" fontId="129" fillId="44" borderId="38" xfId="0" applyFont="1" applyFill="1" applyBorder="1" applyAlignment="1">
      <alignment vertical="center" wrapText="1"/>
    </xf>
    <xf numFmtId="0" fontId="9" fillId="44" borderId="43" xfId="0" applyFont="1" applyFill="1" applyBorder="1" applyAlignment="1">
      <alignment wrapText="1"/>
    </xf>
    <xf numFmtId="0" fontId="9" fillId="0" borderId="45" xfId="0" applyFont="1" applyFill="1" applyBorder="1" applyAlignment="1">
      <alignment wrapText="1"/>
    </xf>
    <xf numFmtId="0" fontId="8" fillId="36" borderId="46" xfId="366" applyFont="1" applyFill="1" applyBorder="1" applyAlignment="1">
      <alignment horizontal="center" vertical="center" wrapText="1"/>
    </xf>
    <xf numFmtId="166" fontId="130" fillId="46" borderId="47" xfId="141" applyNumberFormat="1" applyFont="1" applyFill="1" applyBorder="1"/>
    <xf numFmtId="166" fontId="130" fillId="46" borderId="48" xfId="141" applyNumberFormat="1" applyFont="1" applyFill="1" applyBorder="1"/>
    <xf numFmtId="166" fontId="130" fillId="46" borderId="27" xfId="141" applyNumberFormat="1" applyFont="1" applyFill="1" applyBorder="1"/>
    <xf numFmtId="166" fontId="130" fillId="46" borderId="28" xfId="141" applyNumberFormat="1" applyFont="1" applyFill="1" applyBorder="1"/>
    <xf numFmtId="166" fontId="130" fillId="0" borderId="49" xfId="141" applyNumberFormat="1" applyFont="1" applyBorder="1" applyAlignment="1" applyProtection="1">
      <alignment vertical="center" wrapText="1"/>
      <protection locked="0"/>
    </xf>
    <xf numFmtId="166" fontId="130" fillId="0" borderId="30" xfId="141" applyNumberFormat="1" applyFont="1" applyBorder="1" applyAlignment="1" applyProtection="1">
      <alignment vertical="center" wrapText="1"/>
      <protection locked="0"/>
    </xf>
    <xf numFmtId="166" fontId="130" fillId="0" borderId="50" xfId="141" applyNumberFormat="1" applyFont="1" applyBorder="1" applyAlignment="1" applyProtection="1">
      <alignment vertical="center" wrapText="1"/>
      <protection locked="0"/>
    </xf>
    <xf numFmtId="166" fontId="130" fillId="0" borderId="44" xfId="141" applyNumberFormat="1" applyFont="1" applyBorder="1" applyAlignment="1" applyProtection="1">
      <alignment vertical="center" wrapText="1"/>
      <protection locked="0"/>
    </xf>
    <xf numFmtId="166" fontId="130" fillId="0" borderId="39" xfId="141" applyNumberFormat="1" applyFont="1" applyBorder="1" applyAlignment="1" applyProtection="1">
      <alignment vertical="center" wrapText="1"/>
      <protection locked="0"/>
    </xf>
    <xf numFmtId="166" fontId="130" fillId="0" borderId="13" xfId="141" applyNumberFormat="1" applyFont="1" applyBorder="1" applyAlignment="1" applyProtection="1">
      <alignment vertical="center" wrapText="1"/>
      <protection locked="0"/>
    </xf>
    <xf numFmtId="166" fontId="130" fillId="0" borderId="31" xfId="141" applyNumberFormat="1" applyFont="1" applyBorder="1" applyAlignment="1" applyProtection="1">
      <alignment vertical="center" wrapText="1"/>
      <protection locked="0"/>
    </xf>
    <xf numFmtId="166" fontId="130" fillId="0" borderId="40" xfId="141" applyNumberFormat="1" applyFont="1" applyBorder="1" applyAlignment="1" applyProtection="1">
      <alignment vertical="center" wrapText="1"/>
      <protection locked="0"/>
    </xf>
    <xf numFmtId="166" fontId="130" fillId="0" borderId="51" xfId="141" applyNumberFormat="1" applyFont="1" applyFill="1" applyBorder="1" applyAlignment="1">
      <alignment vertical="center" wrapText="1"/>
    </xf>
    <xf numFmtId="166" fontId="130" fillId="0" borderId="3" xfId="141" applyNumberFormat="1" applyFont="1" applyFill="1" applyBorder="1" applyAlignment="1">
      <alignment vertical="center" wrapText="1"/>
    </xf>
    <xf numFmtId="166" fontId="130" fillId="0" borderId="52" xfId="141" applyNumberFormat="1" applyFont="1" applyFill="1" applyBorder="1" applyAlignment="1">
      <alignment vertical="center" wrapText="1"/>
    </xf>
    <xf numFmtId="166" fontId="130" fillId="0" borderId="45" xfId="141" applyNumberFormat="1" applyFont="1" applyFill="1" applyBorder="1" applyAlignment="1">
      <alignment vertical="center" wrapText="1"/>
    </xf>
    <xf numFmtId="166" fontId="130" fillId="47" borderId="47" xfId="141" applyNumberFormat="1" applyFont="1" applyFill="1" applyBorder="1" applyAlignment="1">
      <alignment wrapText="1"/>
    </xf>
    <xf numFmtId="166" fontId="130" fillId="47" borderId="48" xfId="141" applyNumberFormat="1" applyFont="1" applyFill="1" applyBorder="1" applyAlignment="1">
      <alignment wrapText="1"/>
    </xf>
    <xf numFmtId="166" fontId="130" fillId="47" borderId="27" xfId="141" applyNumberFormat="1" applyFont="1" applyFill="1" applyBorder="1" applyAlignment="1">
      <alignment wrapText="1"/>
    </xf>
    <xf numFmtId="166" fontId="130" fillId="47" borderId="28" xfId="141" applyNumberFormat="1" applyFont="1" applyFill="1" applyBorder="1" applyAlignment="1">
      <alignment wrapText="1"/>
    </xf>
    <xf numFmtId="166" fontId="130" fillId="47" borderId="49" xfId="141" applyNumberFormat="1" applyFont="1" applyFill="1" applyBorder="1" applyAlignment="1">
      <alignment wrapText="1"/>
    </xf>
    <xf numFmtId="166" fontId="130" fillId="47" borderId="30" xfId="141" applyNumberFormat="1" applyFont="1" applyFill="1" applyBorder="1" applyAlignment="1">
      <alignment wrapText="1"/>
    </xf>
    <xf numFmtId="166" fontId="130" fillId="47" borderId="44" xfId="141" applyNumberFormat="1" applyFont="1" applyFill="1" applyBorder="1" applyAlignment="1">
      <alignment wrapText="1"/>
    </xf>
    <xf numFmtId="166" fontId="130" fillId="47" borderId="51" xfId="141" applyNumberFormat="1" applyFont="1" applyFill="1" applyBorder="1" applyAlignment="1">
      <alignment wrapText="1"/>
    </xf>
    <xf numFmtId="166" fontId="130" fillId="47" borderId="3" xfId="141" applyNumberFormat="1" applyFont="1" applyFill="1" applyBorder="1" applyAlignment="1">
      <alignment wrapText="1"/>
    </xf>
    <xf numFmtId="166" fontId="130" fillId="47" borderId="45" xfId="141" applyNumberFormat="1" applyFont="1" applyFill="1" applyBorder="1" applyAlignment="1">
      <alignment wrapText="1"/>
    </xf>
    <xf numFmtId="166" fontId="130" fillId="0" borderId="47" xfId="141" applyNumberFormat="1" applyFont="1" applyBorder="1" applyAlignment="1" applyProtection="1">
      <alignment vertical="center" wrapText="1"/>
      <protection locked="0"/>
    </xf>
    <xf numFmtId="166" fontId="130" fillId="0" borderId="48" xfId="141" applyNumberFormat="1" applyFont="1" applyBorder="1" applyAlignment="1" applyProtection="1">
      <alignment vertical="center" wrapText="1"/>
      <protection locked="0"/>
    </xf>
    <xf numFmtId="166" fontId="130" fillId="0" borderId="27" xfId="141" applyNumberFormat="1" applyFont="1" applyBorder="1" applyAlignment="1" applyProtection="1">
      <alignment vertical="center" wrapText="1"/>
      <protection locked="0"/>
    </xf>
    <xf numFmtId="166" fontId="130" fillId="0" borderId="28" xfId="141" applyNumberFormat="1" applyFont="1" applyBorder="1" applyAlignment="1" applyProtection="1">
      <alignment vertical="center" wrapText="1"/>
      <protection locked="0"/>
    </xf>
    <xf numFmtId="166" fontId="130" fillId="36" borderId="47" xfId="141" applyNumberFormat="1" applyFont="1" applyFill="1" applyBorder="1" applyAlignment="1">
      <alignment wrapText="1"/>
    </xf>
    <xf numFmtId="166" fontId="130" fillId="36" borderId="48" xfId="141" applyNumberFormat="1" applyFont="1" applyFill="1" applyBorder="1" applyAlignment="1">
      <alignment wrapText="1"/>
    </xf>
    <xf numFmtId="166" fontId="130" fillId="36" borderId="27" xfId="141" applyNumberFormat="1" applyFont="1" applyFill="1" applyBorder="1" applyAlignment="1">
      <alignment wrapText="1"/>
    </xf>
    <xf numFmtId="166" fontId="130" fillId="36" borderId="28" xfId="141" applyNumberFormat="1" applyFont="1" applyFill="1" applyBorder="1" applyAlignment="1">
      <alignment wrapText="1"/>
    </xf>
    <xf numFmtId="166" fontId="130" fillId="0" borderId="53" xfId="141" applyNumberFormat="1" applyFont="1" applyBorder="1" applyAlignment="1" applyProtection="1">
      <alignment vertical="center" wrapText="1"/>
      <protection locked="0"/>
    </xf>
    <xf numFmtId="166" fontId="130" fillId="0" borderId="54" xfId="141" applyNumberFormat="1" applyFont="1" applyBorder="1" applyAlignment="1" applyProtection="1">
      <alignment vertical="center" wrapText="1"/>
      <protection locked="0"/>
    </xf>
    <xf numFmtId="166" fontId="130" fillId="0" borderId="55" xfId="141" applyNumberFormat="1" applyFont="1" applyBorder="1" applyAlignment="1" applyProtection="1">
      <alignment vertical="center" wrapText="1"/>
      <protection locked="0"/>
    </xf>
    <xf numFmtId="166" fontId="130" fillId="0" borderId="56" xfId="141" applyNumberFormat="1" applyFont="1" applyBorder="1" applyAlignment="1" applyProtection="1">
      <alignment vertical="center" wrapText="1"/>
      <protection locked="0"/>
    </xf>
    <xf numFmtId="166" fontId="130" fillId="47" borderId="47" xfId="141" applyNumberFormat="1" applyFont="1" applyFill="1" applyBorder="1" applyAlignment="1">
      <alignment vertical="center" wrapText="1"/>
    </xf>
    <xf numFmtId="166" fontId="130" fillId="47" borderId="48" xfId="141" applyNumberFormat="1" applyFont="1" applyFill="1" applyBorder="1" applyAlignment="1">
      <alignment vertical="center" wrapText="1"/>
    </xf>
    <xf numFmtId="166" fontId="130" fillId="47" borderId="27" xfId="141" applyNumberFormat="1" applyFont="1" applyFill="1" applyBorder="1" applyAlignment="1">
      <alignment vertical="center" wrapText="1"/>
    </xf>
    <xf numFmtId="166" fontId="130" fillId="47" borderId="28" xfId="141" applyNumberFormat="1" applyFont="1" applyFill="1" applyBorder="1" applyAlignment="1">
      <alignment vertical="center" wrapText="1"/>
    </xf>
    <xf numFmtId="166" fontId="130" fillId="0" borderId="3" xfId="141" applyNumberFormat="1" applyFont="1" applyBorder="1" applyAlignment="1" applyProtection="1">
      <alignment vertical="center" wrapText="1"/>
      <protection locked="0"/>
    </xf>
    <xf numFmtId="166" fontId="130" fillId="0" borderId="45" xfId="141" applyNumberFormat="1" applyFont="1" applyBorder="1" applyAlignment="1" applyProtection="1">
      <alignment vertical="center" wrapText="1"/>
      <protection locked="0"/>
    </xf>
    <xf numFmtId="166" fontId="130" fillId="47" borderId="52" xfId="141" applyNumberFormat="1" applyFont="1" applyFill="1" applyBorder="1" applyAlignment="1">
      <alignment wrapText="1"/>
    </xf>
    <xf numFmtId="166" fontId="130" fillId="0" borderId="49" xfId="141" applyNumberFormat="1" applyFont="1" applyFill="1" applyBorder="1" applyAlignment="1">
      <alignment vertical="center" wrapText="1"/>
    </xf>
    <xf numFmtId="166" fontId="130" fillId="0" borderId="30" xfId="141" applyNumberFormat="1" applyFont="1" applyFill="1" applyBorder="1" applyAlignment="1">
      <alignment vertical="center" wrapText="1"/>
    </xf>
    <xf numFmtId="166" fontId="130" fillId="0" borderId="44" xfId="141" applyNumberFormat="1" applyFont="1" applyFill="1" applyBorder="1" applyAlignment="1">
      <alignment vertical="center" wrapText="1"/>
    </xf>
    <xf numFmtId="166" fontId="130" fillId="0" borderId="51" xfId="141" applyNumberFormat="1" applyFont="1" applyBorder="1" applyAlignment="1" applyProtection="1">
      <alignment vertical="center" wrapText="1"/>
      <protection locked="0"/>
    </xf>
    <xf numFmtId="166" fontId="130" fillId="0" borderId="57" xfId="141" applyNumberFormat="1" applyFont="1" applyBorder="1" applyAlignment="1" applyProtection="1">
      <alignment vertical="center" wrapText="1"/>
      <protection locked="0"/>
    </xf>
    <xf numFmtId="166" fontId="130" fillId="0" borderId="26" xfId="141" applyNumberFormat="1" applyFont="1" applyBorder="1" applyAlignment="1" applyProtection="1">
      <alignment vertical="center" wrapText="1"/>
      <protection locked="0"/>
    </xf>
    <xf numFmtId="166" fontId="130" fillId="0" borderId="58" xfId="141" applyNumberFormat="1" applyFont="1" applyBorder="1" applyAlignment="1" applyProtection="1">
      <alignment vertical="center" wrapText="1"/>
      <protection locked="0"/>
    </xf>
    <xf numFmtId="166" fontId="130" fillId="36" borderId="59" xfId="141" applyNumberFormat="1" applyFont="1" applyFill="1" applyBorder="1" applyAlignment="1">
      <alignment horizontal="center"/>
    </xf>
    <xf numFmtId="166" fontId="130" fillId="36" borderId="60" xfId="141" applyNumberFormat="1" applyFont="1" applyFill="1" applyBorder="1" applyAlignment="1">
      <alignment horizontal="center"/>
    </xf>
    <xf numFmtId="166" fontId="130" fillId="36" borderId="61" xfId="141" applyNumberFormat="1" applyFont="1" applyFill="1" applyBorder="1" applyAlignment="1">
      <alignment horizontal="center"/>
    </xf>
    <xf numFmtId="166" fontId="9" fillId="44" borderId="0" xfId="366" applyNumberFormat="1" applyFont="1" applyFill="1" applyBorder="1"/>
    <xf numFmtId="49" fontId="24" fillId="49" borderId="62" xfId="0" applyNumberFormat="1" applyFont="1" applyFill="1" applyBorder="1" applyAlignment="1">
      <alignment horizontal="center" vertical="center"/>
    </xf>
    <xf numFmtId="0" fontId="15" fillId="49" borderId="62" xfId="0" applyFont="1" applyFill="1" applyBorder="1" applyAlignment="1">
      <alignment horizontal="center"/>
    </xf>
    <xf numFmtId="49" fontId="24" fillId="49" borderId="63" xfId="0" applyNumberFormat="1" applyFont="1" applyFill="1" applyBorder="1" applyAlignment="1">
      <alignment horizontal="center" vertical="center"/>
    </xf>
    <xf numFmtId="49" fontId="23" fillId="0" borderId="64" xfId="0" applyNumberFormat="1" applyFont="1" applyBorder="1" applyAlignment="1">
      <alignment horizontal="right" vertical="center"/>
    </xf>
    <xf numFmtId="49" fontId="23" fillId="0" borderId="65" xfId="0" applyNumberFormat="1" applyFont="1" applyBorder="1" applyAlignment="1">
      <alignment horizontal="right" vertical="center"/>
    </xf>
    <xf numFmtId="49" fontId="23" fillId="0" borderId="66" xfId="0" applyNumberFormat="1" applyFont="1" applyBorder="1" applyAlignment="1">
      <alignment horizontal="right" vertical="center"/>
    </xf>
    <xf numFmtId="49" fontId="24" fillId="49" borderId="67" xfId="0" applyNumberFormat="1" applyFont="1" applyFill="1" applyBorder="1" applyAlignment="1">
      <alignment horizontal="center" vertical="center"/>
    </xf>
    <xf numFmtId="49" fontId="23" fillId="0" borderId="66" xfId="0" applyNumberFormat="1" applyFont="1" applyFill="1" applyBorder="1" applyAlignment="1">
      <alignment horizontal="right" vertical="center"/>
    </xf>
    <xf numFmtId="49" fontId="24" fillId="49" borderId="68" xfId="0" applyNumberFormat="1" applyFont="1" applyFill="1" applyBorder="1" applyAlignment="1">
      <alignment horizontal="center" vertical="center"/>
    </xf>
    <xf numFmtId="49" fontId="23" fillId="0" borderId="69" xfId="0" applyNumberFormat="1" applyFont="1" applyFill="1" applyBorder="1" applyAlignment="1">
      <alignment horizontal="right" vertical="center"/>
    </xf>
    <xf numFmtId="49" fontId="23" fillId="0" borderId="69" xfId="0" applyNumberFormat="1" applyFont="1" applyBorder="1" applyAlignment="1">
      <alignment horizontal="right" vertical="center"/>
    </xf>
    <xf numFmtId="49" fontId="23" fillId="0" borderId="66" xfId="0" applyNumberFormat="1" applyFont="1" applyFill="1" applyBorder="1" applyAlignment="1">
      <alignment horizontal="right" vertical="center" wrapText="1"/>
    </xf>
    <xf numFmtId="49" fontId="23" fillId="0" borderId="62" xfId="0" applyNumberFormat="1" applyFont="1" applyBorder="1" applyAlignment="1">
      <alignment horizontal="right" vertical="center"/>
    </xf>
    <xf numFmtId="49" fontId="23" fillId="0" borderId="63" xfId="0" applyNumberFormat="1" applyFont="1" applyBorder="1" applyAlignment="1">
      <alignment horizontal="right" vertical="center"/>
    </xf>
    <xf numFmtId="49" fontId="23" fillId="0" borderId="70" xfId="0" applyNumberFormat="1" applyFont="1" applyBorder="1" applyAlignment="1">
      <alignment horizontal="right" vertical="center"/>
    </xf>
    <xf numFmtId="166" fontId="15" fillId="46" borderId="28" xfId="141" applyNumberFormat="1" applyFont="1" applyFill="1" applyBorder="1"/>
    <xf numFmtId="166" fontId="15" fillId="46" borderId="28" xfId="141" applyNumberFormat="1" applyFont="1" applyFill="1" applyBorder="1" applyAlignment="1">
      <alignment wrapText="1"/>
    </xf>
    <xf numFmtId="0" fontId="131" fillId="44" borderId="0" xfId="0" applyFont="1" applyFill="1" applyAlignment="1" applyProtection="1">
      <protection locked="0"/>
    </xf>
    <xf numFmtId="0" fontId="11" fillId="0" borderId="37" xfId="366" applyFont="1" applyFill="1" applyBorder="1" applyAlignment="1">
      <alignment horizontal="center" vertical="center" textRotation="90" wrapText="1"/>
    </xf>
    <xf numFmtId="0" fontId="132" fillId="44" borderId="0" xfId="0" applyFont="1" applyFill="1"/>
    <xf numFmtId="0" fontId="132" fillId="44" borderId="0" xfId="0" applyFont="1" applyFill="1" applyProtection="1">
      <protection hidden="1"/>
    </xf>
    <xf numFmtId="0" fontId="133" fillId="44" borderId="68" xfId="0" applyFont="1" applyFill="1" applyBorder="1" applyAlignment="1" applyProtection="1">
      <alignment horizontal="center" vertical="center" wrapText="1"/>
      <protection hidden="1"/>
    </xf>
    <xf numFmtId="0" fontId="5" fillId="36" borderId="35" xfId="0" applyFont="1" applyFill="1" applyBorder="1" applyAlignment="1" applyProtection="1">
      <alignment horizontal="center" vertical="center" textRotation="90"/>
      <protection hidden="1"/>
    </xf>
    <xf numFmtId="0" fontId="134" fillId="44" borderId="0" xfId="0" applyFont="1" applyFill="1" applyProtection="1">
      <protection hidden="1"/>
    </xf>
    <xf numFmtId="0" fontId="129" fillId="44" borderId="0" xfId="0" applyFont="1" applyFill="1"/>
    <xf numFmtId="0" fontId="135" fillId="44" borderId="0" xfId="0" applyFont="1" applyFill="1"/>
    <xf numFmtId="166" fontId="130" fillId="46" borderId="68" xfId="141" applyNumberFormat="1" applyFont="1" applyFill="1" applyBorder="1"/>
    <xf numFmtId="166" fontId="136" fillId="48" borderId="40" xfId="141" applyNumberFormat="1" applyFont="1" applyFill="1" applyBorder="1" applyAlignment="1" applyProtection="1">
      <alignment vertical="center" wrapText="1"/>
      <protection locked="0"/>
    </xf>
    <xf numFmtId="166" fontId="130" fillId="0" borderId="71" xfId="141" applyNumberFormat="1" applyFont="1" applyBorder="1" applyAlignment="1" applyProtection="1">
      <alignment vertical="center" wrapText="1"/>
      <protection locked="0"/>
    </xf>
    <xf numFmtId="166" fontId="130" fillId="0" borderId="29" xfId="141" applyNumberFormat="1" applyFont="1" applyBorder="1" applyAlignment="1" applyProtection="1">
      <alignment vertical="center" wrapText="1"/>
      <protection locked="0"/>
    </xf>
    <xf numFmtId="166" fontId="136" fillId="48" borderId="29" xfId="141" applyNumberFormat="1" applyFont="1" applyFill="1" applyBorder="1" applyAlignment="1" applyProtection="1">
      <alignment vertical="center" wrapText="1"/>
      <protection locked="0"/>
    </xf>
    <xf numFmtId="166" fontId="136" fillId="48" borderId="13" xfId="141" applyNumberFormat="1" applyFont="1" applyFill="1" applyBorder="1" applyAlignment="1" applyProtection="1">
      <alignment vertical="center" wrapText="1"/>
      <protection locked="0"/>
    </xf>
    <xf numFmtId="166" fontId="130" fillId="44" borderId="39" xfId="366" applyNumberFormat="1" applyFont="1" applyFill="1" applyBorder="1"/>
    <xf numFmtId="166" fontId="130" fillId="44" borderId="13" xfId="366" applyNumberFormat="1" applyFont="1" applyFill="1" applyBorder="1"/>
    <xf numFmtId="166" fontId="130" fillId="44" borderId="40" xfId="366" applyNumberFormat="1" applyFont="1" applyFill="1" applyBorder="1"/>
    <xf numFmtId="166" fontId="130" fillId="44" borderId="49" xfId="366" applyNumberFormat="1" applyFont="1" applyFill="1" applyBorder="1"/>
    <xf numFmtId="166" fontId="130" fillId="44" borderId="30" xfId="366" applyNumberFormat="1" applyFont="1" applyFill="1" applyBorder="1"/>
    <xf numFmtId="166" fontId="130" fillId="44" borderId="44" xfId="366" applyNumberFormat="1" applyFont="1" applyFill="1" applyBorder="1"/>
    <xf numFmtId="166" fontId="130" fillId="44" borderId="51" xfId="366" applyNumberFormat="1" applyFont="1" applyFill="1" applyBorder="1"/>
    <xf numFmtId="166" fontId="130" fillId="44" borderId="3" xfId="366" applyNumberFormat="1" applyFont="1" applyFill="1" applyBorder="1"/>
    <xf numFmtId="166" fontId="130" fillId="44" borderId="45" xfId="366" applyNumberFormat="1" applyFont="1" applyFill="1" applyBorder="1"/>
    <xf numFmtId="166" fontId="136" fillId="36" borderId="72" xfId="141" applyNumberFormat="1" applyFont="1" applyFill="1" applyBorder="1" applyAlignment="1">
      <alignment vertical="center" wrapText="1"/>
    </xf>
    <xf numFmtId="166" fontId="136" fillId="36" borderId="73" xfId="141" applyNumberFormat="1" applyFont="1" applyFill="1" applyBorder="1" applyAlignment="1">
      <alignment vertical="center" wrapText="1"/>
    </xf>
    <xf numFmtId="166" fontId="136" fillId="36" borderId="74" xfId="141" applyNumberFormat="1" applyFont="1" applyFill="1" applyBorder="1" applyAlignment="1">
      <alignment vertical="center" wrapText="1"/>
    </xf>
    <xf numFmtId="166" fontId="130" fillId="36" borderId="75" xfId="141" applyNumberFormat="1" applyFont="1" applyFill="1" applyBorder="1" applyAlignment="1">
      <alignment vertical="center" wrapText="1"/>
    </xf>
    <xf numFmtId="166" fontId="130" fillId="36" borderId="73" xfId="141" applyNumberFormat="1" applyFont="1" applyFill="1" applyBorder="1" applyAlignment="1">
      <alignment vertical="center" wrapText="1"/>
    </xf>
    <xf numFmtId="166" fontId="130" fillId="36" borderId="76" xfId="141" applyNumberFormat="1" applyFont="1" applyFill="1" applyBorder="1" applyAlignment="1">
      <alignment horizontal="center"/>
    </xf>
    <xf numFmtId="0" fontId="20" fillId="0" borderId="35" xfId="0" applyFont="1" applyFill="1" applyBorder="1" applyAlignment="1" applyProtection="1">
      <alignment horizontal="center" vertical="center"/>
      <protection hidden="1"/>
    </xf>
    <xf numFmtId="0" fontId="128" fillId="0" borderId="35" xfId="0" applyFont="1" applyFill="1" applyBorder="1" applyAlignment="1" applyProtection="1">
      <alignment horizontal="center" vertical="center"/>
      <protection hidden="1"/>
    </xf>
    <xf numFmtId="0" fontId="18" fillId="0" borderId="77" xfId="0" applyFont="1" applyFill="1" applyBorder="1" applyAlignment="1" applyProtection="1">
      <alignment horizontal="left" vertical="center" wrapText="1"/>
      <protection hidden="1"/>
    </xf>
    <xf numFmtId="43" fontId="5" fillId="0" borderId="78" xfId="124" applyFont="1" applyFill="1" applyBorder="1" applyProtection="1">
      <protection hidden="1"/>
    </xf>
    <xf numFmtId="0" fontId="126" fillId="44" borderId="51" xfId="0" applyFont="1" applyFill="1" applyBorder="1" applyProtection="1">
      <protection hidden="1"/>
    </xf>
    <xf numFmtId="43" fontId="5" fillId="44" borderId="45" xfId="124" applyFont="1" applyFill="1" applyBorder="1" applyAlignment="1" applyProtection="1">
      <alignment horizontal="center"/>
      <protection hidden="1"/>
    </xf>
    <xf numFmtId="0" fontId="23" fillId="0" borderId="31" xfId="0" applyFont="1" applyFill="1" applyBorder="1" applyAlignment="1">
      <alignment horizontal="left" vertical="center" wrapText="1"/>
    </xf>
    <xf numFmtId="0" fontId="23" fillId="0" borderId="29" xfId="0" applyFont="1" applyFill="1" applyBorder="1" applyAlignment="1">
      <alignment horizontal="left" vertical="center" wrapText="1"/>
    </xf>
    <xf numFmtId="0" fontId="5" fillId="0" borderId="31" xfId="0" applyFont="1" applyFill="1" applyBorder="1" applyAlignment="1">
      <alignment horizontal="left" vertical="top" wrapText="1"/>
    </xf>
    <xf numFmtId="0" fontId="0" fillId="0" borderId="29" xfId="0" applyFill="1" applyBorder="1" applyAlignment="1"/>
    <xf numFmtId="0" fontId="5" fillId="44" borderId="0" xfId="0" applyFont="1" applyFill="1" applyAlignment="1">
      <alignment horizontal="left" wrapText="1"/>
    </xf>
    <xf numFmtId="0" fontId="5" fillId="50" borderId="31" xfId="0" applyFont="1" applyFill="1" applyBorder="1" applyAlignment="1">
      <alignment horizontal="left" vertical="center" wrapText="1"/>
    </xf>
    <xf numFmtId="0" fontId="5" fillId="50" borderId="29" xfId="0" applyFont="1" applyFill="1" applyBorder="1" applyAlignment="1">
      <alignment horizontal="left" vertical="center" wrapText="1"/>
    </xf>
    <xf numFmtId="0" fontId="126" fillId="44" borderId="68" xfId="0" applyFont="1" applyFill="1" applyBorder="1" applyAlignment="1" applyProtection="1">
      <alignment horizontal="center" vertical="center" wrapText="1"/>
      <protection hidden="1"/>
    </xf>
    <xf numFmtId="0" fontId="126" fillId="44" borderId="46" xfId="0" applyFont="1" applyFill="1" applyBorder="1" applyAlignment="1" applyProtection="1">
      <alignment horizontal="center" vertical="center" wrapText="1"/>
      <protection hidden="1"/>
    </xf>
    <xf numFmtId="0" fontId="22" fillId="44" borderId="0" xfId="0" applyFont="1" applyFill="1" applyAlignment="1" applyProtection="1">
      <alignment horizontal="left" vertical="center" wrapText="1"/>
      <protection hidden="1"/>
    </xf>
    <xf numFmtId="9" fontId="126" fillId="44" borderId="51" xfId="0" applyNumberFormat="1" applyFont="1" applyFill="1" applyBorder="1" applyAlignment="1" applyProtection="1">
      <alignment horizontal="center" vertical="center"/>
      <protection hidden="1"/>
    </xf>
    <xf numFmtId="9" fontId="126" fillId="44" borderId="59" xfId="0" applyNumberFormat="1" applyFont="1" applyFill="1" applyBorder="1" applyAlignment="1" applyProtection="1">
      <alignment horizontal="center" vertical="center"/>
      <protection hidden="1"/>
    </xf>
    <xf numFmtId="43" fontId="5" fillId="44" borderId="45" xfId="124" applyFont="1" applyFill="1" applyBorder="1" applyAlignment="1" applyProtection="1">
      <alignment horizontal="center" vertical="center"/>
      <protection hidden="1"/>
    </xf>
    <xf numFmtId="43" fontId="5" fillId="44" borderId="61" xfId="124" applyFont="1" applyFill="1" applyBorder="1" applyAlignment="1" applyProtection="1">
      <alignment horizontal="center" vertical="center"/>
      <protection hidden="1"/>
    </xf>
    <xf numFmtId="0" fontId="21" fillId="44" borderId="0" xfId="0" applyFont="1" applyFill="1" applyAlignment="1">
      <alignment horizontal="left" vertical="center" wrapText="1"/>
    </xf>
    <xf numFmtId="0" fontId="19" fillId="44" borderId="0" xfId="0" applyFont="1" applyFill="1" applyAlignment="1">
      <alignment horizontal="left" vertical="center" wrapText="1"/>
    </xf>
    <xf numFmtId="0" fontId="20" fillId="0" borderId="77" xfId="0" applyFont="1" applyFill="1" applyBorder="1" applyAlignment="1" applyProtection="1">
      <alignment horizontal="left" vertical="center" wrapText="1"/>
      <protection hidden="1"/>
    </xf>
    <xf numFmtId="0" fontId="0" fillId="0" borderId="78" xfId="0" applyFill="1" applyBorder="1" applyAlignment="1">
      <alignment wrapText="1"/>
    </xf>
    <xf numFmtId="0" fontId="17" fillId="44" borderId="0" xfId="0" applyFont="1" applyFill="1" applyAlignment="1" applyProtection="1">
      <alignment horizontal="left" vertical="center" wrapText="1"/>
      <protection hidden="1"/>
    </xf>
    <xf numFmtId="0" fontId="126" fillId="0" borderId="78" xfId="0" applyFont="1" applyFill="1" applyBorder="1" applyAlignment="1" applyProtection="1">
      <alignment wrapText="1"/>
      <protection hidden="1"/>
    </xf>
    <xf numFmtId="43" fontId="18" fillId="36" borderId="35" xfId="124" applyFont="1" applyFill="1" applyBorder="1" applyAlignment="1" applyProtection="1">
      <alignment horizontal="center" vertical="center"/>
      <protection hidden="1"/>
    </xf>
  </cellXfs>
  <cellStyles count="671">
    <cellStyle name="_FS_TBI Romania_March 2007" xfId="1" xr:uid="{00000000-0005-0000-0000-000000000000}"/>
    <cellStyle name="_FS_TBI Romania_March 2007_investments analysis TBIH (2)" xfId="2" xr:uid="{00000000-0005-0000-0000-000001000000}"/>
    <cellStyle name="_FS_TBI Romania_March 2007_TBIH Shab 12-07" xfId="3" xr:uid="{00000000-0005-0000-0000-000002000000}"/>
    <cellStyle name="_FS_TBI Romania_March 2007_TBIH Shab 12-07 Statutory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2 2" xfId="7" xr:uid="{00000000-0005-0000-0000-000006000000}"/>
    <cellStyle name="20% - Accent2 3" xfId="8" xr:uid="{00000000-0005-0000-0000-000007000000}"/>
    <cellStyle name="20% - Accent3 2" xfId="9" xr:uid="{00000000-0005-0000-0000-000008000000}"/>
    <cellStyle name="20% - Accent3 3" xfId="10" xr:uid="{00000000-0005-0000-0000-000009000000}"/>
    <cellStyle name="20% - Accent4 2" xfId="11" xr:uid="{00000000-0005-0000-0000-00000A000000}"/>
    <cellStyle name="20% - Accent4 3" xfId="12" xr:uid="{00000000-0005-0000-0000-00000B000000}"/>
    <cellStyle name="20% - Accent5 2" xfId="13" xr:uid="{00000000-0005-0000-0000-00000C000000}"/>
    <cellStyle name="20% - Accent5 3" xfId="14" xr:uid="{00000000-0005-0000-0000-00000D000000}"/>
    <cellStyle name="20% - Accent6 2" xfId="15" xr:uid="{00000000-0005-0000-0000-00000E000000}"/>
    <cellStyle name="20% - Accent6 3" xfId="16" xr:uid="{00000000-0005-0000-0000-00000F000000}"/>
    <cellStyle name="20% - Акцент1" xfId="17" xr:uid="{00000000-0005-0000-0000-000010000000}"/>
    <cellStyle name="20% - Акцент2" xfId="18" xr:uid="{00000000-0005-0000-0000-000011000000}"/>
    <cellStyle name="20% - Акцент3" xfId="19" xr:uid="{00000000-0005-0000-0000-000012000000}"/>
    <cellStyle name="20% - Акцент4" xfId="20" xr:uid="{00000000-0005-0000-0000-000013000000}"/>
    <cellStyle name="20% - Акцент5" xfId="21" xr:uid="{00000000-0005-0000-0000-000014000000}"/>
    <cellStyle name="20% - Акцент6" xfId="22" xr:uid="{00000000-0005-0000-0000-000015000000}"/>
    <cellStyle name="20% - הדגשה1" xfId="23" xr:uid="{00000000-0005-0000-0000-000016000000}"/>
    <cellStyle name="20% - הדגשה2" xfId="24" xr:uid="{00000000-0005-0000-0000-000017000000}"/>
    <cellStyle name="20% - הדגשה3" xfId="25" xr:uid="{00000000-0005-0000-0000-000018000000}"/>
    <cellStyle name="20% - הדגשה4" xfId="26" xr:uid="{00000000-0005-0000-0000-000019000000}"/>
    <cellStyle name="20% - הדגשה5" xfId="27" xr:uid="{00000000-0005-0000-0000-00001A000000}"/>
    <cellStyle name="20% - הדגשה6" xfId="28" xr:uid="{00000000-0005-0000-0000-00001B000000}"/>
    <cellStyle name="40% - Accent1 2" xfId="29" xr:uid="{00000000-0005-0000-0000-00001C000000}"/>
    <cellStyle name="40% - Accent1 3" xfId="30" xr:uid="{00000000-0005-0000-0000-00001D000000}"/>
    <cellStyle name="40% - Accent2 2" xfId="31" xr:uid="{00000000-0005-0000-0000-00001E000000}"/>
    <cellStyle name="40% - Accent2 3" xfId="32" xr:uid="{00000000-0005-0000-0000-00001F000000}"/>
    <cellStyle name="40% - Accent3 2" xfId="33" xr:uid="{00000000-0005-0000-0000-000020000000}"/>
    <cellStyle name="40% - Accent3 3" xfId="34" xr:uid="{00000000-0005-0000-0000-000021000000}"/>
    <cellStyle name="40% - Accent4 2" xfId="35" xr:uid="{00000000-0005-0000-0000-000022000000}"/>
    <cellStyle name="40% - Accent4 3" xfId="36" xr:uid="{00000000-0005-0000-0000-000023000000}"/>
    <cellStyle name="40% - Accent5 2" xfId="37" xr:uid="{00000000-0005-0000-0000-000024000000}"/>
    <cellStyle name="40% - Accent5 3" xfId="38" xr:uid="{00000000-0005-0000-0000-000025000000}"/>
    <cellStyle name="40% - Accent6 2" xfId="39" xr:uid="{00000000-0005-0000-0000-000026000000}"/>
    <cellStyle name="40% - Accent6 3" xfId="40" xr:uid="{00000000-0005-0000-0000-000027000000}"/>
    <cellStyle name="40% - Акцент1" xfId="41" xr:uid="{00000000-0005-0000-0000-000028000000}"/>
    <cellStyle name="40% - Акцент2" xfId="42" xr:uid="{00000000-0005-0000-0000-000029000000}"/>
    <cellStyle name="40% - Акцент3" xfId="43" xr:uid="{00000000-0005-0000-0000-00002A000000}"/>
    <cellStyle name="40% - Акцент4" xfId="44" xr:uid="{00000000-0005-0000-0000-00002B000000}"/>
    <cellStyle name="40% - Акцент5" xfId="45" xr:uid="{00000000-0005-0000-0000-00002C000000}"/>
    <cellStyle name="40% - Акцент6" xfId="46" xr:uid="{00000000-0005-0000-0000-00002D000000}"/>
    <cellStyle name="40% - הדגשה1" xfId="47" xr:uid="{00000000-0005-0000-0000-00002E000000}"/>
    <cellStyle name="40% - הדגשה2" xfId="48" xr:uid="{00000000-0005-0000-0000-00002F000000}"/>
    <cellStyle name="40% - הדגשה3" xfId="49" xr:uid="{00000000-0005-0000-0000-000030000000}"/>
    <cellStyle name="40% - הדגשה4" xfId="50" xr:uid="{00000000-0005-0000-0000-000031000000}"/>
    <cellStyle name="40% - הדגשה5" xfId="51" xr:uid="{00000000-0005-0000-0000-000032000000}"/>
    <cellStyle name="40% - הדגשה6" xfId="52" xr:uid="{00000000-0005-0000-0000-000033000000}"/>
    <cellStyle name="60% - Accent1 2" xfId="53" xr:uid="{00000000-0005-0000-0000-000034000000}"/>
    <cellStyle name="60% - Accent1 3" xfId="54" xr:uid="{00000000-0005-0000-0000-000035000000}"/>
    <cellStyle name="60% - Accent2 2" xfId="55" xr:uid="{00000000-0005-0000-0000-000036000000}"/>
    <cellStyle name="60% - Accent2 3" xfId="56" xr:uid="{00000000-0005-0000-0000-000037000000}"/>
    <cellStyle name="60% - Accent3 2" xfId="57" xr:uid="{00000000-0005-0000-0000-000038000000}"/>
    <cellStyle name="60% - Accent3 3" xfId="58" xr:uid="{00000000-0005-0000-0000-000039000000}"/>
    <cellStyle name="60% - Accent4 2" xfId="59" xr:uid="{00000000-0005-0000-0000-00003A000000}"/>
    <cellStyle name="60% - Accent4 3" xfId="60" xr:uid="{00000000-0005-0000-0000-00003B000000}"/>
    <cellStyle name="60% - Accent5 2" xfId="61" xr:uid="{00000000-0005-0000-0000-00003C000000}"/>
    <cellStyle name="60% - Accent5 3" xfId="62" xr:uid="{00000000-0005-0000-0000-00003D000000}"/>
    <cellStyle name="60% - Accent6 2" xfId="63" xr:uid="{00000000-0005-0000-0000-00003E000000}"/>
    <cellStyle name="60% - Accent6 3" xfId="64" xr:uid="{00000000-0005-0000-0000-00003F000000}"/>
    <cellStyle name="60% - Акцент1" xfId="65" xr:uid="{00000000-0005-0000-0000-000040000000}"/>
    <cellStyle name="60% - Акцент2" xfId="66" xr:uid="{00000000-0005-0000-0000-000041000000}"/>
    <cellStyle name="60% - Акцент3" xfId="67" xr:uid="{00000000-0005-0000-0000-000042000000}"/>
    <cellStyle name="60% - Акцент4" xfId="68" xr:uid="{00000000-0005-0000-0000-000043000000}"/>
    <cellStyle name="60% - Акцент5" xfId="69" xr:uid="{00000000-0005-0000-0000-000044000000}"/>
    <cellStyle name="60% - Акцент6" xfId="70" xr:uid="{00000000-0005-0000-0000-000045000000}"/>
    <cellStyle name="60% - הדגשה1" xfId="71" xr:uid="{00000000-0005-0000-0000-000046000000}"/>
    <cellStyle name="60% - הדגשה2" xfId="72" xr:uid="{00000000-0005-0000-0000-000047000000}"/>
    <cellStyle name="60% - הדגשה3" xfId="73" xr:uid="{00000000-0005-0000-0000-000048000000}"/>
    <cellStyle name="60% - הדגשה4" xfId="74" xr:uid="{00000000-0005-0000-0000-000049000000}"/>
    <cellStyle name="60% - הדגשה5" xfId="75" xr:uid="{00000000-0005-0000-0000-00004A000000}"/>
    <cellStyle name="60% - הדגשה6" xfId="76" xr:uid="{00000000-0005-0000-0000-00004B000000}"/>
    <cellStyle name="Accent1 - 20%" xfId="77" xr:uid="{00000000-0005-0000-0000-00004C000000}"/>
    <cellStyle name="Accent1 - 40%" xfId="78" xr:uid="{00000000-0005-0000-0000-00004D000000}"/>
    <cellStyle name="Accent1 - 60%" xfId="79" xr:uid="{00000000-0005-0000-0000-00004E000000}"/>
    <cellStyle name="Accent1 2" xfId="80" xr:uid="{00000000-0005-0000-0000-00004F000000}"/>
    <cellStyle name="Accent1 3" xfId="81" xr:uid="{00000000-0005-0000-0000-000050000000}"/>
    <cellStyle name="Accent2 - 20%" xfId="82" xr:uid="{00000000-0005-0000-0000-000051000000}"/>
    <cellStyle name="Accent2 - 40%" xfId="83" xr:uid="{00000000-0005-0000-0000-000052000000}"/>
    <cellStyle name="Accent2 - 60%" xfId="84" xr:uid="{00000000-0005-0000-0000-000053000000}"/>
    <cellStyle name="Accent2 2" xfId="85" xr:uid="{00000000-0005-0000-0000-000054000000}"/>
    <cellStyle name="Accent2 3" xfId="86" xr:uid="{00000000-0005-0000-0000-000055000000}"/>
    <cellStyle name="Accent3 - 20%" xfId="87" xr:uid="{00000000-0005-0000-0000-000056000000}"/>
    <cellStyle name="Accent3 - 40%" xfId="88" xr:uid="{00000000-0005-0000-0000-000057000000}"/>
    <cellStyle name="Accent3 - 60%" xfId="89" xr:uid="{00000000-0005-0000-0000-000058000000}"/>
    <cellStyle name="Accent3 2" xfId="90" xr:uid="{00000000-0005-0000-0000-000059000000}"/>
    <cellStyle name="Accent3 3" xfId="91" xr:uid="{00000000-0005-0000-0000-00005A000000}"/>
    <cellStyle name="Accent4 - 20%" xfId="92" xr:uid="{00000000-0005-0000-0000-00005B000000}"/>
    <cellStyle name="Accent4 - 40%" xfId="93" xr:uid="{00000000-0005-0000-0000-00005C000000}"/>
    <cellStyle name="Accent4 - 60%" xfId="94" xr:uid="{00000000-0005-0000-0000-00005D000000}"/>
    <cellStyle name="Accent4 2" xfId="95" xr:uid="{00000000-0005-0000-0000-00005E000000}"/>
    <cellStyle name="Accent4 3" xfId="96" xr:uid="{00000000-0005-0000-0000-00005F000000}"/>
    <cellStyle name="Accent5 - 20%" xfId="97" xr:uid="{00000000-0005-0000-0000-000060000000}"/>
    <cellStyle name="Accent5 - 40%" xfId="98" xr:uid="{00000000-0005-0000-0000-000061000000}"/>
    <cellStyle name="Accent5 - 60%" xfId="99" xr:uid="{00000000-0005-0000-0000-000062000000}"/>
    <cellStyle name="Accent5 2" xfId="100" xr:uid="{00000000-0005-0000-0000-000063000000}"/>
    <cellStyle name="Accent5 3" xfId="101" xr:uid="{00000000-0005-0000-0000-000064000000}"/>
    <cellStyle name="Accent6 - 20%" xfId="102" xr:uid="{00000000-0005-0000-0000-000065000000}"/>
    <cellStyle name="Accent6 - 40%" xfId="103" xr:uid="{00000000-0005-0000-0000-000066000000}"/>
    <cellStyle name="Accent6 - 60%" xfId="104" xr:uid="{00000000-0005-0000-0000-000067000000}"/>
    <cellStyle name="Accent6 2" xfId="105" xr:uid="{00000000-0005-0000-0000-000068000000}"/>
    <cellStyle name="Accent6 3" xfId="106" xr:uid="{00000000-0005-0000-0000-000069000000}"/>
    <cellStyle name="args.style" xfId="107" xr:uid="{00000000-0005-0000-0000-00006A000000}"/>
    <cellStyle name="Bad 2" xfId="108" xr:uid="{00000000-0005-0000-0000-00006B000000}"/>
    <cellStyle name="Bad 3" xfId="109" xr:uid="{00000000-0005-0000-0000-00006C000000}"/>
    <cellStyle name="Calc Currency (0)" xfId="110" xr:uid="{00000000-0005-0000-0000-00006D000000}"/>
    <cellStyle name="Calc Currency (0) 2" xfId="111" xr:uid="{00000000-0005-0000-0000-00006E000000}"/>
    <cellStyle name="Calc Currency (0) 3" xfId="112" xr:uid="{00000000-0005-0000-0000-00006F000000}"/>
    <cellStyle name="Calc Currency (0) 4" xfId="113" xr:uid="{00000000-0005-0000-0000-000070000000}"/>
    <cellStyle name="Calc Currency (0) 5" xfId="114" xr:uid="{00000000-0005-0000-0000-000071000000}"/>
    <cellStyle name="Calc Currency (0) 6" xfId="115" xr:uid="{00000000-0005-0000-0000-000072000000}"/>
    <cellStyle name="Calc Currency (0) 7" xfId="116" xr:uid="{00000000-0005-0000-0000-000073000000}"/>
    <cellStyle name="Calc Currency (0) 8" xfId="117" xr:uid="{00000000-0005-0000-0000-000074000000}"/>
    <cellStyle name="Calculation 2" xfId="118" xr:uid="{00000000-0005-0000-0000-000075000000}"/>
    <cellStyle name="Calculation 3" xfId="119" xr:uid="{00000000-0005-0000-0000-000076000000}"/>
    <cellStyle name="Centered Heading" xfId="120" xr:uid="{00000000-0005-0000-0000-000077000000}"/>
    <cellStyle name="Check Cell 2" xfId="121" xr:uid="{00000000-0005-0000-0000-000078000000}"/>
    <cellStyle name="Check Cell 3" xfId="122" xr:uid="{00000000-0005-0000-0000-000079000000}"/>
    <cellStyle name="Column_Title" xfId="123" xr:uid="{00000000-0005-0000-0000-00007A000000}"/>
    <cellStyle name="Comma" xfId="124" builtinId="3"/>
    <cellStyle name="Comma %" xfId="125" xr:uid="{00000000-0005-0000-0000-00007C000000}"/>
    <cellStyle name="Comma 0.0" xfId="126" xr:uid="{00000000-0005-0000-0000-00007D000000}"/>
    <cellStyle name="Comma 0.0%" xfId="127" xr:uid="{00000000-0005-0000-0000-00007E000000}"/>
    <cellStyle name="Comma 0.00" xfId="128" xr:uid="{00000000-0005-0000-0000-00007F000000}"/>
    <cellStyle name="Comma 0.00%" xfId="129" xr:uid="{00000000-0005-0000-0000-000080000000}"/>
    <cellStyle name="Comma 0.000" xfId="130" xr:uid="{00000000-0005-0000-0000-000081000000}"/>
    <cellStyle name="Comma 0.000%" xfId="131" xr:uid="{00000000-0005-0000-0000-000082000000}"/>
    <cellStyle name="Comma 13 2" xfId="132" xr:uid="{00000000-0005-0000-0000-000083000000}"/>
    <cellStyle name="Comma 13 3" xfId="133" xr:uid="{00000000-0005-0000-0000-000084000000}"/>
    <cellStyle name="Comma 14 2" xfId="134" xr:uid="{00000000-0005-0000-0000-000085000000}"/>
    <cellStyle name="Comma 14 2 2" xfId="135" xr:uid="{00000000-0005-0000-0000-000086000000}"/>
    <cellStyle name="Comma 14 2 2 2" xfId="136" xr:uid="{00000000-0005-0000-0000-000087000000}"/>
    <cellStyle name="Comma 14 2 2 3" xfId="137" xr:uid="{00000000-0005-0000-0000-000088000000}"/>
    <cellStyle name="Comma 14 3" xfId="138" xr:uid="{00000000-0005-0000-0000-000089000000}"/>
    <cellStyle name="Comma 14 3 2" xfId="139" xr:uid="{00000000-0005-0000-0000-00008A000000}"/>
    <cellStyle name="Comma 14 3 3" xfId="140" xr:uid="{00000000-0005-0000-0000-00008B000000}"/>
    <cellStyle name="Comma 2" xfId="141" xr:uid="{00000000-0005-0000-0000-00008C000000}"/>
    <cellStyle name="Comma 2 2" xfId="142" xr:uid="{00000000-0005-0000-0000-00008D000000}"/>
    <cellStyle name="Comma 2 2 10" xfId="143" xr:uid="{00000000-0005-0000-0000-00008E000000}"/>
    <cellStyle name="Comma 2 2 11" xfId="144" xr:uid="{00000000-0005-0000-0000-00008F000000}"/>
    <cellStyle name="Comma 2 2 2" xfId="145" xr:uid="{00000000-0005-0000-0000-000090000000}"/>
    <cellStyle name="Comma 2 2 2 10" xfId="146" xr:uid="{00000000-0005-0000-0000-000091000000}"/>
    <cellStyle name="Comma 2 2 2 11" xfId="147" xr:uid="{00000000-0005-0000-0000-000092000000}"/>
    <cellStyle name="Comma 2 2 2 2" xfId="148" xr:uid="{00000000-0005-0000-0000-000093000000}"/>
    <cellStyle name="Comma 2 2 2 2 2" xfId="149" xr:uid="{00000000-0005-0000-0000-000094000000}"/>
    <cellStyle name="Comma 2 2 2 2 2 2" xfId="150" xr:uid="{00000000-0005-0000-0000-000095000000}"/>
    <cellStyle name="Comma 2 2 2 2 2 2 2" xfId="151" xr:uid="{00000000-0005-0000-0000-000096000000}"/>
    <cellStyle name="Comma 2 2 2 2 2 2 2 2" xfId="152" xr:uid="{00000000-0005-0000-0000-000097000000}"/>
    <cellStyle name="Comma 2 2 2 2 2 2 2 2 2" xfId="153" xr:uid="{00000000-0005-0000-0000-000098000000}"/>
    <cellStyle name="Comma 2 2 2 2 2 2 2 2 2 2" xfId="154" xr:uid="{00000000-0005-0000-0000-000099000000}"/>
    <cellStyle name="Comma 2 2 2 2 2 2 2 2 2 2 2" xfId="155" xr:uid="{00000000-0005-0000-0000-00009A000000}"/>
    <cellStyle name="Comma 2 2 2 2 2 2 2 2 2 2 3" xfId="156" xr:uid="{00000000-0005-0000-0000-00009B000000}"/>
    <cellStyle name="Comma 2 2 2 2 2 2 2 2 2 3" xfId="157" xr:uid="{00000000-0005-0000-0000-00009C000000}"/>
    <cellStyle name="Comma 2 2 2 2 2 2 2 2 2 4" xfId="158" xr:uid="{00000000-0005-0000-0000-00009D000000}"/>
    <cellStyle name="Comma 2 2 2 2 2 2 2 2 3" xfId="159" xr:uid="{00000000-0005-0000-0000-00009E000000}"/>
    <cellStyle name="Comma 2 2 2 2 2 2 2 2 4" xfId="160" xr:uid="{00000000-0005-0000-0000-00009F000000}"/>
    <cellStyle name="Comma 2 2 2 2 2 2 2 3" xfId="161" xr:uid="{00000000-0005-0000-0000-0000A0000000}"/>
    <cellStyle name="Comma 2 2 2 2 2 2 2 4" xfId="162" xr:uid="{00000000-0005-0000-0000-0000A1000000}"/>
    <cellStyle name="Comma 2 2 2 2 2 2 2 5" xfId="163" xr:uid="{00000000-0005-0000-0000-0000A2000000}"/>
    <cellStyle name="Comma 2 2 2 2 2 2 3" xfId="164" xr:uid="{00000000-0005-0000-0000-0000A3000000}"/>
    <cellStyle name="Comma 2 2 2 2 2 2 4" xfId="165" xr:uid="{00000000-0005-0000-0000-0000A4000000}"/>
    <cellStyle name="Comma 2 2 2 2 2 2 5" xfId="166" xr:uid="{00000000-0005-0000-0000-0000A5000000}"/>
    <cellStyle name="Comma 2 2 2 2 2 2 6" xfId="167" xr:uid="{00000000-0005-0000-0000-0000A6000000}"/>
    <cellStyle name="Comma 2 2 2 2 2 3" xfId="168" xr:uid="{00000000-0005-0000-0000-0000A7000000}"/>
    <cellStyle name="Comma 2 2 2 2 2 3 2" xfId="169" xr:uid="{00000000-0005-0000-0000-0000A8000000}"/>
    <cellStyle name="Comma 2 2 2 2 2 4" xfId="170" xr:uid="{00000000-0005-0000-0000-0000A9000000}"/>
    <cellStyle name="Comma 2 2 2 2 2 5" xfId="171" xr:uid="{00000000-0005-0000-0000-0000AA000000}"/>
    <cellStyle name="Comma 2 2 2 2 2 6" xfId="172" xr:uid="{00000000-0005-0000-0000-0000AB000000}"/>
    <cellStyle name="Comma 2 2 2 2 3" xfId="173" xr:uid="{00000000-0005-0000-0000-0000AC000000}"/>
    <cellStyle name="Comma 2 2 2 2 4" xfId="174" xr:uid="{00000000-0005-0000-0000-0000AD000000}"/>
    <cellStyle name="Comma 2 2 2 2 5" xfId="175" xr:uid="{00000000-0005-0000-0000-0000AE000000}"/>
    <cellStyle name="Comma 2 2 2 2 5 2" xfId="176" xr:uid="{00000000-0005-0000-0000-0000AF000000}"/>
    <cellStyle name="Comma 2 2 2 2 6" xfId="177" xr:uid="{00000000-0005-0000-0000-0000B0000000}"/>
    <cellStyle name="Comma 2 2 2 2 7" xfId="178" xr:uid="{00000000-0005-0000-0000-0000B1000000}"/>
    <cellStyle name="Comma 2 2 2 2 8" xfId="179" xr:uid="{00000000-0005-0000-0000-0000B2000000}"/>
    <cellStyle name="Comma 2 2 2 2 9" xfId="180" xr:uid="{00000000-0005-0000-0000-0000B3000000}"/>
    <cellStyle name="Comma 2 2 2 3" xfId="181" xr:uid="{00000000-0005-0000-0000-0000B4000000}"/>
    <cellStyle name="Comma 2 2 2 4" xfId="182" xr:uid="{00000000-0005-0000-0000-0000B5000000}"/>
    <cellStyle name="Comma 2 2 2 5" xfId="183" xr:uid="{00000000-0005-0000-0000-0000B6000000}"/>
    <cellStyle name="Comma 2 2 2 5 2" xfId="184" xr:uid="{00000000-0005-0000-0000-0000B7000000}"/>
    <cellStyle name="Comma 2 2 2 5 2 2" xfId="185" xr:uid="{00000000-0005-0000-0000-0000B8000000}"/>
    <cellStyle name="Comma 2 2 2 5 2 2 2" xfId="186" xr:uid="{00000000-0005-0000-0000-0000B9000000}"/>
    <cellStyle name="Comma 2 2 2 5 2 3" xfId="187" xr:uid="{00000000-0005-0000-0000-0000BA000000}"/>
    <cellStyle name="Comma 2 2 2 5 3" xfId="188" xr:uid="{00000000-0005-0000-0000-0000BB000000}"/>
    <cellStyle name="Comma 2 2 2 5 3 2" xfId="189" xr:uid="{00000000-0005-0000-0000-0000BC000000}"/>
    <cellStyle name="Comma 2 2 2 6" xfId="190" xr:uid="{00000000-0005-0000-0000-0000BD000000}"/>
    <cellStyle name="Comma 2 2 2 7" xfId="191" xr:uid="{00000000-0005-0000-0000-0000BE000000}"/>
    <cellStyle name="Comma 2 2 2 7 2" xfId="192" xr:uid="{00000000-0005-0000-0000-0000BF000000}"/>
    <cellStyle name="Comma 2 2 2 8" xfId="193" xr:uid="{00000000-0005-0000-0000-0000C0000000}"/>
    <cellStyle name="Comma 2 2 2 9" xfId="194" xr:uid="{00000000-0005-0000-0000-0000C1000000}"/>
    <cellStyle name="Comma 2 2 3" xfId="195" xr:uid="{00000000-0005-0000-0000-0000C2000000}"/>
    <cellStyle name="Comma 2 2 3 2" xfId="196" xr:uid="{00000000-0005-0000-0000-0000C3000000}"/>
    <cellStyle name="Comma 2 2 3 2 2" xfId="197" xr:uid="{00000000-0005-0000-0000-0000C4000000}"/>
    <cellStyle name="Comma 2 2 3 2 2 2" xfId="198" xr:uid="{00000000-0005-0000-0000-0000C5000000}"/>
    <cellStyle name="Comma 2 2 3 2 2 2 2" xfId="199" xr:uid="{00000000-0005-0000-0000-0000C6000000}"/>
    <cellStyle name="Comma 2 2 3 2 2 3" xfId="200" xr:uid="{00000000-0005-0000-0000-0000C7000000}"/>
    <cellStyle name="Comma 2 2 3 2 3" xfId="201" xr:uid="{00000000-0005-0000-0000-0000C8000000}"/>
    <cellStyle name="Comma 2 2 3 2 3 2" xfId="202" xr:uid="{00000000-0005-0000-0000-0000C9000000}"/>
    <cellStyle name="Comma 2 2 3 3" xfId="203" xr:uid="{00000000-0005-0000-0000-0000CA000000}"/>
    <cellStyle name="Comma 2 2 3 4" xfId="204" xr:uid="{00000000-0005-0000-0000-0000CB000000}"/>
    <cellStyle name="Comma 2 2 3 5" xfId="205" xr:uid="{00000000-0005-0000-0000-0000CC000000}"/>
    <cellStyle name="Comma 2 2 3 5 2" xfId="206" xr:uid="{00000000-0005-0000-0000-0000CD000000}"/>
    <cellStyle name="Comma 2 2 3 6" xfId="207" xr:uid="{00000000-0005-0000-0000-0000CE000000}"/>
    <cellStyle name="Comma 2 2 4" xfId="208" xr:uid="{00000000-0005-0000-0000-0000CF000000}"/>
    <cellStyle name="Comma 2 2 5" xfId="209" xr:uid="{00000000-0005-0000-0000-0000D0000000}"/>
    <cellStyle name="Comma 2 2 5 2" xfId="210" xr:uid="{00000000-0005-0000-0000-0000D1000000}"/>
    <cellStyle name="Comma 2 2 5 2 2" xfId="211" xr:uid="{00000000-0005-0000-0000-0000D2000000}"/>
    <cellStyle name="Comma 2 2 5 2 2 2" xfId="212" xr:uid="{00000000-0005-0000-0000-0000D3000000}"/>
    <cellStyle name="Comma 2 2 5 2 3" xfId="213" xr:uid="{00000000-0005-0000-0000-0000D4000000}"/>
    <cellStyle name="Comma 2 2 5 3" xfId="214" xr:uid="{00000000-0005-0000-0000-0000D5000000}"/>
    <cellStyle name="Comma 2 2 5 3 2" xfId="215" xr:uid="{00000000-0005-0000-0000-0000D6000000}"/>
    <cellStyle name="Comma 2 2 6" xfId="216" xr:uid="{00000000-0005-0000-0000-0000D7000000}"/>
    <cellStyle name="Comma 2 2 7" xfId="217" xr:uid="{00000000-0005-0000-0000-0000D8000000}"/>
    <cellStyle name="Comma 2 2 7 2" xfId="218" xr:uid="{00000000-0005-0000-0000-0000D9000000}"/>
    <cellStyle name="Comma 2 2 8" xfId="219" xr:uid="{00000000-0005-0000-0000-0000DA000000}"/>
    <cellStyle name="Comma 2 2 9" xfId="220" xr:uid="{00000000-0005-0000-0000-0000DB000000}"/>
    <cellStyle name="Comma 2 3" xfId="221" xr:uid="{00000000-0005-0000-0000-0000DC000000}"/>
    <cellStyle name="Comma 2 4" xfId="222" xr:uid="{00000000-0005-0000-0000-0000DD000000}"/>
    <cellStyle name="Comma 2 5" xfId="223" xr:uid="{00000000-0005-0000-0000-0000DE000000}"/>
    <cellStyle name="Comma 2 6" xfId="224" xr:uid="{00000000-0005-0000-0000-0000DF000000}"/>
    <cellStyle name="Comma 2 7" xfId="225" xr:uid="{00000000-0005-0000-0000-0000E0000000}"/>
    <cellStyle name="Comma 2 8" xfId="226" xr:uid="{00000000-0005-0000-0000-0000E1000000}"/>
    <cellStyle name="Comma 2_kvartaluri statistikuri angarishi (dazgveva) 30_03_09 -IQ 2009" xfId="227" xr:uid="{00000000-0005-0000-0000-0000E2000000}"/>
    <cellStyle name="Comma 3" xfId="228" xr:uid="{00000000-0005-0000-0000-0000E3000000}"/>
    <cellStyle name="Comma 4" xfId="229" xr:uid="{00000000-0005-0000-0000-0000E4000000}"/>
    <cellStyle name="Comma 5" xfId="230" xr:uid="{00000000-0005-0000-0000-0000E5000000}"/>
    <cellStyle name="Comma 6" xfId="231" xr:uid="{00000000-0005-0000-0000-0000E6000000}"/>
    <cellStyle name="Comma 7" xfId="232" xr:uid="{00000000-0005-0000-0000-0000E7000000}"/>
    <cellStyle name="Comma 8" xfId="233" xr:uid="{00000000-0005-0000-0000-0000E8000000}"/>
    <cellStyle name="Comma 9" xfId="234" xr:uid="{00000000-0005-0000-0000-0000E9000000}"/>
    <cellStyle name="Commodity" xfId="235" xr:uid="{00000000-0005-0000-0000-0000EA000000}"/>
    <cellStyle name="Company Name" xfId="236" xr:uid="{00000000-0005-0000-0000-0000EB000000}"/>
    <cellStyle name="Copied" xfId="237" xr:uid="{00000000-0005-0000-0000-0000EC000000}"/>
    <cellStyle name="COST1" xfId="238" xr:uid="{00000000-0005-0000-0000-0000ED000000}"/>
    <cellStyle name="CR Comma" xfId="239" xr:uid="{00000000-0005-0000-0000-0000EE000000}"/>
    <cellStyle name="CR Currency" xfId="240" xr:uid="{00000000-0005-0000-0000-0000EF000000}"/>
    <cellStyle name="Credit" xfId="241" xr:uid="{00000000-0005-0000-0000-0000F0000000}"/>
    <cellStyle name="Credit subtotal" xfId="242" xr:uid="{00000000-0005-0000-0000-0000F1000000}"/>
    <cellStyle name="Credit Total" xfId="243" xr:uid="{00000000-0005-0000-0000-0000F2000000}"/>
    <cellStyle name="Credit_investments analysis TBIH (2)" xfId="244" xr:uid="{00000000-0005-0000-0000-0000F3000000}"/>
    <cellStyle name="Currency %" xfId="245" xr:uid="{00000000-0005-0000-0000-0000F4000000}"/>
    <cellStyle name="Currency [0] _טאלדן מוטורס" xfId="246" xr:uid="{00000000-0005-0000-0000-0000F5000000}"/>
    <cellStyle name="Currency 0.0" xfId="247" xr:uid="{00000000-0005-0000-0000-0000F6000000}"/>
    <cellStyle name="Currency 0.0%" xfId="248" xr:uid="{00000000-0005-0000-0000-0000F7000000}"/>
    <cellStyle name="Currency 0.00" xfId="249" xr:uid="{00000000-0005-0000-0000-0000F8000000}"/>
    <cellStyle name="Currency 0.00%" xfId="250" xr:uid="{00000000-0005-0000-0000-0000F9000000}"/>
    <cellStyle name="Currency 0.000" xfId="251" xr:uid="{00000000-0005-0000-0000-0000FA000000}"/>
    <cellStyle name="Currency 0.000%" xfId="252" xr:uid="{00000000-0005-0000-0000-0000FB000000}"/>
    <cellStyle name="Date" xfId="253" xr:uid="{00000000-0005-0000-0000-0000FC000000}"/>
    <cellStyle name="Debit" xfId="254" xr:uid="{00000000-0005-0000-0000-0000FD000000}"/>
    <cellStyle name="Debit subtotal" xfId="255" xr:uid="{00000000-0005-0000-0000-0000FE000000}"/>
    <cellStyle name="Debit Total" xfId="256" xr:uid="{00000000-0005-0000-0000-0000FF000000}"/>
    <cellStyle name="Debit_investments analysis TBIH (2)" xfId="257" xr:uid="{00000000-0005-0000-0000-000000010000}"/>
    <cellStyle name="Dziesiętny_GTC_INTERCOMPANY_LOANS" xfId="258" xr:uid="{00000000-0005-0000-0000-000001010000}"/>
    <cellStyle name="Emphasis 1" xfId="259" xr:uid="{00000000-0005-0000-0000-000002010000}"/>
    <cellStyle name="Emphasis 2" xfId="260" xr:uid="{00000000-0005-0000-0000-000003010000}"/>
    <cellStyle name="Emphasis 3" xfId="261" xr:uid="{00000000-0005-0000-0000-000004010000}"/>
    <cellStyle name="Entered" xfId="262" xr:uid="{00000000-0005-0000-0000-000005010000}"/>
    <cellStyle name="Euro" xfId="263" xr:uid="{00000000-0005-0000-0000-000006010000}"/>
    <cellStyle name="Exchange" xfId="264" xr:uid="{00000000-0005-0000-0000-000007010000}"/>
    <cellStyle name="Explanatory Text 2" xfId="265" xr:uid="{00000000-0005-0000-0000-000008010000}"/>
    <cellStyle name="Explanatory Text 3" xfId="266" xr:uid="{00000000-0005-0000-0000-000009010000}"/>
    <cellStyle name="Good 2" xfId="267" xr:uid="{00000000-0005-0000-0000-00000A010000}"/>
    <cellStyle name="Good 3" xfId="268" xr:uid="{00000000-0005-0000-0000-00000B010000}"/>
    <cellStyle name="Grey" xfId="269" xr:uid="{00000000-0005-0000-0000-00000C010000}"/>
    <cellStyle name="Header1" xfId="270" xr:uid="{00000000-0005-0000-0000-00000D010000}"/>
    <cellStyle name="Header2" xfId="271" xr:uid="{00000000-0005-0000-0000-00000E010000}"/>
    <cellStyle name="Heading" xfId="272" xr:uid="{00000000-0005-0000-0000-00000F010000}"/>
    <cellStyle name="Heading 1 2" xfId="273" xr:uid="{00000000-0005-0000-0000-000010010000}"/>
    <cellStyle name="Heading 1 3" xfId="274" xr:uid="{00000000-0005-0000-0000-000011010000}"/>
    <cellStyle name="Heading 2 2" xfId="275" xr:uid="{00000000-0005-0000-0000-000012010000}"/>
    <cellStyle name="Heading 2 3" xfId="276" xr:uid="{00000000-0005-0000-0000-000013010000}"/>
    <cellStyle name="Heading 3 2" xfId="277" xr:uid="{00000000-0005-0000-0000-000014010000}"/>
    <cellStyle name="Heading 3 3" xfId="278" xr:uid="{00000000-0005-0000-0000-000015010000}"/>
    <cellStyle name="Heading 4 2" xfId="279" xr:uid="{00000000-0005-0000-0000-000016010000}"/>
    <cellStyle name="Heading 4 3" xfId="280" xr:uid="{00000000-0005-0000-0000-000017010000}"/>
    <cellStyle name="Heading No Underline" xfId="281" xr:uid="{00000000-0005-0000-0000-000018010000}"/>
    <cellStyle name="Heading With Underline" xfId="282" xr:uid="{00000000-0005-0000-0000-000019010000}"/>
    <cellStyle name="Hypertextov? odkaz" xfId="283" xr:uid="{00000000-0005-0000-0000-00001A010000}"/>
    <cellStyle name="Inflation" xfId="284" xr:uid="{00000000-0005-0000-0000-00001B010000}"/>
    <cellStyle name="Input [yellow]" xfId="285" xr:uid="{00000000-0005-0000-0000-00001C010000}"/>
    <cellStyle name="Input 2" xfId="286" xr:uid="{00000000-0005-0000-0000-00001D010000}"/>
    <cellStyle name="Input 3" xfId="287" xr:uid="{00000000-0005-0000-0000-00001E010000}"/>
    <cellStyle name="Input Cells" xfId="288" xr:uid="{00000000-0005-0000-0000-00001F010000}"/>
    <cellStyle name="Interest" xfId="289" xr:uid="{00000000-0005-0000-0000-000020010000}"/>
    <cellStyle name="Linked Cell 2" xfId="290" xr:uid="{00000000-0005-0000-0000-000021010000}"/>
    <cellStyle name="Linked Cell 3" xfId="291" xr:uid="{00000000-0005-0000-0000-000022010000}"/>
    <cellStyle name="Linked Cells" xfId="292" xr:uid="{00000000-0005-0000-0000-000023010000}"/>
    <cellStyle name="Maturity" xfId="293" xr:uid="{00000000-0005-0000-0000-000024010000}"/>
    <cellStyle name="Metric tons" xfId="294" xr:uid="{00000000-0005-0000-0000-000025010000}"/>
    <cellStyle name="Milliers [0]_!!!GO" xfId="295" xr:uid="{00000000-0005-0000-0000-000026010000}"/>
    <cellStyle name="Milliers_!!!GO" xfId="296" xr:uid="{00000000-0005-0000-0000-000027010000}"/>
    <cellStyle name="Mon?taire [0]_!!!GO" xfId="297" xr:uid="{00000000-0005-0000-0000-000028010000}"/>
    <cellStyle name="Mon?taire_!!!GO" xfId="298" xr:uid="{00000000-0005-0000-0000-000029010000}"/>
    <cellStyle name="Neutral 2" xfId="299" xr:uid="{00000000-0005-0000-0000-00002A010000}"/>
    <cellStyle name="Neutral 3" xfId="300" xr:uid="{00000000-0005-0000-0000-00002B010000}"/>
    <cellStyle name="norm?ln?_List1" xfId="301" xr:uid="{00000000-0005-0000-0000-00002C010000}"/>
    <cellStyle name="norm?lne_Badget 2000(A)" xfId="302" xr:uid="{00000000-0005-0000-0000-00002D010000}"/>
    <cellStyle name="Normal" xfId="0" builtinId="0"/>
    <cellStyle name="Normal - Style1" xfId="303" xr:uid="{00000000-0005-0000-0000-00002F010000}"/>
    <cellStyle name="Normal 10" xfId="304" xr:uid="{00000000-0005-0000-0000-000030010000}"/>
    <cellStyle name="Normal 11" xfId="305" xr:uid="{00000000-0005-0000-0000-000031010000}"/>
    <cellStyle name="Normal 12" xfId="306" xr:uid="{00000000-0005-0000-0000-000032010000}"/>
    <cellStyle name="Normal 12 2" xfId="307" xr:uid="{00000000-0005-0000-0000-000033010000}"/>
    <cellStyle name="Normal 12 2 2" xfId="308" xr:uid="{00000000-0005-0000-0000-000034010000}"/>
    <cellStyle name="Normal 12 2 3" xfId="309" xr:uid="{00000000-0005-0000-0000-000035010000}"/>
    <cellStyle name="Normal 12 3" xfId="310" xr:uid="{00000000-0005-0000-0000-000036010000}"/>
    <cellStyle name="Normal 12 3 2" xfId="311" xr:uid="{00000000-0005-0000-0000-000037010000}"/>
    <cellStyle name="Normal 12 3 3" xfId="312" xr:uid="{00000000-0005-0000-0000-000038010000}"/>
    <cellStyle name="Normal 12 4" xfId="313" xr:uid="{00000000-0005-0000-0000-000039010000}"/>
    <cellStyle name="Normal 12 4 2" xfId="314" xr:uid="{00000000-0005-0000-0000-00003A010000}"/>
    <cellStyle name="Normal 12 4 3" xfId="315" xr:uid="{00000000-0005-0000-0000-00003B010000}"/>
    <cellStyle name="Normal 12 5" xfId="316" xr:uid="{00000000-0005-0000-0000-00003C010000}"/>
    <cellStyle name="Normal 12 5 2" xfId="317" xr:uid="{00000000-0005-0000-0000-00003D010000}"/>
    <cellStyle name="Normal 12 5 3" xfId="318" xr:uid="{00000000-0005-0000-0000-00003E010000}"/>
    <cellStyle name="Normal 12 6" xfId="319" xr:uid="{00000000-0005-0000-0000-00003F010000}"/>
    <cellStyle name="Normal 12 6 2" xfId="320" xr:uid="{00000000-0005-0000-0000-000040010000}"/>
    <cellStyle name="Normal 12 6 3" xfId="321" xr:uid="{00000000-0005-0000-0000-000041010000}"/>
    <cellStyle name="Normal 12 7" xfId="322" xr:uid="{00000000-0005-0000-0000-000042010000}"/>
    <cellStyle name="Normal 12 8" xfId="323" xr:uid="{00000000-0005-0000-0000-000043010000}"/>
    <cellStyle name="Normal 13" xfId="324" xr:uid="{00000000-0005-0000-0000-000044010000}"/>
    <cellStyle name="Normal 13 2" xfId="325" xr:uid="{00000000-0005-0000-0000-000045010000}"/>
    <cellStyle name="Normal 13 2 2" xfId="326" xr:uid="{00000000-0005-0000-0000-000046010000}"/>
    <cellStyle name="Normal 13 2 3" xfId="327" xr:uid="{00000000-0005-0000-0000-000047010000}"/>
    <cellStyle name="Normal 13 3" xfId="328" xr:uid="{00000000-0005-0000-0000-000048010000}"/>
    <cellStyle name="Normal 13 3 2" xfId="329" xr:uid="{00000000-0005-0000-0000-000049010000}"/>
    <cellStyle name="Normal 13 3 3" xfId="330" xr:uid="{00000000-0005-0000-0000-00004A010000}"/>
    <cellStyle name="Normal 13 4" xfId="331" xr:uid="{00000000-0005-0000-0000-00004B010000}"/>
    <cellStyle name="Normal 13 4 2" xfId="332" xr:uid="{00000000-0005-0000-0000-00004C010000}"/>
    <cellStyle name="Normal 13 4 3" xfId="333" xr:uid="{00000000-0005-0000-0000-00004D010000}"/>
    <cellStyle name="Normal 13 5" xfId="334" xr:uid="{00000000-0005-0000-0000-00004E010000}"/>
    <cellStyle name="Normal 13 5 2" xfId="335" xr:uid="{00000000-0005-0000-0000-00004F010000}"/>
    <cellStyle name="Normal 13 5 3" xfId="336" xr:uid="{00000000-0005-0000-0000-000050010000}"/>
    <cellStyle name="Normal 13 6" xfId="337" xr:uid="{00000000-0005-0000-0000-000051010000}"/>
    <cellStyle name="Normal 13 6 2" xfId="338" xr:uid="{00000000-0005-0000-0000-000052010000}"/>
    <cellStyle name="Normal 13 6 3" xfId="339" xr:uid="{00000000-0005-0000-0000-000053010000}"/>
    <cellStyle name="Normal 13 7" xfId="340" xr:uid="{00000000-0005-0000-0000-000054010000}"/>
    <cellStyle name="Normal 13 8" xfId="341" xr:uid="{00000000-0005-0000-0000-000055010000}"/>
    <cellStyle name="Normal 14 2" xfId="342" xr:uid="{00000000-0005-0000-0000-000056010000}"/>
    <cellStyle name="Normal 14 3" xfId="343" xr:uid="{00000000-0005-0000-0000-000057010000}"/>
    <cellStyle name="Normal 15" xfId="344" xr:uid="{00000000-0005-0000-0000-000058010000}"/>
    <cellStyle name="Normal 15 2" xfId="345" xr:uid="{00000000-0005-0000-0000-000059010000}"/>
    <cellStyle name="Normal 15 2 2" xfId="346" xr:uid="{00000000-0005-0000-0000-00005A010000}"/>
    <cellStyle name="Normal 15 2 3" xfId="347" xr:uid="{00000000-0005-0000-0000-00005B010000}"/>
    <cellStyle name="Normal 15 3" xfId="348" xr:uid="{00000000-0005-0000-0000-00005C010000}"/>
    <cellStyle name="Normal 15 3 2" xfId="349" xr:uid="{00000000-0005-0000-0000-00005D010000}"/>
    <cellStyle name="Normal 15 3 3" xfId="350" xr:uid="{00000000-0005-0000-0000-00005E010000}"/>
    <cellStyle name="Normal 15 4" xfId="351" xr:uid="{00000000-0005-0000-0000-00005F010000}"/>
    <cellStyle name="Normal 15 4 2" xfId="352" xr:uid="{00000000-0005-0000-0000-000060010000}"/>
    <cellStyle name="Normal 15 4 3" xfId="353" xr:uid="{00000000-0005-0000-0000-000061010000}"/>
    <cellStyle name="Normal 15 5" xfId="354" xr:uid="{00000000-0005-0000-0000-000062010000}"/>
    <cellStyle name="Normal 15 5 2" xfId="355" xr:uid="{00000000-0005-0000-0000-000063010000}"/>
    <cellStyle name="Normal 15 5 3" xfId="356" xr:uid="{00000000-0005-0000-0000-000064010000}"/>
    <cellStyle name="Normal 15 6" xfId="357" xr:uid="{00000000-0005-0000-0000-000065010000}"/>
    <cellStyle name="Normal 15 6 2" xfId="358" xr:uid="{00000000-0005-0000-0000-000066010000}"/>
    <cellStyle name="Normal 15 6 3" xfId="359" xr:uid="{00000000-0005-0000-0000-000067010000}"/>
    <cellStyle name="Normal 15 7" xfId="360" xr:uid="{00000000-0005-0000-0000-000068010000}"/>
    <cellStyle name="Normal 15 8" xfId="361" xr:uid="{00000000-0005-0000-0000-000069010000}"/>
    <cellStyle name="Normal 17 2" xfId="362" xr:uid="{00000000-0005-0000-0000-00006A010000}"/>
    <cellStyle name="Normal 17 3" xfId="363" xr:uid="{00000000-0005-0000-0000-00006B010000}"/>
    <cellStyle name="Normal 18 2" xfId="364" xr:uid="{00000000-0005-0000-0000-00006C010000}"/>
    <cellStyle name="Normal 18 3" xfId="365" xr:uid="{00000000-0005-0000-0000-00006D010000}"/>
    <cellStyle name="Normal 2" xfId="366" xr:uid="{00000000-0005-0000-0000-00006E010000}"/>
    <cellStyle name="Normal 2 10" xfId="367" xr:uid="{00000000-0005-0000-0000-00006F010000}"/>
    <cellStyle name="Normal 2 2" xfId="368" xr:uid="{00000000-0005-0000-0000-000070010000}"/>
    <cellStyle name="Normal 2 2 10" xfId="369" xr:uid="{00000000-0005-0000-0000-000071010000}"/>
    <cellStyle name="Normal 2 2 11" xfId="370" xr:uid="{00000000-0005-0000-0000-000072010000}"/>
    <cellStyle name="Normal 2 2 2" xfId="371" xr:uid="{00000000-0005-0000-0000-000073010000}"/>
    <cellStyle name="Normal 2 2 2 10" xfId="372" xr:uid="{00000000-0005-0000-0000-000074010000}"/>
    <cellStyle name="Normal 2 2 2 11" xfId="373" xr:uid="{00000000-0005-0000-0000-000075010000}"/>
    <cellStyle name="Normal 2 2 2 2" xfId="374" xr:uid="{00000000-0005-0000-0000-000076010000}"/>
    <cellStyle name="Normal 2 2 2 2 2" xfId="375" xr:uid="{00000000-0005-0000-0000-000077010000}"/>
    <cellStyle name="Normal 2 2 2 2 2 2" xfId="376" xr:uid="{00000000-0005-0000-0000-000078010000}"/>
    <cellStyle name="Normal 2 2 2 2 2 2 2" xfId="377" xr:uid="{00000000-0005-0000-0000-000079010000}"/>
    <cellStyle name="Normal 2 2 2 2 2 2 2 2" xfId="378" xr:uid="{00000000-0005-0000-0000-00007A010000}"/>
    <cellStyle name="Normal 2 2 2 2 2 2 2 2 2" xfId="379" xr:uid="{00000000-0005-0000-0000-00007B010000}"/>
    <cellStyle name="Normal 2 2 2 2 2 2 2 2 2 2" xfId="380" xr:uid="{00000000-0005-0000-0000-00007C010000}"/>
    <cellStyle name="Normal 2 2 2 2 2 2 2 2 2 2 2" xfId="381" xr:uid="{00000000-0005-0000-0000-00007D010000}"/>
    <cellStyle name="Normal 2 2 2 2 2 2 2 2 2 2 3" xfId="382" xr:uid="{00000000-0005-0000-0000-00007E010000}"/>
    <cellStyle name="Normal 2 2 2 2 2 2 2 2 2 3" xfId="383" xr:uid="{00000000-0005-0000-0000-00007F010000}"/>
    <cellStyle name="Normal 2 2 2 2 2 2 2 2 2 4" xfId="384" xr:uid="{00000000-0005-0000-0000-000080010000}"/>
    <cellStyle name="Normal 2 2 2 2 2 2 2 2 3" xfId="385" xr:uid="{00000000-0005-0000-0000-000081010000}"/>
    <cellStyle name="Normal 2 2 2 2 2 2 2 2 4" xfId="386" xr:uid="{00000000-0005-0000-0000-000082010000}"/>
    <cellStyle name="Normal 2 2 2 2 2 2 2 3" xfId="387" xr:uid="{00000000-0005-0000-0000-000083010000}"/>
    <cellStyle name="Normal 2 2 2 2 2 2 2 4" xfId="388" xr:uid="{00000000-0005-0000-0000-000084010000}"/>
    <cellStyle name="Normal 2 2 2 2 2 2 2 5" xfId="389" xr:uid="{00000000-0005-0000-0000-000085010000}"/>
    <cellStyle name="Normal 2 2 2 2 2 2 3" xfId="390" xr:uid="{00000000-0005-0000-0000-000086010000}"/>
    <cellStyle name="Normal 2 2 2 2 2 2 4" xfId="391" xr:uid="{00000000-0005-0000-0000-000087010000}"/>
    <cellStyle name="Normal 2 2 2 2 2 2 5" xfId="392" xr:uid="{00000000-0005-0000-0000-000088010000}"/>
    <cellStyle name="Normal 2 2 2 2 2 2 6" xfId="393" xr:uid="{00000000-0005-0000-0000-000089010000}"/>
    <cellStyle name="Normal 2 2 2 2 2 3" xfId="394" xr:uid="{00000000-0005-0000-0000-00008A010000}"/>
    <cellStyle name="Normal 2 2 2 2 2 3 2" xfId="395" xr:uid="{00000000-0005-0000-0000-00008B010000}"/>
    <cellStyle name="Normal 2 2 2 2 2 4" xfId="396" xr:uid="{00000000-0005-0000-0000-00008C010000}"/>
    <cellStyle name="Normal 2 2 2 2 2 5" xfId="397" xr:uid="{00000000-0005-0000-0000-00008D010000}"/>
    <cellStyle name="Normal 2 2 2 2 2 6" xfId="398" xr:uid="{00000000-0005-0000-0000-00008E010000}"/>
    <cellStyle name="Normal 2 2 2 2 3" xfId="399" xr:uid="{00000000-0005-0000-0000-00008F010000}"/>
    <cellStyle name="Normal 2 2 2 2 4" xfId="400" xr:uid="{00000000-0005-0000-0000-000090010000}"/>
    <cellStyle name="Normal 2 2 2 2 5" xfId="401" xr:uid="{00000000-0005-0000-0000-000091010000}"/>
    <cellStyle name="Normal 2 2 2 2 5 2" xfId="402" xr:uid="{00000000-0005-0000-0000-000092010000}"/>
    <cellStyle name="Normal 2 2 2 2 6" xfId="403" xr:uid="{00000000-0005-0000-0000-000093010000}"/>
    <cellStyle name="Normal 2 2 2 2 7" xfId="404" xr:uid="{00000000-0005-0000-0000-000094010000}"/>
    <cellStyle name="Normal 2 2 2 2 8" xfId="405" xr:uid="{00000000-0005-0000-0000-000095010000}"/>
    <cellStyle name="Normal 2 2 2 2 9" xfId="406" xr:uid="{00000000-0005-0000-0000-000096010000}"/>
    <cellStyle name="Normal 2 2 2 3" xfId="407" xr:uid="{00000000-0005-0000-0000-000097010000}"/>
    <cellStyle name="Normal 2 2 2 4" xfId="408" xr:uid="{00000000-0005-0000-0000-000098010000}"/>
    <cellStyle name="Normal 2 2 2 5" xfId="409" xr:uid="{00000000-0005-0000-0000-000099010000}"/>
    <cellStyle name="Normal 2 2 2 5 2" xfId="410" xr:uid="{00000000-0005-0000-0000-00009A010000}"/>
    <cellStyle name="Normal 2 2 2 5 2 2" xfId="411" xr:uid="{00000000-0005-0000-0000-00009B010000}"/>
    <cellStyle name="Normal 2 2 2 5 2 2 2" xfId="412" xr:uid="{00000000-0005-0000-0000-00009C010000}"/>
    <cellStyle name="Normal 2 2 2 5 2 3" xfId="413" xr:uid="{00000000-0005-0000-0000-00009D010000}"/>
    <cellStyle name="Normal 2 2 2 5 3" xfId="414" xr:uid="{00000000-0005-0000-0000-00009E010000}"/>
    <cellStyle name="Normal 2 2 2 5 3 2" xfId="415" xr:uid="{00000000-0005-0000-0000-00009F010000}"/>
    <cellStyle name="Normal 2 2 2 6" xfId="416" xr:uid="{00000000-0005-0000-0000-0000A0010000}"/>
    <cellStyle name="Normal 2 2 2 7" xfId="417" xr:uid="{00000000-0005-0000-0000-0000A1010000}"/>
    <cellStyle name="Normal 2 2 2 7 2" xfId="418" xr:uid="{00000000-0005-0000-0000-0000A2010000}"/>
    <cellStyle name="Normal 2 2 2 8" xfId="419" xr:uid="{00000000-0005-0000-0000-0000A3010000}"/>
    <cellStyle name="Normal 2 2 2 9" xfId="420" xr:uid="{00000000-0005-0000-0000-0000A4010000}"/>
    <cellStyle name="Normal 2 2 3" xfId="421" xr:uid="{00000000-0005-0000-0000-0000A5010000}"/>
    <cellStyle name="Normal 2 2 3 2" xfId="422" xr:uid="{00000000-0005-0000-0000-0000A6010000}"/>
    <cellStyle name="Normal 2 2 3 2 2" xfId="423" xr:uid="{00000000-0005-0000-0000-0000A7010000}"/>
    <cellStyle name="Normal 2 2 3 2 2 2" xfId="424" xr:uid="{00000000-0005-0000-0000-0000A8010000}"/>
    <cellStyle name="Normal 2 2 3 2 2 2 2" xfId="425" xr:uid="{00000000-0005-0000-0000-0000A9010000}"/>
    <cellStyle name="Normal 2 2 3 2 2 3" xfId="426" xr:uid="{00000000-0005-0000-0000-0000AA010000}"/>
    <cellStyle name="Normal 2 2 3 2 3" xfId="427" xr:uid="{00000000-0005-0000-0000-0000AB010000}"/>
    <cellStyle name="Normal 2 2 3 2 3 2" xfId="428" xr:uid="{00000000-0005-0000-0000-0000AC010000}"/>
    <cellStyle name="Normal 2 2 3 3" xfId="429" xr:uid="{00000000-0005-0000-0000-0000AD010000}"/>
    <cellStyle name="Normal 2 2 3 4" xfId="430" xr:uid="{00000000-0005-0000-0000-0000AE010000}"/>
    <cellStyle name="Normal 2 2 3 5" xfId="431" xr:uid="{00000000-0005-0000-0000-0000AF010000}"/>
    <cellStyle name="Normal 2 2 3 5 2" xfId="432" xr:uid="{00000000-0005-0000-0000-0000B0010000}"/>
    <cellStyle name="Normal 2 2 3 6" xfId="433" xr:uid="{00000000-0005-0000-0000-0000B1010000}"/>
    <cellStyle name="Normal 2 2 4" xfId="434" xr:uid="{00000000-0005-0000-0000-0000B2010000}"/>
    <cellStyle name="Normal 2 2 5" xfId="435" xr:uid="{00000000-0005-0000-0000-0000B3010000}"/>
    <cellStyle name="Normal 2 2 5 2" xfId="436" xr:uid="{00000000-0005-0000-0000-0000B4010000}"/>
    <cellStyle name="Normal 2 2 5 2 2" xfId="437" xr:uid="{00000000-0005-0000-0000-0000B5010000}"/>
    <cellStyle name="Normal 2 2 5 2 2 2" xfId="438" xr:uid="{00000000-0005-0000-0000-0000B6010000}"/>
    <cellStyle name="Normal 2 2 5 2 3" xfId="439" xr:uid="{00000000-0005-0000-0000-0000B7010000}"/>
    <cellStyle name="Normal 2 2 5 3" xfId="440" xr:uid="{00000000-0005-0000-0000-0000B8010000}"/>
    <cellStyle name="Normal 2 2 5 3 2" xfId="441" xr:uid="{00000000-0005-0000-0000-0000B9010000}"/>
    <cellStyle name="Normal 2 2 6" xfId="442" xr:uid="{00000000-0005-0000-0000-0000BA010000}"/>
    <cellStyle name="Normal 2 2 7" xfId="443" xr:uid="{00000000-0005-0000-0000-0000BB010000}"/>
    <cellStyle name="Normal 2 2 7 2" xfId="444" xr:uid="{00000000-0005-0000-0000-0000BC010000}"/>
    <cellStyle name="Normal 2 2 8" xfId="445" xr:uid="{00000000-0005-0000-0000-0000BD010000}"/>
    <cellStyle name="Normal 2 2 9" xfId="446" xr:uid="{00000000-0005-0000-0000-0000BE010000}"/>
    <cellStyle name="Normal 2 3" xfId="447" xr:uid="{00000000-0005-0000-0000-0000BF010000}"/>
    <cellStyle name="Normal 2 3 2" xfId="448" xr:uid="{00000000-0005-0000-0000-0000C0010000}"/>
    <cellStyle name="Normal 2 3 2 2" xfId="449" xr:uid="{00000000-0005-0000-0000-0000C1010000}"/>
    <cellStyle name="Normal 2 3 2 2 2" xfId="450" xr:uid="{00000000-0005-0000-0000-0000C2010000}"/>
    <cellStyle name="Normal 2 3 2 2 2 2" xfId="451" xr:uid="{00000000-0005-0000-0000-0000C3010000}"/>
    <cellStyle name="Normal 2 3 2 2 3" xfId="452" xr:uid="{00000000-0005-0000-0000-0000C4010000}"/>
    <cellStyle name="Normal 2 3 2 3" xfId="453" xr:uid="{00000000-0005-0000-0000-0000C5010000}"/>
    <cellStyle name="Normal 2 3 2 3 2" xfId="454" xr:uid="{00000000-0005-0000-0000-0000C6010000}"/>
    <cellStyle name="Normal 2 3 3" xfId="455" xr:uid="{00000000-0005-0000-0000-0000C7010000}"/>
    <cellStyle name="Normal 2 3 4" xfId="456" xr:uid="{00000000-0005-0000-0000-0000C8010000}"/>
    <cellStyle name="Normal 2 3 5" xfId="457" xr:uid="{00000000-0005-0000-0000-0000C9010000}"/>
    <cellStyle name="Normal 2 3 5 2" xfId="458" xr:uid="{00000000-0005-0000-0000-0000CA010000}"/>
    <cellStyle name="Normal 2 3 6" xfId="459" xr:uid="{00000000-0005-0000-0000-0000CB010000}"/>
    <cellStyle name="Normal 2 4" xfId="460" xr:uid="{00000000-0005-0000-0000-0000CC010000}"/>
    <cellStyle name="Normal 2 5" xfId="461" xr:uid="{00000000-0005-0000-0000-0000CD010000}"/>
    <cellStyle name="Normal 2 6" xfId="462" xr:uid="{00000000-0005-0000-0000-0000CE010000}"/>
    <cellStyle name="Normal 2 6 2" xfId="463" xr:uid="{00000000-0005-0000-0000-0000CF010000}"/>
    <cellStyle name="Normal 2 6 2 2" xfId="464" xr:uid="{00000000-0005-0000-0000-0000D0010000}"/>
    <cellStyle name="Normal 2 6 2 2 2" xfId="465" xr:uid="{00000000-0005-0000-0000-0000D1010000}"/>
    <cellStyle name="Normal 2 6 2 3" xfId="466" xr:uid="{00000000-0005-0000-0000-0000D2010000}"/>
    <cellStyle name="Normal 2 6 3" xfId="467" xr:uid="{00000000-0005-0000-0000-0000D3010000}"/>
    <cellStyle name="Normal 2 6 3 2" xfId="468" xr:uid="{00000000-0005-0000-0000-0000D4010000}"/>
    <cellStyle name="Normal 2 7" xfId="469" xr:uid="{00000000-0005-0000-0000-0000D5010000}"/>
    <cellStyle name="Normal 2 8" xfId="470" xr:uid="{00000000-0005-0000-0000-0000D6010000}"/>
    <cellStyle name="Normal 2 8 2" xfId="471" xr:uid="{00000000-0005-0000-0000-0000D7010000}"/>
    <cellStyle name="Normal 2 9" xfId="472" xr:uid="{00000000-0005-0000-0000-0000D8010000}"/>
    <cellStyle name="Normal 2_kvartaluri statistikuri angarishi (dazgveva) 30_03_09 -IQ 2009" xfId="473" xr:uid="{00000000-0005-0000-0000-0000D9010000}"/>
    <cellStyle name="Normal 20 2" xfId="474" xr:uid="{00000000-0005-0000-0000-0000DA010000}"/>
    <cellStyle name="Normal 3" xfId="475" xr:uid="{00000000-0005-0000-0000-0000DB010000}"/>
    <cellStyle name="Normal 3 2" xfId="476" xr:uid="{00000000-0005-0000-0000-0000DC010000}"/>
    <cellStyle name="Normal 3 3" xfId="477" xr:uid="{00000000-0005-0000-0000-0000DD010000}"/>
    <cellStyle name="Normal 3 4" xfId="478" xr:uid="{00000000-0005-0000-0000-0000DE010000}"/>
    <cellStyle name="Normal 3 5" xfId="479" xr:uid="{00000000-0005-0000-0000-0000DF010000}"/>
    <cellStyle name="Normal 3 6" xfId="480" xr:uid="{00000000-0005-0000-0000-0000E0010000}"/>
    <cellStyle name="Normal 3 7" xfId="481" xr:uid="{00000000-0005-0000-0000-0000E1010000}"/>
    <cellStyle name="Normal 3 8" xfId="482" xr:uid="{00000000-0005-0000-0000-0000E2010000}"/>
    <cellStyle name="Normal 33" xfId="483" xr:uid="{00000000-0005-0000-0000-0000E3010000}"/>
    <cellStyle name="Normal 33 2" xfId="484" xr:uid="{00000000-0005-0000-0000-0000E4010000}"/>
    <cellStyle name="Normal 33 2 2" xfId="485" xr:uid="{00000000-0005-0000-0000-0000E5010000}"/>
    <cellStyle name="Normal 33 2 3" xfId="486" xr:uid="{00000000-0005-0000-0000-0000E6010000}"/>
    <cellStyle name="Normal 33 3" xfId="487" xr:uid="{00000000-0005-0000-0000-0000E7010000}"/>
    <cellStyle name="Normal 33 3 2" xfId="488" xr:uid="{00000000-0005-0000-0000-0000E8010000}"/>
    <cellStyle name="Normal 33 3 3" xfId="489" xr:uid="{00000000-0005-0000-0000-0000E9010000}"/>
    <cellStyle name="Normal 33 4" xfId="490" xr:uid="{00000000-0005-0000-0000-0000EA010000}"/>
    <cellStyle name="Normal 33 4 2" xfId="491" xr:uid="{00000000-0005-0000-0000-0000EB010000}"/>
    <cellStyle name="Normal 33 4 3" xfId="492" xr:uid="{00000000-0005-0000-0000-0000EC010000}"/>
    <cellStyle name="Normal 33 5" xfId="493" xr:uid="{00000000-0005-0000-0000-0000ED010000}"/>
    <cellStyle name="Normal 33 5 2" xfId="494" xr:uid="{00000000-0005-0000-0000-0000EE010000}"/>
    <cellStyle name="Normal 33 5 3" xfId="495" xr:uid="{00000000-0005-0000-0000-0000EF010000}"/>
    <cellStyle name="Normal 33 6" xfId="496" xr:uid="{00000000-0005-0000-0000-0000F0010000}"/>
    <cellStyle name="Normal 33 6 2" xfId="497" xr:uid="{00000000-0005-0000-0000-0000F1010000}"/>
    <cellStyle name="Normal 33 6 3" xfId="498" xr:uid="{00000000-0005-0000-0000-0000F2010000}"/>
    <cellStyle name="Normal 33 7" xfId="499" xr:uid="{00000000-0005-0000-0000-0000F3010000}"/>
    <cellStyle name="Normal 33 8" xfId="500" xr:uid="{00000000-0005-0000-0000-0000F4010000}"/>
    <cellStyle name="Normal 34" xfId="501" xr:uid="{00000000-0005-0000-0000-0000F5010000}"/>
    <cellStyle name="Normal 34 2" xfId="502" xr:uid="{00000000-0005-0000-0000-0000F6010000}"/>
    <cellStyle name="Normal 34 2 2" xfId="503" xr:uid="{00000000-0005-0000-0000-0000F7010000}"/>
    <cellStyle name="Normal 34 2 3" xfId="504" xr:uid="{00000000-0005-0000-0000-0000F8010000}"/>
    <cellStyle name="Normal 34 3" xfId="505" xr:uid="{00000000-0005-0000-0000-0000F9010000}"/>
    <cellStyle name="Normal 34 3 2" xfId="506" xr:uid="{00000000-0005-0000-0000-0000FA010000}"/>
    <cellStyle name="Normal 34 3 3" xfId="507" xr:uid="{00000000-0005-0000-0000-0000FB010000}"/>
    <cellStyle name="Normal 34 4" xfId="508" xr:uid="{00000000-0005-0000-0000-0000FC010000}"/>
    <cellStyle name="Normal 34 4 2" xfId="509" xr:uid="{00000000-0005-0000-0000-0000FD010000}"/>
    <cellStyle name="Normal 34 4 3" xfId="510" xr:uid="{00000000-0005-0000-0000-0000FE010000}"/>
    <cellStyle name="Normal 34 5" xfId="511" xr:uid="{00000000-0005-0000-0000-0000FF010000}"/>
    <cellStyle name="Normal 34 5 2" xfId="512" xr:uid="{00000000-0005-0000-0000-000000020000}"/>
    <cellStyle name="Normal 34 5 3" xfId="513" xr:uid="{00000000-0005-0000-0000-000001020000}"/>
    <cellStyle name="Normal 34 6" xfId="514" xr:uid="{00000000-0005-0000-0000-000002020000}"/>
    <cellStyle name="Normal 34 6 2" xfId="515" xr:uid="{00000000-0005-0000-0000-000003020000}"/>
    <cellStyle name="Normal 34 6 3" xfId="516" xr:uid="{00000000-0005-0000-0000-000004020000}"/>
    <cellStyle name="Normal 34 7" xfId="517" xr:uid="{00000000-0005-0000-0000-000005020000}"/>
    <cellStyle name="Normal 34 8" xfId="518" xr:uid="{00000000-0005-0000-0000-000006020000}"/>
    <cellStyle name="Normal 35" xfId="519" xr:uid="{00000000-0005-0000-0000-000007020000}"/>
    <cellStyle name="Normal 35 2" xfId="520" xr:uid="{00000000-0005-0000-0000-000008020000}"/>
    <cellStyle name="Normal 35 2 2" xfId="521" xr:uid="{00000000-0005-0000-0000-000009020000}"/>
    <cellStyle name="Normal 35 2 3" xfId="522" xr:uid="{00000000-0005-0000-0000-00000A020000}"/>
    <cellStyle name="Normal 35 3" xfId="523" xr:uid="{00000000-0005-0000-0000-00000B020000}"/>
    <cellStyle name="Normal 35 3 2" xfId="524" xr:uid="{00000000-0005-0000-0000-00000C020000}"/>
    <cellStyle name="Normal 35 3 3" xfId="525" xr:uid="{00000000-0005-0000-0000-00000D020000}"/>
    <cellStyle name="Normal 35 4" xfId="526" xr:uid="{00000000-0005-0000-0000-00000E020000}"/>
    <cellStyle name="Normal 35 4 2" xfId="527" xr:uid="{00000000-0005-0000-0000-00000F020000}"/>
    <cellStyle name="Normal 35 4 3" xfId="528" xr:uid="{00000000-0005-0000-0000-000010020000}"/>
    <cellStyle name="Normal 35 5" xfId="529" xr:uid="{00000000-0005-0000-0000-000011020000}"/>
    <cellStyle name="Normal 35 5 2" xfId="530" xr:uid="{00000000-0005-0000-0000-000012020000}"/>
    <cellStyle name="Normal 35 5 3" xfId="531" xr:uid="{00000000-0005-0000-0000-000013020000}"/>
    <cellStyle name="Normal 35 6" xfId="532" xr:uid="{00000000-0005-0000-0000-000014020000}"/>
    <cellStyle name="Normal 35 6 2" xfId="533" xr:uid="{00000000-0005-0000-0000-000015020000}"/>
    <cellStyle name="Normal 35 6 3" xfId="534" xr:uid="{00000000-0005-0000-0000-000016020000}"/>
    <cellStyle name="Normal 35 7" xfId="535" xr:uid="{00000000-0005-0000-0000-000017020000}"/>
    <cellStyle name="Normal 35 8" xfId="536" xr:uid="{00000000-0005-0000-0000-000018020000}"/>
    <cellStyle name="Normal 4" xfId="537" xr:uid="{00000000-0005-0000-0000-000019020000}"/>
    <cellStyle name="Normal 5" xfId="538" xr:uid="{00000000-0005-0000-0000-00001A020000}"/>
    <cellStyle name="Normal 6" xfId="539" xr:uid="{00000000-0005-0000-0000-00001B020000}"/>
    <cellStyle name="Normal 7" xfId="540" xr:uid="{00000000-0005-0000-0000-00001C020000}"/>
    <cellStyle name="Normal 8" xfId="541" xr:uid="{00000000-0005-0000-0000-00001D020000}"/>
    <cellStyle name="Normal 8 2" xfId="542" xr:uid="{00000000-0005-0000-0000-00001E020000}"/>
    <cellStyle name="Normal 9" xfId="543" xr:uid="{00000000-0005-0000-0000-00001F020000}"/>
    <cellStyle name="Normal 9 2" xfId="544" xr:uid="{00000000-0005-0000-0000-000020020000}"/>
    <cellStyle name="Normal 9 3" xfId="545" xr:uid="{00000000-0005-0000-0000-000021020000}"/>
    <cellStyle name="normální_List1" xfId="546" xr:uid="{00000000-0005-0000-0000-000022020000}"/>
    <cellStyle name="Normalny_GTC_INTERCOMPANY_LOANS" xfId="547" xr:uid="{00000000-0005-0000-0000-000023020000}"/>
    <cellStyle name="Note 2" xfId="548" xr:uid="{00000000-0005-0000-0000-000024020000}"/>
    <cellStyle name="Note 3" xfId="549" xr:uid="{00000000-0005-0000-0000-000025020000}"/>
    <cellStyle name="Number Bold" xfId="550" xr:uid="{00000000-0005-0000-0000-000026020000}"/>
    <cellStyle name="Number Normal" xfId="551" xr:uid="{00000000-0005-0000-0000-000027020000}"/>
    <cellStyle name="Output 2" xfId="552" xr:uid="{00000000-0005-0000-0000-000028020000}"/>
    <cellStyle name="Output 3" xfId="553" xr:uid="{00000000-0005-0000-0000-000029020000}"/>
    <cellStyle name="per.style" xfId="554" xr:uid="{00000000-0005-0000-0000-00002A020000}"/>
    <cellStyle name="Percent" xfId="555" builtinId="5"/>
    <cellStyle name="Percent %" xfId="556" xr:uid="{00000000-0005-0000-0000-00002C020000}"/>
    <cellStyle name="Percent % Long Underline" xfId="557" xr:uid="{00000000-0005-0000-0000-00002D020000}"/>
    <cellStyle name="Percent %_Worksheet in  US Financial Statements Ref. Workbook - Single Co" xfId="558" xr:uid="{00000000-0005-0000-0000-00002E020000}"/>
    <cellStyle name="Percent (0)" xfId="559" xr:uid="{00000000-0005-0000-0000-00002F020000}"/>
    <cellStyle name="Percent [2]" xfId="560" xr:uid="{00000000-0005-0000-0000-000030020000}"/>
    <cellStyle name="Percent [2] 2" xfId="561" xr:uid="{00000000-0005-0000-0000-000031020000}"/>
    <cellStyle name="Percent [2] 3" xfId="562" xr:uid="{00000000-0005-0000-0000-000032020000}"/>
    <cellStyle name="Percent [2] 4" xfId="563" xr:uid="{00000000-0005-0000-0000-000033020000}"/>
    <cellStyle name="Percent [2] 5" xfId="564" xr:uid="{00000000-0005-0000-0000-000034020000}"/>
    <cellStyle name="Percent [2] 6" xfId="565" xr:uid="{00000000-0005-0000-0000-000035020000}"/>
    <cellStyle name="Percent [2] 7" xfId="566" xr:uid="{00000000-0005-0000-0000-000036020000}"/>
    <cellStyle name="Percent [2] 8" xfId="567" xr:uid="{00000000-0005-0000-0000-000037020000}"/>
    <cellStyle name="Percent 0.0%" xfId="568" xr:uid="{00000000-0005-0000-0000-000038020000}"/>
    <cellStyle name="Percent 0.0% Long Underline" xfId="569" xr:uid="{00000000-0005-0000-0000-000039020000}"/>
    <cellStyle name="Percent 0.00%" xfId="570" xr:uid="{00000000-0005-0000-0000-00003A020000}"/>
    <cellStyle name="Percent 0.00% Long Underline" xfId="571" xr:uid="{00000000-0005-0000-0000-00003B020000}"/>
    <cellStyle name="Percent 0.000%" xfId="572" xr:uid="{00000000-0005-0000-0000-00003C020000}"/>
    <cellStyle name="Percent 0.000% Long Underline" xfId="573" xr:uid="{00000000-0005-0000-0000-00003D020000}"/>
    <cellStyle name="Percent 2 2" xfId="574" xr:uid="{00000000-0005-0000-0000-00003E020000}"/>
    <cellStyle name="Percent 2 3" xfId="575" xr:uid="{00000000-0005-0000-0000-00003F020000}"/>
    <cellStyle name="Percent 2 4" xfId="576" xr:uid="{00000000-0005-0000-0000-000040020000}"/>
    <cellStyle name="Percent 2 5" xfId="577" xr:uid="{00000000-0005-0000-0000-000041020000}"/>
    <cellStyle name="Percent 2 6" xfId="578" xr:uid="{00000000-0005-0000-0000-000042020000}"/>
    <cellStyle name="Percent 2 7" xfId="579" xr:uid="{00000000-0005-0000-0000-000043020000}"/>
    <cellStyle name="Percent 2 8" xfId="580" xr:uid="{00000000-0005-0000-0000-000044020000}"/>
    <cellStyle name="Percent 3" xfId="581" xr:uid="{00000000-0005-0000-0000-000045020000}"/>
    <cellStyle name="Percent 4" xfId="582" xr:uid="{00000000-0005-0000-0000-000046020000}"/>
    <cellStyle name="PERCENTAGE" xfId="583" xr:uid="{00000000-0005-0000-0000-000047020000}"/>
    <cellStyle name="pricing" xfId="584" xr:uid="{00000000-0005-0000-0000-000048020000}"/>
    <cellStyle name="PSChar" xfId="585" xr:uid="{00000000-0005-0000-0000-000049020000}"/>
    <cellStyle name="PSDec" xfId="586" xr:uid="{00000000-0005-0000-0000-00004A020000}"/>
    <cellStyle name="PSDec 2" xfId="587" xr:uid="{00000000-0005-0000-0000-00004B020000}"/>
    <cellStyle name="PSDec 3" xfId="588" xr:uid="{00000000-0005-0000-0000-00004C020000}"/>
    <cellStyle name="PSDec 4" xfId="589" xr:uid="{00000000-0005-0000-0000-00004D020000}"/>
    <cellStyle name="PSDec 5" xfId="590" xr:uid="{00000000-0005-0000-0000-00004E020000}"/>
    <cellStyle name="PSDec 6" xfId="591" xr:uid="{00000000-0005-0000-0000-00004F020000}"/>
    <cellStyle name="PSDec 7" xfId="592" xr:uid="{00000000-0005-0000-0000-000050020000}"/>
    <cellStyle name="PSDec 8" xfId="593" xr:uid="{00000000-0005-0000-0000-000051020000}"/>
    <cellStyle name="PSHeading" xfId="594" xr:uid="{00000000-0005-0000-0000-000052020000}"/>
    <cellStyle name="Reporting Bold" xfId="595" xr:uid="{00000000-0005-0000-0000-000053020000}"/>
    <cellStyle name="Reporting Bold 12" xfId="596" xr:uid="{00000000-0005-0000-0000-000054020000}"/>
    <cellStyle name="Reporting Bold 14" xfId="597" xr:uid="{00000000-0005-0000-0000-000055020000}"/>
    <cellStyle name="Reporting Normal" xfId="598" xr:uid="{00000000-0005-0000-0000-000056020000}"/>
    <cellStyle name="RevList" xfId="599" xr:uid="{00000000-0005-0000-0000-000057020000}"/>
    <cellStyle name="Sheet Title" xfId="600" xr:uid="{00000000-0005-0000-0000-000058020000}"/>
    <cellStyle name="Sledovan? hypertextov? odkaz" xfId="601" xr:uid="{00000000-0005-0000-0000-000059020000}"/>
    <cellStyle name="Style 1" xfId="602" xr:uid="{00000000-0005-0000-0000-00005A020000}"/>
    <cellStyle name="Subtotal" xfId="603" xr:uid="{00000000-0005-0000-0000-00005B020000}"/>
    <cellStyle name="TBI" xfId="604" xr:uid="{00000000-0005-0000-0000-00005C020000}"/>
    <cellStyle name="Tickmark" xfId="605" xr:uid="{00000000-0005-0000-0000-00005D020000}"/>
    <cellStyle name="Title 2" xfId="606" xr:uid="{00000000-0005-0000-0000-00005E020000}"/>
    <cellStyle name="Title 3" xfId="607" xr:uid="{00000000-0005-0000-0000-00005F020000}"/>
    <cellStyle name="Total 2" xfId="608" xr:uid="{00000000-0005-0000-0000-000060020000}"/>
    <cellStyle name="Total 3" xfId="609" xr:uid="{00000000-0005-0000-0000-000061020000}"/>
    <cellStyle name="Warning Text 2" xfId="610" xr:uid="{00000000-0005-0000-0000-000062020000}"/>
    <cellStyle name="Warning Text 3" xfId="611" xr:uid="{00000000-0005-0000-0000-000063020000}"/>
    <cellStyle name="Акцент1" xfId="612" xr:uid="{00000000-0005-0000-0000-000064020000}"/>
    <cellStyle name="Акцент2" xfId="613" xr:uid="{00000000-0005-0000-0000-000065020000}"/>
    <cellStyle name="Акцент3" xfId="614" xr:uid="{00000000-0005-0000-0000-000066020000}"/>
    <cellStyle name="Акцент4" xfId="615" xr:uid="{00000000-0005-0000-0000-000067020000}"/>
    <cellStyle name="Акцент5" xfId="616" xr:uid="{00000000-0005-0000-0000-000068020000}"/>
    <cellStyle name="Акцент6" xfId="617" xr:uid="{00000000-0005-0000-0000-000069020000}"/>
    <cellStyle name="Ввод " xfId="618" xr:uid="{00000000-0005-0000-0000-00006A020000}"/>
    <cellStyle name="Вывод" xfId="619" xr:uid="{00000000-0005-0000-0000-00006B020000}"/>
    <cellStyle name="Вычисление" xfId="620" xr:uid="{00000000-0005-0000-0000-00006C020000}"/>
    <cellStyle name="Гиперссылка_5677.7 IAS 29 Fixed assets as at 01 01 01" xfId="621" xr:uid="{00000000-0005-0000-0000-00006D020000}"/>
    <cellStyle name="Денежный [0]_01.12.2004" xfId="622" xr:uid="{00000000-0005-0000-0000-00006E020000}"/>
    <cellStyle name="Денежный_01.12.2004" xfId="623" xr:uid="{00000000-0005-0000-0000-00006F020000}"/>
    <cellStyle name="Заголовок 1" xfId="624" xr:uid="{00000000-0005-0000-0000-000070020000}"/>
    <cellStyle name="Заголовок 2" xfId="625" xr:uid="{00000000-0005-0000-0000-000071020000}"/>
    <cellStyle name="Заголовок 3" xfId="626" xr:uid="{00000000-0005-0000-0000-000072020000}"/>
    <cellStyle name="Заголовок 4" xfId="627" xr:uid="{00000000-0005-0000-0000-000073020000}"/>
    <cellStyle name="Звичайний_~0572556" xfId="628" xr:uid="{00000000-0005-0000-0000-000074020000}"/>
    <cellStyle name="Итог" xfId="629" xr:uid="{00000000-0005-0000-0000-000075020000}"/>
    <cellStyle name="Контрольная ячейка" xfId="630" xr:uid="{00000000-0005-0000-0000-000076020000}"/>
    <cellStyle name="Название" xfId="631" xr:uid="{00000000-0005-0000-0000-000077020000}"/>
    <cellStyle name="Нейтральный" xfId="632" xr:uid="{00000000-0005-0000-0000-000078020000}"/>
    <cellStyle name="Обычный 2" xfId="633" xr:uid="{00000000-0005-0000-0000-000079020000}"/>
    <cellStyle name="Обычный_~0034951" xfId="634" xr:uid="{00000000-0005-0000-0000-00007A020000}"/>
    <cellStyle name="Открывавшаяся гиперссылка_5677.7 IAS 29 Fixed assets as at 01 01 01" xfId="635" xr:uid="{00000000-0005-0000-0000-00007B020000}"/>
    <cellStyle name="Плохой" xfId="636" xr:uid="{00000000-0005-0000-0000-00007C020000}"/>
    <cellStyle name="Пояснение" xfId="637" xr:uid="{00000000-0005-0000-0000-00007D020000}"/>
    <cellStyle name="Примечание" xfId="638" xr:uid="{00000000-0005-0000-0000-00007E020000}"/>
    <cellStyle name="Связанная ячейка" xfId="639" xr:uid="{00000000-0005-0000-0000-00007F020000}"/>
    <cellStyle name="Стиль 1" xfId="640" xr:uid="{00000000-0005-0000-0000-000080020000}"/>
    <cellStyle name="Текст предупреждения" xfId="641" xr:uid="{00000000-0005-0000-0000-000081020000}"/>
    <cellStyle name="Тысячи [0]_dialog1" xfId="642" xr:uid="{00000000-0005-0000-0000-000082020000}"/>
    <cellStyle name="Тысячи_dialog1" xfId="643" xr:uid="{00000000-0005-0000-0000-000083020000}"/>
    <cellStyle name="Финансовый [0]_01.12.2004" xfId="644" xr:uid="{00000000-0005-0000-0000-000084020000}"/>
    <cellStyle name="Финансовый_01.12.2004" xfId="645" xr:uid="{00000000-0005-0000-0000-000085020000}"/>
    <cellStyle name="Фінансовий_tabl2005-1 kf" xfId="646" xr:uid="{00000000-0005-0000-0000-000086020000}"/>
    <cellStyle name="Хороший" xfId="647" xr:uid="{00000000-0005-0000-0000-000087020000}"/>
    <cellStyle name="הדגשה1" xfId="648" xr:uid="{00000000-0005-0000-0000-000088020000}"/>
    <cellStyle name="הדגשה2" xfId="649" xr:uid="{00000000-0005-0000-0000-000089020000}"/>
    <cellStyle name="הדגשה3" xfId="650" xr:uid="{00000000-0005-0000-0000-00008A020000}"/>
    <cellStyle name="הדגשה4" xfId="651" xr:uid="{00000000-0005-0000-0000-00008B020000}"/>
    <cellStyle name="הדגשה5" xfId="652" xr:uid="{00000000-0005-0000-0000-00008C020000}"/>
    <cellStyle name="הדגשה6" xfId="653" xr:uid="{00000000-0005-0000-0000-00008D020000}"/>
    <cellStyle name="הערה" xfId="654" xr:uid="{00000000-0005-0000-0000-00008E020000}"/>
    <cellStyle name="חישוב" xfId="655" xr:uid="{00000000-0005-0000-0000-00008F020000}"/>
    <cellStyle name="טוב" xfId="656" xr:uid="{00000000-0005-0000-0000-000090020000}"/>
    <cellStyle name="טקסט אזהרה" xfId="657" xr:uid="{00000000-0005-0000-0000-000091020000}"/>
    <cellStyle name="טקסט הסברי" xfId="658" xr:uid="{00000000-0005-0000-0000-000092020000}"/>
    <cellStyle name="כותרת" xfId="659" xr:uid="{00000000-0005-0000-0000-000093020000}"/>
    <cellStyle name="כותרת 1" xfId="660" xr:uid="{00000000-0005-0000-0000-000094020000}"/>
    <cellStyle name="כותרת 2" xfId="661" xr:uid="{00000000-0005-0000-0000-000095020000}"/>
    <cellStyle name="כותרת 3" xfId="662" xr:uid="{00000000-0005-0000-0000-000096020000}"/>
    <cellStyle name="כותרת 4" xfId="663" xr:uid="{00000000-0005-0000-0000-000097020000}"/>
    <cellStyle name="ניטראלי" xfId="664" xr:uid="{00000000-0005-0000-0000-000098020000}"/>
    <cellStyle name="סה&quot;כ" xfId="665" xr:uid="{00000000-0005-0000-0000-000099020000}"/>
    <cellStyle name="פלט" xfId="666" xr:uid="{00000000-0005-0000-0000-00009A020000}"/>
    <cellStyle name="קלט" xfId="667" xr:uid="{00000000-0005-0000-0000-00009B020000}"/>
    <cellStyle name="רע" xfId="668" xr:uid="{00000000-0005-0000-0000-00009C020000}"/>
    <cellStyle name="תא מסומן" xfId="669" xr:uid="{00000000-0005-0000-0000-00009D020000}"/>
    <cellStyle name="תא מקושר" xfId="670" xr:uid="{00000000-0005-0000-0000-00009E02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72"/>
  <sheetViews>
    <sheetView zoomScaleNormal="100"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5"/>
  <cols>
    <col min="1" max="1" width="4.5703125" style="4" customWidth="1"/>
    <col min="2" max="2" width="64.140625" style="6" customWidth="1"/>
    <col min="3" max="3" width="18.5703125" style="6" customWidth="1"/>
    <col min="4" max="4" width="18.28515625" style="6" customWidth="1"/>
    <col min="5" max="5" width="19.85546875" style="6" customWidth="1"/>
    <col min="6" max="6" width="20.140625" style="6" customWidth="1"/>
    <col min="7" max="7" width="18.140625" style="6" customWidth="1"/>
    <col min="8" max="9" width="16.85546875" style="6" customWidth="1"/>
    <col min="10" max="10" width="17.7109375" style="7" customWidth="1"/>
    <col min="11" max="11" width="6.7109375" style="6" customWidth="1"/>
    <col min="12" max="16384" width="9.140625" style="6"/>
  </cols>
  <sheetData>
    <row r="1" spans="1:10">
      <c r="B1" s="227" t="s">
        <v>123</v>
      </c>
    </row>
    <row r="2" spans="1:10" s="11" customFormat="1" ht="18">
      <c r="A2" s="8"/>
      <c r="B2" s="9" t="s">
        <v>109</v>
      </c>
      <c r="C2" s="10"/>
      <c r="D2" s="10"/>
      <c r="E2" s="10"/>
      <c r="J2" s="12"/>
    </row>
    <row r="3" spans="1:10">
      <c r="B3" s="13"/>
      <c r="C3" s="10"/>
      <c r="D3" s="10"/>
      <c r="E3" s="10"/>
      <c r="J3" s="14"/>
    </row>
    <row r="4" spans="1:10">
      <c r="B4" s="132" t="s">
        <v>121</v>
      </c>
      <c r="C4" s="10"/>
      <c r="D4" s="10"/>
      <c r="E4" s="10"/>
      <c r="J4" s="14"/>
    </row>
    <row r="5" spans="1:10">
      <c r="B5" s="220" t="s">
        <v>179</v>
      </c>
      <c r="C5" s="10"/>
      <c r="D5" s="10"/>
      <c r="E5" s="10"/>
      <c r="J5" s="14"/>
    </row>
    <row r="6" spans="1:10" ht="15.75" thickBot="1">
      <c r="B6" s="1"/>
      <c r="J6" s="14" t="s">
        <v>107</v>
      </c>
    </row>
    <row r="7" spans="1:10" s="19" customFormat="1" ht="126.75" customHeight="1" thickBot="1">
      <c r="A7" s="221" t="s">
        <v>176</v>
      </c>
      <c r="B7" s="15" t="s">
        <v>178</v>
      </c>
      <c r="C7" s="16" t="s">
        <v>113</v>
      </c>
      <c r="D7" s="16" t="s">
        <v>114</v>
      </c>
      <c r="E7" s="16" t="s">
        <v>83</v>
      </c>
      <c r="F7" s="16" t="s">
        <v>84</v>
      </c>
      <c r="G7" s="16" t="s">
        <v>26</v>
      </c>
      <c r="H7" s="17" t="s">
        <v>85</v>
      </c>
      <c r="I7" s="17" t="s">
        <v>86</v>
      </c>
      <c r="J7" s="18" t="s">
        <v>69</v>
      </c>
    </row>
    <row r="8" spans="1:10" s="21" customFormat="1" ht="15.75" thickBot="1">
      <c r="A8" s="205" t="s">
        <v>155</v>
      </c>
      <c r="B8" s="219" t="s">
        <v>48</v>
      </c>
      <c r="C8" s="229">
        <f t="shared" ref="C8:I8" si="0">SUM(C9:C12)</f>
        <v>0</v>
      </c>
      <c r="D8" s="149">
        <f t="shared" si="0"/>
        <v>0</v>
      </c>
      <c r="E8" s="149">
        <f t="shared" si="0"/>
        <v>0</v>
      </c>
      <c r="F8" s="149">
        <f t="shared" si="0"/>
        <v>0</v>
      </c>
      <c r="G8" s="150">
        <f t="shared" si="0"/>
        <v>0</v>
      </c>
      <c r="H8" s="229">
        <f t="shared" si="0"/>
        <v>0</v>
      </c>
      <c r="I8" s="148">
        <f t="shared" si="0"/>
        <v>0</v>
      </c>
      <c r="J8" s="230"/>
    </row>
    <row r="9" spans="1:10" s="7" customFormat="1">
      <c r="A9" s="206"/>
      <c r="B9" s="133" t="s">
        <v>49</v>
      </c>
      <c r="C9" s="151"/>
      <c r="D9" s="152"/>
      <c r="E9" s="152"/>
      <c r="F9" s="153"/>
      <c r="G9" s="154"/>
      <c r="H9" s="231"/>
      <c r="I9" s="152"/>
      <c r="J9" s="230"/>
    </row>
    <row r="10" spans="1:10">
      <c r="A10" s="207"/>
      <c r="B10" s="134" t="s">
        <v>50</v>
      </c>
      <c r="C10" s="155"/>
      <c r="D10" s="156"/>
      <c r="E10" s="156"/>
      <c r="F10" s="157"/>
      <c r="G10" s="158"/>
      <c r="H10" s="232"/>
      <c r="I10" s="156"/>
      <c r="J10" s="230"/>
    </row>
    <row r="11" spans="1:10">
      <c r="A11" s="207"/>
      <c r="B11" s="134" t="s">
        <v>139</v>
      </c>
      <c r="C11" s="155"/>
      <c r="D11" s="156"/>
      <c r="E11" s="156"/>
      <c r="F11" s="157"/>
      <c r="G11" s="158"/>
      <c r="H11" s="232"/>
      <c r="I11" s="156"/>
      <c r="J11" s="230"/>
    </row>
    <row r="12" spans="1:10" s="5" customFormat="1" ht="15.75" thickBot="1">
      <c r="A12" s="208"/>
      <c r="B12" s="135" t="s">
        <v>140</v>
      </c>
      <c r="C12" s="159"/>
      <c r="D12" s="160"/>
      <c r="E12" s="160"/>
      <c r="F12" s="161"/>
      <c r="G12" s="162"/>
      <c r="H12" s="231"/>
      <c r="I12" s="152"/>
      <c r="J12" s="230"/>
    </row>
    <row r="13" spans="1:10" s="5" customFormat="1" ht="15.75" thickBot="1">
      <c r="A13" s="203" t="s">
        <v>156</v>
      </c>
      <c r="B13" s="219" t="s">
        <v>52</v>
      </c>
      <c r="C13" s="163"/>
      <c r="D13" s="164"/>
      <c r="E13" s="164"/>
      <c r="F13" s="165"/>
      <c r="G13" s="166"/>
      <c r="H13" s="233"/>
      <c r="I13" s="233"/>
      <c r="J13" s="230"/>
    </row>
    <row r="14" spans="1:10" ht="15.75" thickBot="1">
      <c r="A14" s="209" t="s">
        <v>157</v>
      </c>
      <c r="B14" s="219" t="s">
        <v>51</v>
      </c>
      <c r="C14" s="147">
        <f>SUM(C15:C16)</f>
        <v>0</v>
      </c>
      <c r="D14" s="148">
        <f>SUM(D15:D16)</f>
        <v>0</v>
      </c>
      <c r="E14" s="148">
        <f>SUM(E15:E16)</f>
        <v>0</v>
      </c>
      <c r="F14" s="148">
        <f>SUM(F15:F16)</f>
        <v>0</v>
      </c>
      <c r="G14" s="150">
        <f>SUM(G15:G16)</f>
        <v>0</v>
      </c>
      <c r="H14" s="233"/>
      <c r="I14" s="234"/>
      <c r="J14" s="230"/>
    </row>
    <row r="15" spans="1:10">
      <c r="A15" s="206"/>
      <c r="B15" s="143" t="s">
        <v>141</v>
      </c>
      <c r="C15" s="167"/>
      <c r="D15" s="168"/>
      <c r="E15" s="168"/>
      <c r="F15" s="168"/>
      <c r="G15" s="169"/>
      <c r="H15" s="233"/>
      <c r="I15" s="234"/>
      <c r="J15" s="230"/>
    </row>
    <row r="16" spans="1:10" s="5" customFormat="1" ht="30.75" thickBot="1">
      <c r="A16" s="210"/>
      <c r="B16" s="136" t="s">
        <v>142</v>
      </c>
      <c r="C16" s="170"/>
      <c r="D16" s="171"/>
      <c r="E16" s="171"/>
      <c r="F16" s="171"/>
      <c r="G16" s="172"/>
      <c r="H16" s="233"/>
      <c r="I16" s="234"/>
      <c r="J16" s="230"/>
    </row>
    <row r="17" spans="1:10" s="5" customFormat="1" ht="15.75" thickBot="1">
      <c r="A17" s="203" t="s">
        <v>158</v>
      </c>
      <c r="B17" s="219" t="s">
        <v>53</v>
      </c>
      <c r="C17" s="173"/>
      <c r="D17" s="174"/>
      <c r="E17" s="174"/>
      <c r="F17" s="175"/>
      <c r="G17" s="176"/>
      <c r="H17" s="233"/>
      <c r="I17" s="234"/>
      <c r="J17" s="230"/>
    </row>
    <row r="18" spans="1:10" ht="27" thickBot="1">
      <c r="A18" s="211" t="s">
        <v>159</v>
      </c>
      <c r="B18" s="219" t="s">
        <v>143</v>
      </c>
      <c r="C18" s="147">
        <f>SUM(C19:C20)</f>
        <v>0</v>
      </c>
      <c r="D18" s="148">
        <f>SUM(D19:D20)</f>
        <v>0</v>
      </c>
      <c r="E18" s="148">
        <f>SUM(E19:E20)</f>
        <v>0</v>
      </c>
      <c r="F18" s="149">
        <f>SUM(F19:F20)</f>
        <v>0</v>
      </c>
      <c r="G18" s="150">
        <f>SUM(G19:G20)</f>
        <v>0</v>
      </c>
      <c r="H18" s="233"/>
      <c r="I18" s="234"/>
      <c r="J18" s="230"/>
    </row>
    <row r="19" spans="1:10" ht="30">
      <c r="A19" s="212"/>
      <c r="B19" s="137" t="s">
        <v>54</v>
      </c>
      <c r="C19" s="151"/>
      <c r="D19" s="152"/>
      <c r="E19" s="152"/>
      <c r="F19" s="152"/>
      <c r="G19" s="154"/>
      <c r="H19" s="233"/>
      <c r="I19" s="234"/>
      <c r="J19" s="230"/>
    </row>
    <row r="20" spans="1:10" ht="15.75" thickBot="1">
      <c r="A20" s="208"/>
      <c r="B20" s="138" t="s">
        <v>55</v>
      </c>
      <c r="C20" s="235"/>
      <c r="D20" s="236"/>
      <c r="E20" s="236"/>
      <c r="F20" s="236"/>
      <c r="G20" s="237"/>
      <c r="H20" s="233"/>
      <c r="I20" s="234"/>
      <c r="J20" s="230"/>
    </row>
    <row r="21" spans="1:10" ht="27" thickBot="1">
      <c r="A21" s="211" t="s">
        <v>160</v>
      </c>
      <c r="B21" s="219" t="s">
        <v>144</v>
      </c>
      <c r="C21" s="177">
        <f>SUM(C22:C24)</f>
        <v>0</v>
      </c>
      <c r="D21" s="178">
        <f>SUM(D22:D24)</f>
        <v>0</v>
      </c>
      <c r="E21" s="178">
        <f>SUM(E22:E24)</f>
        <v>0</v>
      </c>
      <c r="F21" s="179">
        <f>SUM(F22:F24)</f>
        <v>0</v>
      </c>
      <c r="G21" s="180">
        <f>SUM(G22:G24)</f>
        <v>0</v>
      </c>
      <c r="H21" s="233"/>
      <c r="I21" s="234"/>
      <c r="J21" s="230"/>
    </row>
    <row r="22" spans="1:10" s="5" customFormat="1" ht="30">
      <c r="A22" s="213"/>
      <c r="B22" s="137" t="s">
        <v>56</v>
      </c>
      <c r="C22" s="181"/>
      <c r="D22" s="182"/>
      <c r="E22" s="182"/>
      <c r="F22" s="183"/>
      <c r="G22" s="184"/>
      <c r="H22" s="233"/>
      <c r="I22" s="234"/>
      <c r="J22" s="230"/>
    </row>
    <row r="23" spans="1:10" ht="30">
      <c r="A23" s="207"/>
      <c r="B23" s="139" t="s">
        <v>57</v>
      </c>
      <c r="C23" s="235"/>
      <c r="D23" s="236"/>
      <c r="E23" s="236"/>
      <c r="F23" s="236"/>
      <c r="G23" s="237"/>
      <c r="H23" s="233"/>
      <c r="I23" s="234"/>
      <c r="J23" s="230"/>
    </row>
    <row r="24" spans="1:10" ht="30.75" thickBot="1">
      <c r="A24" s="214"/>
      <c r="B24" s="138" t="s">
        <v>58</v>
      </c>
      <c r="C24" s="181"/>
      <c r="D24" s="182"/>
      <c r="E24" s="182"/>
      <c r="F24" s="183"/>
      <c r="G24" s="184"/>
      <c r="H24" s="233"/>
      <c r="I24" s="234"/>
      <c r="J24" s="230"/>
    </row>
    <row r="25" spans="1:10" ht="15.75" thickBot="1">
      <c r="A25" s="211" t="s">
        <v>161</v>
      </c>
      <c r="B25" s="219" t="s">
        <v>59</v>
      </c>
      <c r="C25" s="173"/>
      <c r="D25" s="174"/>
      <c r="E25" s="174"/>
      <c r="F25" s="175"/>
      <c r="G25" s="176"/>
      <c r="H25" s="233"/>
      <c r="I25" s="234"/>
      <c r="J25" s="230"/>
    </row>
    <row r="26" spans="1:10" ht="27" thickBot="1">
      <c r="A26" s="211" t="s">
        <v>162</v>
      </c>
      <c r="B26" s="219" t="s">
        <v>145</v>
      </c>
      <c r="C26" s="185"/>
      <c r="D26" s="186"/>
      <c r="E26" s="186"/>
      <c r="F26" s="187"/>
      <c r="G26" s="188"/>
      <c r="H26" s="233"/>
      <c r="I26" s="234"/>
      <c r="J26" s="230"/>
    </row>
    <row r="27" spans="1:10" s="5" customFormat="1" ht="27" thickBot="1">
      <c r="A27" s="211" t="s">
        <v>163</v>
      </c>
      <c r="B27" s="219" t="s">
        <v>60</v>
      </c>
      <c r="C27" s="177">
        <f>SUM(C28:C29)</f>
        <v>0</v>
      </c>
      <c r="D27" s="178">
        <f>SUM(D28:D29)</f>
        <v>0</v>
      </c>
      <c r="E27" s="178">
        <f>SUM(E28:E29)</f>
        <v>0</v>
      </c>
      <c r="F27" s="178">
        <f>SUM(F28:F29)</f>
        <v>0</v>
      </c>
      <c r="G27" s="180">
        <f>SUM(G28:G29)</f>
        <v>0</v>
      </c>
      <c r="H27" s="233"/>
      <c r="I27" s="234"/>
      <c r="J27" s="230"/>
    </row>
    <row r="28" spans="1:10" s="5" customFormat="1">
      <c r="A28" s="212"/>
      <c r="B28" s="137" t="s">
        <v>112</v>
      </c>
      <c r="C28" s="238"/>
      <c r="D28" s="152"/>
      <c r="E28" s="152"/>
      <c r="F28" s="239"/>
      <c r="G28" s="240"/>
      <c r="H28" s="233"/>
      <c r="I28" s="234"/>
      <c r="J28" s="230"/>
    </row>
    <row r="29" spans="1:10" ht="30.75" thickBot="1">
      <c r="A29" s="208"/>
      <c r="B29" s="138" t="s">
        <v>146</v>
      </c>
      <c r="C29" s="241"/>
      <c r="D29" s="242"/>
      <c r="E29" s="189"/>
      <c r="F29" s="189"/>
      <c r="G29" s="190"/>
      <c r="H29" s="233"/>
      <c r="I29" s="234"/>
      <c r="J29" s="230"/>
    </row>
    <row r="30" spans="1:10" ht="27" thickBot="1">
      <c r="A30" s="211" t="s">
        <v>164</v>
      </c>
      <c r="B30" s="219" t="s">
        <v>147</v>
      </c>
      <c r="C30" s="173"/>
      <c r="D30" s="174"/>
      <c r="E30" s="174"/>
      <c r="F30" s="175"/>
      <c r="G30" s="176"/>
      <c r="H30" s="233"/>
      <c r="I30" s="234"/>
      <c r="J30" s="230"/>
    </row>
    <row r="31" spans="1:10" s="5" customFormat="1" ht="27" thickBot="1">
      <c r="A31" s="211" t="s">
        <v>165</v>
      </c>
      <c r="B31" s="219" t="s">
        <v>61</v>
      </c>
      <c r="C31" s="177">
        <f>SUM(C32:C33)</f>
        <v>0</v>
      </c>
      <c r="D31" s="178">
        <f>SUM(D32:D33)</f>
        <v>0</v>
      </c>
      <c r="E31" s="178">
        <f>SUM(E32:E33)</f>
        <v>0</v>
      </c>
      <c r="F31" s="179">
        <f>SUM(F32:F33)</f>
        <v>0</v>
      </c>
      <c r="G31" s="180">
        <f>SUM(G32:G33)</f>
        <v>0</v>
      </c>
      <c r="H31" s="233"/>
      <c r="I31" s="234"/>
      <c r="J31" s="230"/>
    </row>
    <row r="32" spans="1:10" s="5" customFormat="1">
      <c r="A32" s="212"/>
      <c r="B32" s="140" t="s">
        <v>148</v>
      </c>
      <c r="C32" s="170"/>
      <c r="D32" s="171"/>
      <c r="E32" s="171"/>
      <c r="F32" s="191"/>
      <c r="G32" s="172"/>
      <c r="H32" s="233"/>
      <c r="I32" s="234"/>
      <c r="J32" s="230"/>
    </row>
    <row r="33" spans="1:19" ht="30.75" thickBot="1">
      <c r="A33" s="208"/>
      <c r="B33" s="138" t="s">
        <v>149</v>
      </c>
      <c r="C33" s="241"/>
      <c r="D33" s="242"/>
      <c r="E33" s="242"/>
      <c r="F33" s="242"/>
      <c r="G33" s="243"/>
      <c r="H33" s="233"/>
      <c r="I33" s="234"/>
      <c r="J33" s="230"/>
    </row>
    <row r="34" spans="1:19" ht="15.75" thickBot="1">
      <c r="A34" s="211" t="s">
        <v>166</v>
      </c>
      <c r="B34" s="219" t="s">
        <v>62</v>
      </c>
      <c r="C34" s="185"/>
      <c r="D34" s="186"/>
      <c r="E34" s="186"/>
      <c r="F34" s="187"/>
      <c r="G34" s="188"/>
      <c r="H34" s="233"/>
      <c r="I34" s="234"/>
      <c r="J34" s="230"/>
    </row>
    <row r="35" spans="1:19" ht="27" thickBot="1">
      <c r="A35" s="211" t="s">
        <v>167</v>
      </c>
      <c r="B35" s="219" t="s">
        <v>150</v>
      </c>
      <c r="C35" s="173"/>
      <c r="D35" s="174"/>
      <c r="E35" s="174"/>
      <c r="F35" s="175"/>
      <c r="G35" s="176"/>
      <c r="H35" s="233"/>
      <c r="I35" s="234"/>
      <c r="J35" s="230"/>
    </row>
    <row r="36" spans="1:19" s="5" customFormat="1" ht="15.75" thickBot="1">
      <c r="A36" s="211" t="s">
        <v>168</v>
      </c>
      <c r="B36" s="219" t="s">
        <v>63</v>
      </c>
      <c r="C36" s="173"/>
      <c r="D36" s="174"/>
      <c r="E36" s="174"/>
      <c r="F36" s="175"/>
      <c r="G36" s="176"/>
      <c r="H36" s="233"/>
      <c r="I36" s="234"/>
      <c r="J36" s="230"/>
    </row>
    <row r="37" spans="1:19" s="5" customFormat="1" ht="15.75" thickBot="1">
      <c r="A37" s="211" t="s">
        <v>169</v>
      </c>
      <c r="B37" s="219" t="s">
        <v>151</v>
      </c>
      <c r="C37" s="147">
        <f>SUM(C38:C40)</f>
        <v>0</v>
      </c>
      <c r="D37" s="148">
        <f>SUM(D38:D40)</f>
        <v>0</v>
      </c>
      <c r="E37" s="148">
        <f>SUM(E38:E40)</f>
        <v>0</v>
      </c>
      <c r="F37" s="149">
        <f>SUM(F38:F40)</f>
        <v>0</v>
      </c>
      <c r="G37" s="150">
        <f>SUM(G38:G40)</f>
        <v>0</v>
      </c>
      <c r="H37" s="233"/>
      <c r="I37" s="234"/>
      <c r="J37" s="230"/>
    </row>
    <row r="38" spans="1:19" s="5" customFormat="1" ht="30">
      <c r="A38" s="213"/>
      <c r="B38" s="141" t="s">
        <v>64</v>
      </c>
      <c r="C38" s="192"/>
      <c r="D38" s="193"/>
      <c r="E38" s="193"/>
      <c r="F38" s="193"/>
      <c r="G38" s="194"/>
      <c r="H38" s="233"/>
      <c r="I38" s="234"/>
      <c r="J38" s="230"/>
    </row>
    <row r="39" spans="1:19">
      <c r="A39" s="207"/>
      <c r="B39" s="139" t="s">
        <v>65</v>
      </c>
      <c r="C39" s="235"/>
      <c r="D39" s="236"/>
      <c r="E39" s="236"/>
      <c r="F39" s="236"/>
      <c r="G39" s="237"/>
      <c r="H39" s="233"/>
      <c r="I39" s="234"/>
      <c r="J39" s="230"/>
    </row>
    <row r="40" spans="1:19" ht="15.75" thickBot="1">
      <c r="A40" s="215"/>
      <c r="B40" s="144" t="s">
        <v>66</v>
      </c>
      <c r="C40" s="195"/>
      <c r="D40" s="189"/>
      <c r="E40" s="189"/>
      <c r="F40" s="189"/>
      <c r="G40" s="190"/>
      <c r="H40" s="233"/>
      <c r="I40" s="234"/>
      <c r="J40" s="230"/>
    </row>
    <row r="41" spans="1:19" ht="15.75" thickBot="1">
      <c r="A41" s="211" t="s">
        <v>170</v>
      </c>
      <c r="B41" s="219" t="s">
        <v>67</v>
      </c>
      <c r="C41" s="196"/>
      <c r="D41" s="197"/>
      <c r="E41" s="197"/>
      <c r="F41" s="197"/>
      <c r="G41" s="198"/>
      <c r="H41" s="233"/>
      <c r="I41" s="234"/>
      <c r="J41" s="230"/>
    </row>
    <row r="42" spans="1:19" s="5" customFormat="1" ht="27" thickBot="1">
      <c r="A42" s="211" t="s">
        <v>171</v>
      </c>
      <c r="B42" s="219" t="s">
        <v>152</v>
      </c>
      <c r="C42" s="177">
        <f>SUM(C43:C45)</f>
        <v>0</v>
      </c>
      <c r="D42" s="178">
        <f>SUM(D43:D45)</f>
        <v>0</v>
      </c>
      <c r="E42" s="178">
        <f>SUM(E43:E45)</f>
        <v>0</v>
      </c>
      <c r="F42" s="178">
        <f>SUM(F43:F45)</f>
        <v>0</v>
      </c>
      <c r="G42" s="180">
        <f>SUM(G43:G45)</f>
        <v>0</v>
      </c>
      <c r="H42" s="233"/>
      <c r="I42" s="234"/>
      <c r="J42" s="230"/>
    </row>
    <row r="43" spans="1:19" s="5" customFormat="1">
      <c r="A43" s="213"/>
      <c r="B43" s="142" t="s">
        <v>102</v>
      </c>
      <c r="C43" s="238"/>
      <c r="D43" s="239"/>
      <c r="E43" s="239"/>
      <c r="F43" s="239"/>
      <c r="G43" s="240"/>
      <c r="H43" s="233"/>
      <c r="I43" s="234"/>
      <c r="J43" s="230"/>
    </row>
    <row r="44" spans="1:19" s="22" customFormat="1">
      <c r="A44" s="216"/>
      <c r="B44" s="145" t="s">
        <v>103</v>
      </c>
      <c r="C44" s="155"/>
      <c r="D44" s="156"/>
      <c r="E44" s="156"/>
      <c r="F44" s="156"/>
      <c r="G44" s="158"/>
      <c r="H44" s="233"/>
      <c r="I44" s="234"/>
      <c r="J44" s="230"/>
    </row>
    <row r="45" spans="1:19" ht="15.75" thickBot="1">
      <c r="A45" s="217"/>
      <c r="B45" s="145" t="s">
        <v>104</v>
      </c>
      <c r="C45" s="195"/>
      <c r="D45" s="189"/>
      <c r="E45" s="189"/>
      <c r="F45" s="189"/>
      <c r="G45" s="190"/>
      <c r="H45" s="233"/>
      <c r="I45" s="234"/>
      <c r="J45" s="230"/>
    </row>
    <row r="46" spans="1:19" ht="15.75" thickBot="1">
      <c r="A46" s="211" t="s">
        <v>172</v>
      </c>
      <c r="B46" s="219" t="s">
        <v>105</v>
      </c>
      <c r="C46" s="185"/>
      <c r="D46" s="186"/>
      <c r="E46" s="186"/>
      <c r="F46" s="186"/>
      <c r="G46" s="188"/>
      <c r="H46" s="233"/>
      <c r="I46" s="234"/>
      <c r="J46" s="230"/>
      <c r="K46" s="7"/>
      <c r="L46" s="7"/>
      <c r="M46" s="7"/>
      <c r="N46" s="7"/>
      <c r="O46" s="7"/>
      <c r="P46" s="7"/>
      <c r="Q46" s="7"/>
      <c r="R46" s="7"/>
      <c r="S46" s="7"/>
    </row>
    <row r="47" spans="1:19" s="19" customFormat="1" ht="15" customHeight="1" thickBot="1">
      <c r="A47" s="211">
        <v>19</v>
      </c>
      <c r="B47" s="218" t="s">
        <v>154</v>
      </c>
      <c r="C47" s="244"/>
      <c r="D47" s="245"/>
      <c r="E47" s="245"/>
      <c r="F47" s="245"/>
      <c r="G47" s="246"/>
      <c r="H47" s="247"/>
      <c r="I47" s="248"/>
      <c r="J47" s="176"/>
    </row>
    <row r="48" spans="1:19" ht="15.75" thickBot="1">
      <c r="A48" s="204"/>
      <c r="B48" s="146" t="s">
        <v>68</v>
      </c>
      <c r="C48" s="199">
        <f>C8+C13+C14+C17+C18+C21+C25+C26+C27+C30+C31+C34+C35+C36+C37+C41+C42+C46</f>
        <v>0</v>
      </c>
      <c r="D48" s="200">
        <f>D8+D13+D14+D17+D18+D21+D25+D26+D27+D30+D31+D34+D35+D36+D37+D41+D42+D46</f>
        <v>0</v>
      </c>
      <c r="E48" s="200">
        <f>E8+E13+E14+E17+E18+E21+E25+E26+E27+E30+E31+E34+E35+E36+E37+E41+E42+E46</f>
        <v>0</v>
      </c>
      <c r="F48" s="200">
        <f>F8+F13+F14+F17+F18+F21+F25+F26+F27+F30+F31+F34+F35+F36+F37+F41+F42+F46</f>
        <v>0</v>
      </c>
      <c r="G48" s="201">
        <f>G8+G13+G14+G17+G18+G21+G25+G26+G27+G30+G31+G34+G35+G36+G37+G41+G42+G46</f>
        <v>0</v>
      </c>
      <c r="H48" s="249">
        <f>H8</f>
        <v>0</v>
      </c>
      <c r="I48" s="200">
        <f>I8</f>
        <v>0</v>
      </c>
      <c r="J48" s="201">
        <f>J47</f>
        <v>0</v>
      </c>
      <c r="K48" s="7"/>
      <c r="L48" s="7"/>
      <c r="M48" s="7"/>
      <c r="N48" s="7"/>
      <c r="O48" s="7"/>
      <c r="P48" s="7"/>
      <c r="Q48" s="7"/>
      <c r="R48" s="7"/>
      <c r="S48" s="7"/>
    </row>
    <row r="49" spans="1:46">
      <c r="A49" s="23"/>
      <c r="B49" s="24"/>
      <c r="C49" s="7"/>
      <c r="D49" s="7"/>
      <c r="E49" s="7"/>
      <c r="F49" s="7"/>
      <c r="G49" s="7"/>
      <c r="H49" s="7"/>
      <c r="I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 spans="1:46">
      <c r="A50" s="23"/>
      <c r="B50" s="25"/>
      <c r="C50" s="7"/>
      <c r="D50" s="202"/>
      <c r="E50" s="7"/>
      <c r="F50" s="7"/>
      <c r="G50" s="7"/>
      <c r="H50" s="7"/>
      <c r="I50" s="7"/>
    </row>
    <row r="51" spans="1:46" ht="18">
      <c r="A51" s="23"/>
      <c r="B51" s="227" t="s">
        <v>182</v>
      </c>
      <c r="C51" s="7"/>
      <c r="D51" s="7"/>
      <c r="E51" s="7"/>
      <c r="F51" s="7"/>
      <c r="G51" s="7"/>
      <c r="H51" s="7"/>
      <c r="I51" s="7"/>
    </row>
    <row r="52" spans="1:46">
      <c r="A52" s="26"/>
      <c r="B52" s="227" t="s">
        <v>183</v>
      </c>
      <c r="C52" s="7"/>
      <c r="D52" s="7"/>
      <c r="E52" s="7"/>
      <c r="F52" s="7"/>
      <c r="G52" s="7"/>
      <c r="H52" s="7"/>
      <c r="I52" s="7"/>
    </row>
    <row r="53" spans="1:46">
      <c r="A53" s="23"/>
      <c r="B53" s="227"/>
      <c r="C53" s="7"/>
      <c r="D53" s="7"/>
      <c r="E53" s="7"/>
      <c r="F53" s="7"/>
      <c r="G53" s="7"/>
      <c r="H53" s="7"/>
      <c r="I53" s="7"/>
    </row>
    <row r="54" spans="1:46">
      <c r="A54" s="23"/>
      <c r="B54" s="227"/>
      <c r="C54" s="7"/>
      <c r="D54" s="7"/>
      <c r="E54" s="7"/>
      <c r="F54" s="7"/>
      <c r="G54" s="7"/>
      <c r="H54" s="7"/>
      <c r="I54" s="7"/>
    </row>
    <row r="55" spans="1:46">
      <c r="A55" s="27"/>
      <c r="B55" s="227" t="s">
        <v>184</v>
      </c>
      <c r="C55" s="7"/>
      <c r="E55" s="7"/>
      <c r="G55" s="7"/>
      <c r="H55" s="7"/>
      <c r="I55" s="7"/>
    </row>
    <row r="56" spans="1:46">
      <c r="A56" s="27"/>
      <c r="B56" s="227" t="s">
        <v>185</v>
      </c>
      <c r="C56" s="7"/>
      <c r="D56" s="7"/>
      <c r="E56" s="7"/>
      <c r="F56" s="7"/>
      <c r="G56" s="7"/>
      <c r="H56" s="28"/>
      <c r="I56" s="7"/>
    </row>
    <row r="57" spans="1:46">
      <c r="A57" s="29"/>
      <c r="B57" s="7"/>
      <c r="C57" s="7"/>
      <c r="D57" s="7"/>
      <c r="E57" s="7"/>
      <c r="F57" s="7"/>
      <c r="G57" s="7"/>
      <c r="H57" s="7"/>
      <c r="I57" s="7"/>
    </row>
    <row r="58" spans="1:46">
      <c r="A58" s="26"/>
      <c r="B58" s="7"/>
      <c r="C58" s="7"/>
      <c r="D58" s="7"/>
      <c r="E58" s="7"/>
      <c r="F58" s="7"/>
      <c r="G58" s="7"/>
      <c r="H58" s="7"/>
      <c r="I58" s="7"/>
    </row>
    <row r="59" spans="1:46">
      <c r="A59" s="26"/>
      <c r="B59" s="30"/>
      <c r="C59" s="7"/>
      <c r="D59" s="7"/>
      <c r="E59" s="7"/>
      <c r="F59" s="7"/>
      <c r="G59" s="7"/>
      <c r="H59" s="7"/>
      <c r="I59" s="7"/>
    </row>
    <row r="60" spans="1:46">
      <c r="A60" s="26"/>
      <c r="B60" s="30"/>
      <c r="C60" s="7"/>
      <c r="D60" s="7"/>
      <c r="E60" s="7"/>
      <c r="F60" s="7"/>
      <c r="G60" s="7"/>
      <c r="H60" s="7"/>
      <c r="I60" s="7"/>
    </row>
    <row r="61" spans="1:46">
      <c r="A61" s="27"/>
      <c r="B61" s="24"/>
      <c r="C61" s="7"/>
      <c r="D61" s="7"/>
      <c r="E61" s="7"/>
      <c r="F61" s="7"/>
      <c r="G61" s="7"/>
      <c r="H61" s="7"/>
      <c r="I61" s="7"/>
    </row>
    <row r="62" spans="1:46">
      <c r="A62" s="27"/>
      <c r="B62" s="24"/>
      <c r="C62" s="7"/>
      <c r="D62" s="7"/>
      <c r="E62" s="7"/>
      <c r="F62" s="7"/>
      <c r="G62" s="7"/>
      <c r="H62" s="7"/>
      <c r="I62" s="7"/>
    </row>
    <row r="63" spans="1:46">
      <c r="A63" s="26"/>
      <c r="B63" s="31"/>
      <c r="C63" s="7"/>
      <c r="D63" s="7"/>
      <c r="E63" s="7"/>
      <c r="F63" s="7"/>
      <c r="G63" s="7"/>
      <c r="H63" s="7"/>
      <c r="I63" s="7"/>
    </row>
    <row r="64" spans="1:46">
      <c r="A64" s="26"/>
      <c r="B64" s="30"/>
      <c r="C64" s="7"/>
      <c r="D64" s="7"/>
      <c r="E64" s="7"/>
      <c r="F64" s="7"/>
      <c r="G64" s="7"/>
      <c r="H64" s="7"/>
      <c r="I64" s="7"/>
    </row>
    <row r="65" spans="1:9">
      <c r="A65" s="32"/>
      <c r="B65" s="30"/>
      <c r="C65" s="7"/>
      <c r="D65" s="7"/>
      <c r="E65" s="7"/>
      <c r="F65" s="7"/>
      <c r="G65" s="7"/>
      <c r="H65" s="7"/>
      <c r="I65" s="7"/>
    </row>
    <row r="66" spans="1:9">
      <c r="A66" s="32"/>
      <c r="B66" s="30"/>
      <c r="C66" s="7"/>
      <c r="D66" s="7"/>
      <c r="E66" s="7"/>
      <c r="F66" s="7"/>
      <c r="G66" s="7"/>
      <c r="H66" s="7"/>
      <c r="I66" s="7"/>
    </row>
    <row r="67" spans="1:9">
      <c r="A67" s="32"/>
      <c r="B67" s="30"/>
      <c r="C67" s="7"/>
      <c r="D67" s="7"/>
      <c r="E67" s="7"/>
      <c r="F67" s="7"/>
      <c r="G67" s="7"/>
      <c r="H67" s="7"/>
      <c r="I67" s="7"/>
    </row>
    <row r="68" spans="1:9">
      <c r="A68" s="33"/>
      <c r="B68" s="24"/>
      <c r="C68" s="7"/>
      <c r="D68" s="7"/>
      <c r="E68" s="7"/>
      <c r="F68" s="7"/>
      <c r="G68" s="7"/>
      <c r="H68" s="7"/>
      <c r="I68" s="7"/>
    </row>
    <row r="69" spans="1:9">
      <c r="A69" s="33"/>
      <c r="B69" s="24"/>
      <c r="C69" s="7"/>
      <c r="D69" s="7"/>
      <c r="E69" s="7"/>
      <c r="F69" s="7"/>
      <c r="G69" s="7"/>
      <c r="H69" s="7"/>
      <c r="I69" s="7"/>
    </row>
    <row r="70" spans="1:9">
      <c r="A70" s="33"/>
      <c r="B70" s="24"/>
      <c r="C70" s="7"/>
      <c r="D70" s="7"/>
      <c r="E70" s="7"/>
      <c r="F70" s="7"/>
      <c r="G70" s="7"/>
      <c r="H70" s="7"/>
      <c r="I70" s="7"/>
    </row>
    <row r="71" spans="1:9">
      <c r="A71" s="32"/>
      <c r="B71" s="30"/>
      <c r="C71" s="7"/>
      <c r="D71" s="7"/>
      <c r="E71" s="7"/>
      <c r="F71" s="7"/>
      <c r="G71" s="7"/>
      <c r="H71" s="7"/>
      <c r="I71" s="7"/>
    </row>
    <row r="72" spans="1:9">
      <c r="A72" s="33"/>
      <c r="B72" s="34"/>
      <c r="C72" s="7"/>
      <c r="D72" s="7"/>
      <c r="E72" s="7"/>
      <c r="F72" s="7"/>
      <c r="G72" s="7"/>
      <c r="H72" s="7"/>
      <c r="I72" s="7"/>
    </row>
  </sheetData>
  <phoneticPr fontId="3" type="noConversion"/>
  <pageMargins left="0.19" right="0.17" top="0.15" bottom="0.15" header="0.15" footer="0.15"/>
  <pageSetup scale="50" orientation="landscape" r:id="rId1"/>
  <headerFooter alignWithMargins="0"/>
  <rowBreaks count="1" manualBreakCount="1">
    <brk id="57" max="16383" man="1"/>
  </rowBreaks>
  <colBreaks count="1" manualBreakCount="1">
    <brk id="11" max="1048575" man="1"/>
  </colBreaks>
  <ignoredErrors>
    <ignoredError sqref="A8:A46" numberStoredAsText="1"/>
    <ignoredError sqref="C8:G8 C14:G14 C21:G21 C27:G27 C31:G31 C37:G37 C42:G4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IV46"/>
  <sheetViews>
    <sheetView tabSelected="1" zoomScaleNormal="100" zoomScaleSheetLayoutView="55" workbookViewId="0">
      <selection activeCell="F7" sqref="F7"/>
    </sheetView>
  </sheetViews>
  <sheetFormatPr defaultRowHeight="15" outlineLevelRow="1"/>
  <cols>
    <col min="1" max="1" width="4.7109375" style="2" customWidth="1"/>
    <col min="2" max="2" width="85.85546875" style="2" customWidth="1"/>
    <col min="3" max="3" width="7.5703125" style="2" customWidth="1"/>
    <col min="4" max="4" width="28.42578125" style="2" customWidth="1"/>
    <col min="5" max="5" width="10" style="2" customWidth="1"/>
    <col min="6" max="16384" width="9.140625" style="2"/>
  </cols>
  <sheetData>
    <row r="1" spans="1:256">
      <c r="B1" s="228" t="s">
        <v>124</v>
      </c>
    </row>
    <row r="2" spans="1:256" ht="35.25" customHeight="1">
      <c r="B2" s="260" t="s">
        <v>101</v>
      </c>
      <c r="C2" s="260"/>
      <c r="D2" s="260"/>
    </row>
    <row r="3" spans="1:256">
      <c r="B3" s="36"/>
    </row>
    <row r="4" spans="1:256" ht="15.75">
      <c r="B4" s="222" t="str">
        <f>რეზერვები!B4</f>
        <v>კომპანიის დასახელება: ___________________________________</v>
      </c>
    </row>
    <row r="5" spans="1:256" ht="15.75">
      <c r="B5" s="222" t="str">
        <f>რეზერვები!B5</f>
        <v>საანგარიშო თარიღი:    ___________________________________</v>
      </c>
    </row>
    <row r="6" spans="1:256">
      <c r="D6" s="39" t="s">
        <v>107</v>
      </c>
    </row>
    <row r="7" spans="1:256" s="36" customFormat="1" ht="30">
      <c r="A7" s="61"/>
      <c r="B7" s="20" t="s">
        <v>17</v>
      </c>
      <c r="C7" s="62">
        <v>0.75</v>
      </c>
      <c r="D7" s="63">
        <f>((D8-D9-D10+D11-D12)*C7)</f>
        <v>0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  <c r="FN7" s="64"/>
      <c r="FO7" s="64"/>
      <c r="FP7" s="64"/>
      <c r="FQ7" s="64"/>
      <c r="FR7" s="64"/>
      <c r="FS7" s="64"/>
      <c r="FT7" s="64"/>
      <c r="FU7" s="64"/>
      <c r="FV7" s="64"/>
      <c r="FW7" s="64"/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/>
      <c r="GJ7" s="64"/>
      <c r="GK7" s="64"/>
      <c r="GL7" s="64"/>
      <c r="GM7" s="64"/>
      <c r="GN7" s="64"/>
      <c r="GO7" s="64"/>
      <c r="GP7" s="64"/>
      <c r="GQ7" s="64"/>
      <c r="GR7" s="64"/>
      <c r="GS7" s="64"/>
      <c r="GT7" s="64"/>
      <c r="GU7" s="64"/>
      <c r="GV7" s="64"/>
      <c r="GW7" s="64"/>
      <c r="GX7" s="64"/>
      <c r="GY7" s="64"/>
      <c r="GZ7" s="64"/>
      <c r="HA7" s="64"/>
      <c r="HB7" s="64"/>
      <c r="HC7" s="64"/>
      <c r="HD7" s="64"/>
      <c r="HE7" s="64"/>
      <c r="HF7" s="64"/>
      <c r="HG7" s="64"/>
      <c r="HH7" s="64"/>
      <c r="HI7" s="64"/>
      <c r="HJ7" s="64"/>
      <c r="HK7" s="64"/>
      <c r="HL7" s="64"/>
      <c r="HM7" s="64"/>
      <c r="HN7" s="64"/>
      <c r="HO7" s="64"/>
      <c r="HP7" s="64"/>
      <c r="HQ7" s="64"/>
      <c r="HR7" s="64"/>
      <c r="HS7" s="64"/>
      <c r="HT7" s="64"/>
      <c r="HU7" s="64"/>
      <c r="HV7" s="64"/>
      <c r="HW7" s="64"/>
      <c r="HX7" s="64"/>
      <c r="HY7" s="64"/>
      <c r="HZ7" s="64"/>
      <c r="IA7" s="64"/>
      <c r="IB7" s="64"/>
      <c r="IC7" s="64"/>
      <c r="ID7" s="64"/>
      <c r="IE7" s="64"/>
      <c r="IF7" s="64"/>
      <c r="IG7" s="64"/>
      <c r="IH7" s="64"/>
      <c r="II7" s="64"/>
      <c r="IJ7" s="64"/>
      <c r="IK7" s="64"/>
      <c r="IL7" s="64"/>
      <c r="IM7" s="64"/>
      <c r="IN7" s="64"/>
      <c r="IO7" s="64"/>
      <c r="IP7" s="64"/>
      <c r="IQ7" s="64"/>
      <c r="IR7" s="64"/>
      <c r="IS7" s="64"/>
      <c r="IT7" s="64"/>
      <c r="IU7" s="64"/>
      <c r="IV7" s="64"/>
    </row>
    <row r="8" spans="1:256" outlineLevel="1">
      <c r="A8" s="65"/>
      <c r="B8" s="261" t="s">
        <v>18</v>
      </c>
      <c r="C8" s="262"/>
      <c r="D8" s="66">
        <f>რეზერვები!C48</f>
        <v>0</v>
      </c>
    </row>
    <row r="9" spans="1:256" outlineLevel="1">
      <c r="A9" s="65"/>
      <c r="B9" s="261" t="s">
        <v>19</v>
      </c>
      <c r="C9" s="262"/>
      <c r="D9" s="66">
        <f>რეზერვები!C48-რეზერვები!D48</f>
        <v>0</v>
      </c>
    </row>
    <row r="10" spans="1:256" ht="39.75" customHeight="1" outlineLevel="1">
      <c r="A10" s="65"/>
      <c r="B10" s="256" t="s">
        <v>188</v>
      </c>
      <c r="C10" s="257"/>
      <c r="D10" s="67"/>
    </row>
    <row r="11" spans="1:256" ht="46.5" customHeight="1" outlineLevel="1">
      <c r="A11" s="65"/>
      <c r="B11" s="256" t="s">
        <v>189</v>
      </c>
      <c r="C11" s="257"/>
      <c r="D11" s="68"/>
    </row>
    <row r="12" spans="1:256" ht="49.5" customHeight="1" outlineLevel="1">
      <c r="A12" s="65"/>
      <c r="B12" s="256" t="s">
        <v>190</v>
      </c>
      <c r="C12" s="257"/>
      <c r="D12" s="69"/>
    </row>
    <row r="13" spans="1:256" ht="13.5" customHeight="1" outlineLevel="1">
      <c r="A13" s="65"/>
      <c r="B13" s="256"/>
      <c r="C13" s="257"/>
      <c r="D13" s="69"/>
    </row>
    <row r="14" spans="1:256">
      <c r="A14" s="65"/>
      <c r="B14" s="65"/>
      <c r="C14" s="70"/>
      <c r="D14" s="71"/>
    </row>
    <row r="15" spans="1:256" s="36" customFormat="1" ht="30">
      <c r="A15" s="61"/>
      <c r="B15" s="20" t="s">
        <v>22</v>
      </c>
      <c r="C15" s="62">
        <v>1</v>
      </c>
      <c r="D15" s="66">
        <f>(D16-D17-D18+D19-D20-D21)*C15</f>
        <v>0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/>
      <c r="FR15" s="64"/>
      <c r="FS15" s="64"/>
      <c r="FT15" s="64"/>
      <c r="FU15" s="64"/>
      <c r="FV15" s="64"/>
      <c r="FW15" s="64"/>
      <c r="FX15" s="64"/>
      <c r="FY15" s="64"/>
      <c r="FZ15" s="64"/>
      <c r="GA15" s="64"/>
      <c r="GB15" s="64"/>
      <c r="GC15" s="64"/>
      <c r="GD15" s="64"/>
      <c r="GE15" s="64"/>
      <c r="GF15" s="64"/>
      <c r="GG15" s="64"/>
      <c r="GH15" s="64"/>
      <c r="GI15" s="64"/>
      <c r="GJ15" s="64"/>
      <c r="GK15" s="64"/>
      <c r="GL15" s="64"/>
      <c r="GM15" s="64"/>
      <c r="GN15" s="64"/>
      <c r="GO15" s="64"/>
      <c r="GP15" s="64"/>
      <c r="GQ15" s="64"/>
      <c r="GR15" s="64"/>
      <c r="GS15" s="64"/>
      <c r="GT15" s="64"/>
      <c r="GU15" s="64"/>
      <c r="GV15" s="64"/>
      <c r="GW15" s="64"/>
      <c r="GX15" s="64"/>
      <c r="GY15" s="64"/>
      <c r="GZ15" s="64"/>
      <c r="HA15" s="64"/>
      <c r="HB15" s="64"/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64"/>
      <c r="HO15" s="64"/>
      <c r="HP15" s="64"/>
      <c r="HQ15" s="64"/>
      <c r="HR15" s="64"/>
      <c r="HS15" s="64"/>
      <c r="HT15" s="64"/>
      <c r="HU15" s="64"/>
      <c r="HV15" s="64"/>
      <c r="HW15" s="64"/>
      <c r="HX15" s="64"/>
      <c r="HY15" s="64"/>
      <c r="HZ15" s="64"/>
      <c r="IA15" s="64"/>
      <c r="IB15" s="64"/>
      <c r="IC15" s="64"/>
      <c r="ID15" s="64"/>
      <c r="IE15" s="64"/>
      <c r="IF15" s="64"/>
      <c r="IG15" s="64"/>
      <c r="IH15" s="64"/>
      <c r="II15" s="64"/>
      <c r="IJ15" s="64"/>
      <c r="IK15" s="64"/>
      <c r="IL15" s="64"/>
      <c r="IM15" s="64"/>
      <c r="IN15" s="64"/>
      <c r="IO15" s="64"/>
      <c r="IP15" s="64"/>
      <c r="IQ15" s="64"/>
      <c r="IR15" s="64"/>
      <c r="IS15" s="64"/>
      <c r="IT15" s="64"/>
      <c r="IU15" s="64"/>
      <c r="IV15" s="64"/>
    </row>
    <row r="16" spans="1:256" outlineLevel="1">
      <c r="A16" s="65"/>
      <c r="B16" s="72" t="s">
        <v>23</v>
      </c>
      <c r="C16" s="73"/>
      <c r="D16" s="66">
        <f>რეზერვები!E48</f>
        <v>0</v>
      </c>
    </row>
    <row r="17" spans="1:256" outlineLevel="1">
      <c r="A17" s="65"/>
      <c r="B17" s="72" t="s">
        <v>24</v>
      </c>
      <c r="C17" s="73"/>
      <c r="D17" s="66">
        <f>რეზერვები!E48-რეზერვები!F48</f>
        <v>0</v>
      </c>
    </row>
    <row r="18" spans="1:256" outlineLevel="1">
      <c r="A18" s="65"/>
      <c r="B18" s="72" t="s">
        <v>153</v>
      </c>
      <c r="C18" s="73"/>
      <c r="D18" s="131"/>
    </row>
    <row r="19" spans="1:256" ht="32.25" customHeight="1" outlineLevel="1">
      <c r="A19" s="65"/>
      <c r="B19" s="258" t="s">
        <v>174</v>
      </c>
      <c r="C19" s="259"/>
      <c r="D19" s="131"/>
    </row>
    <row r="20" spans="1:256" ht="32.25" customHeight="1" outlineLevel="1">
      <c r="A20" s="65"/>
      <c r="B20" s="258" t="s">
        <v>180</v>
      </c>
      <c r="C20" s="259"/>
      <c r="D20" s="131"/>
    </row>
    <row r="21" spans="1:256" ht="32.25" customHeight="1" outlineLevel="1">
      <c r="A21" s="65"/>
      <c r="B21" s="258" t="s">
        <v>187</v>
      </c>
      <c r="C21" s="259"/>
      <c r="D21" s="131"/>
    </row>
    <row r="22" spans="1:256" collapsed="1">
      <c r="A22" s="65"/>
      <c r="B22" s="65"/>
      <c r="C22" s="70"/>
      <c r="D22" s="71"/>
    </row>
    <row r="23" spans="1:256" s="36" customFormat="1" ht="30">
      <c r="A23" s="61"/>
      <c r="B23" s="74" t="s">
        <v>25</v>
      </c>
      <c r="C23" s="62">
        <v>1</v>
      </c>
      <c r="D23" s="66">
        <f>(D24-D25-D26)*C23</f>
        <v>0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  <c r="HU23" s="64"/>
      <c r="HV23" s="64"/>
      <c r="HW23" s="64"/>
      <c r="HX23" s="64"/>
      <c r="HY23" s="64"/>
      <c r="HZ23" s="64"/>
      <c r="IA23" s="64"/>
      <c r="IB23" s="64"/>
      <c r="IC23" s="64"/>
      <c r="ID23" s="64"/>
      <c r="IE23" s="64"/>
      <c r="IF23" s="64"/>
      <c r="IG23" s="64"/>
      <c r="IH23" s="64"/>
      <c r="II23" s="64"/>
      <c r="IJ23" s="64"/>
      <c r="IK23" s="64"/>
      <c r="IL23" s="64"/>
      <c r="IM23" s="64"/>
      <c r="IN23" s="64"/>
      <c r="IO23" s="64"/>
      <c r="IP23" s="64"/>
      <c r="IQ23" s="64"/>
      <c r="IR23" s="64"/>
      <c r="IS23" s="64"/>
      <c r="IT23" s="64"/>
      <c r="IU23" s="64"/>
      <c r="IV23" s="64"/>
    </row>
    <row r="24" spans="1:256" outlineLevel="1">
      <c r="A24" s="65"/>
      <c r="B24" s="75" t="s">
        <v>26</v>
      </c>
      <c r="C24" s="73"/>
      <c r="D24" s="66">
        <f>რეზერვები!G48</f>
        <v>0</v>
      </c>
    </row>
    <row r="25" spans="1:256" ht="30" customHeight="1" outlineLevel="1">
      <c r="A25" s="65"/>
      <c r="B25" s="258" t="s">
        <v>181</v>
      </c>
      <c r="C25" s="259"/>
      <c r="D25" s="131"/>
    </row>
    <row r="26" spans="1:256" ht="30" customHeight="1" outlineLevel="1">
      <c r="A26" s="65"/>
      <c r="B26" s="258" t="s">
        <v>186</v>
      </c>
      <c r="C26" s="259"/>
      <c r="D26" s="131"/>
    </row>
    <row r="27" spans="1:256" collapsed="1">
      <c r="A27" s="65"/>
      <c r="B27" s="65"/>
      <c r="C27" s="70"/>
      <c r="D27" s="71"/>
    </row>
    <row r="28" spans="1:256" s="36" customFormat="1">
      <c r="A28" s="61"/>
      <c r="B28" s="20" t="s">
        <v>119</v>
      </c>
      <c r="C28" s="62">
        <v>1</v>
      </c>
      <c r="D28" s="63">
        <f>D29*C28</f>
        <v>0</v>
      </c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  <c r="HU28" s="64"/>
      <c r="HV28" s="64"/>
      <c r="HW28" s="64"/>
      <c r="HX28" s="64"/>
      <c r="HY28" s="64"/>
      <c r="HZ28" s="64"/>
      <c r="IA28" s="64"/>
      <c r="IB28" s="64"/>
      <c r="IC28" s="64"/>
      <c r="ID28" s="64"/>
      <c r="IE28" s="64"/>
      <c r="IF28" s="64"/>
      <c r="IG28" s="64"/>
      <c r="IH28" s="64"/>
      <c r="II28" s="64"/>
      <c r="IJ28" s="64"/>
      <c r="IK28" s="64"/>
      <c r="IL28" s="64"/>
      <c r="IM28" s="64"/>
      <c r="IN28" s="64"/>
      <c r="IO28" s="64"/>
      <c r="IP28" s="64"/>
      <c r="IQ28" s="64"/>
      <c r="IR28" s="64"/>
      <c r="IS28" s="64"/>
      <c r="IT28" s="64"/>
      <c r="IU28" s="64"/>
      <c r="IV28" s="64"/>
    </row>
    <row r="29" spans="1:256" s="36" customFormat="1" outlineLevel="1">
      <c r="A29" s="61"/>
      <c r="B29" s="76" t="s">
        <v>110</v>
      </c>
      <c r="C29" s="73"/>
      <c r="D29" s="66">
        <f>რეზერვები!J48</f>
        <v>0</v>
      </c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  <c r="HU29" s="64"/>
      <c r="HV29" s="64"/>
      <c r="HW29" s="64"/>
      <c r="HX29" s="64"/>
      <c r="HY29" s="64"/>
      <c r="HZ29" s="64"/>
      <c r="IA29" s="64"/>
      <c r="IB29" s="64"/>
      <c r="IC29" s="64"/>
      <c r="ID29" s="64"/>
      <c r="IE29" s="64"/>
      <c r="IF29" s="64"/>
      <c r="IG29" s="64"/>
      <c r="IH29" s="64"/>
      <c r="II29" s="64"/>
      <c r="IJ29" s="64"/>
      <c r="IK29" s="64"/>
      <c r="IL29" s="64"/>
      <c r="IM29" s="64"/>
      <c r="IN29" s="64"/>
      <c r="IO29" s="64"/>
      <c r="IP29" s="64"/>
      <c r="IQ29" s="64"/>
      <c r="IR29" s="64"/>
      <c r="IS29" s="64"/>
      <c r="IT29" s="64"/>
      <c r="IU29" s="64"/>
      <c r="IV29" s="64"/>
    </row>
    <row r="30" spans="1:256" collapsed="1">
      <c r="A30" s="65"/>
      <c r="B30" s="65"/>
      <c r="C30" s="70"/>
      <c r="D30" s="71"/>
    </row>
    <row r="31" spans="1:256" s="36" customFormat="1" ht="30">
      <c r="A31" s="61"/>
      <c r="B31" s="20" t="s">
        <v>21</v>
      </c>
      <c r="C31" s="62">
        <v>1</v>
      </c>
      <c r="D31" s="63">
        <f>(D32-D33)*C31</f>
        <v>0</v>
      </c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  <c r="HU31" s="64"/>
      <c r="HV31" s="64"/>
      <c r="HW31" s="64"/>
      <c r="HX31" s="64"/>
      <c r="HY31" s="64"/>
      <c r="HZ31" s="64"/>
      <c r="IA31" s="64"/>
      <c r="IB31" s="64"/>
      <c r="IC31" s="64"/>
      <c r="ID31" s="64"/>
      <c r="IE31" s="64"/>
      <c r="IF31" s="64"/>
      <c r="IG31" s="64"/>
      <c r="IH31" s="64"/>
      <c r="II31" s="64"/>
      <c r="IJ31" s="64"/>
      <c r="IK31" s="64"/>
      <c r="IL31" s="64"/>
      <c r="IM31" s="64"/>
      <c r="IN31" s="64"/>
      <c r="IO31" s="64"/>
      <c r="IP31" s="64"/>
      <c r="IQ31" s="64"/>
      <c r="IR31" s="64"/>
      <c r="IS31" s="64"/>
      <c r="IT31" s="64"/>
      <c r="IU31" s="64"/>
      <c r="IV31" s="64"/>
    </row>
    <row r="32" spans="1:256" s="36" customFormat="1" ht="36" customHeight="1" outlineLevel="1">
      <c r="A32" s="61"/>
      <c r="B32" s="77" t="s">
        <v>20</v>
      </c>
      <c r="C32" s="73"/>
      <c r="D32" s="66">
        <f>რეზერვები!H48</f>
        <v>0</v>
      </c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  <c r="HU32" s="64"/>
      <c r="HV32" s="64"/>
      <c r="HW32" s="64"/>
      <c r="HX32" s="64"/>
      <c r="HY32" s="64"/>
      <c r="HZ32" s="64"/>
      <c r="IA32" s="64"/>
      <c r="IB32" s="64"/>
      <c r="IC32" s="64"/>
      <c r="ID32" s="64"/>
      <c r="IE32" s="64"/>
      <c r="IF32" s="64"/>
      <c r="IG32" s="64"/>
      <c r="IH32" s="64"/>
      <c r="II32" s="64"/>
      <c r="IJ32" s="64"/>
      <c r="IK32" s="64"/>
      <c r="IL32" s="64"/>
      <c r="IM32" s="64"/>
      <c r="IN32" s="64"/>
      <c r="IO32" s="64"/>
      <c r="IP32" s="64"/>
      <c r="IQ32" s="64"/>
      <c r="IR32" s="64"/>
      <c r="IS32" s="64"/>
      <c r="IT32" s="64"/>
      <c r="IU32" s="64"/>
      <c r="IV32" s="64"/>
    </row>
    <row r="33" spans="1:256" s="36" customFormat="1" outlineLevel="1">
      <c r="A33" s="61"/>
      <c r="B33" s="77" t="s">
        <v>24</v>
      </c>
      <c r="C33" s="73"/>
      <c r="D33" s="66">
        <f>რეზერვები!H48-რეზერვები!I48</f>
        <v>0</v>
      </c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4"/>
      <c r="FZ33" s="64"/>
      <c r="GA33" s="64"/>
      <c r="GB33" s="64"/>
      <c r="GC33" s="64"/>
      <c r="GD33" s="64"/>
      <c r="GE33" s="64"/>
      <c r="GF33" s="64"/>
      <c r="GG33" s="64"/>
      <c r="GH33" s="64"/>
      <c r="GI33" s="64"/>
      <c r="GJ33" s="64"/>
      <c r="GK33" s="64"/>
      <c r="GL33" s="64"/>
      <c r="GM33" s="64"/>
      <c r="GN33" s="64"/>
      <c r="GO33" s="64"/>
      <c r="GP33" s="64"/>
      <c r="GQ33" s="64"/>
      <c r="GR33" s="64"/>
      <c r="GS33" s="64"/>
      <c r="GT33" s="64"/>
      <c r="GU33" s="64"/>
      <c r="GV33" s="64"/>
      <c r="GW33" s="64"/>
      <c r="GX33" s="64"/>
      <c r="GY33" s="64"/>
      <c r="GZ33" s="64"/>
      <c r="HA33" s="64"/>
      <c r="HB33" s="64"/>
      <c r="HC33" s="64"/>
      <c r="HD33" s="64"/>
      <c r="HE33" s="64"/>
      <c r="HF33" s="64"/>
      <c r="HG33" s="64"/>
      <c r="HH33" s="64"/>
      <c r="HI33" s="64"/>
      <c r="HJ33" s="64"/>
      <c r="HK33" s="64"/>
      <c r="HL33" s="64"/>
      <c r="HM33" s="64"/>
      <c r="HN33" s="64"/>
      <c r="HO33" s="64"/>
      <c r="HP33" s="64"/>
      <c r="HQ33" s="64"/>
      <c r="HR33" s="64"/>
      <c r="HS33" s="64"/>
      <c r="HT33" s="64"/>
      <c r="HU33" s="64"/>
      <c r="HV33" s="64"/>
      <c r="HW33" s="64"/>
      <c r="HX33" s="64"/>
      <c r="HY33" s="64"/>
      <c r="HZ33" s="64"/>
      <c r="IA33" s="64"/>
      <c r="IB33" s="64"/>
      <c r="IC33" s="64"/>
      <c r="ID33" s="64"/>
      <c r="IE33" s="64"/>
      <c r="IF33" s="64"/>
      <c r="IG33" s="64"/>
      <c r="IH33" s="64"/>
      <c r="II33" s="64"/>
      <c r="IJ33" s="64"/>
      <c r="IK33" s="64"/>
      <c r="IL33" s="64"/>
      <c r="IM33" s="64"/>
      <c r="IN33" s="64"/>
      <c r="IO33" s="64"/>
      <c r="IP33" s="64"/>
      <c r="IQ33" s="64"/>
      <c r="IR33" s="64"/>
      <c r="IS33" s="64"/>
      <c r="IT33" s="64"/>
      <c r="IU33" s="64"/>
      <c r="IV33" s="64"/>
    </row>
    <row r="34" spans="1:256" ht="15.75" collapsed="1" thickBot="1">
      <c r="A34" s="65"/>
      <c r="B34" s="65"/>
      <c r="C34" s="70"/>
      <c r="D34" s="71"/>
    </row>
    <row r="35" spans="1:256" s="36" customFormat="1" ht="16.5" thickTop="1" thickBot="1">
      <c r="B35" s="78" t="s">
        <v>79</v>
      </c>
      <c r="C35" s="79"/>
      <c r="D35" s="80">
        <f>D31+D28+IF(D23+D15+IF(D7&lt;0,0,D7)&lt;0,0,D23+D15+IF(D7&lt;0,0,D7))</f>
        <v>0</v>
      </c>
    </row>
    <row r="36" spans="1:256" ht="15.75" thickTop="1"/>
    <row r="38" spans="1:256" ht="15.75">
      <c r="B38" s="37" t="str">
        <f>რეზერვები!B51</f>
        <v xml:space="preserve">გენერალური დირექტორი (დირექტორი) _____________________________ </v>
      </c>
      <c r="C38" s="37"/>
      <c r="D38" s="37"/>
      <c r="E38" s="37"/>
      <c r="F38" s="81"/>
      <c r="G38" s="81"/>
    </row>
    <row r="39" spans="1:256" ht="15.75">
      <c r="B39" s="37" t="str">
        <f>რეზერვები!B52</f>
        <v xml:space="preserve">                                                                                                      (სახელი გვარი)</v>
      </c>
      <c r="C39" s="37"/>
      <c r="D39" s="37"/>
      <c r="E39" s="37"/>
      <c r="F39" s="82"/>
      <c r="G39" s="81"/>
    </row>
    <row r="40" spans="1:256" ht="15.75">
      <c r="B40" s="37"/>
      <c r="C40" s="37"/>
      <c r="D40" s="37"/>
      <c r="E40" s="37"/>
      <c r="F40" s="82"/>
      <c r="G40" s="81"/>
    </row>
    <row r="41" spans="1:256" ht="15.75">
      <c r="B41" s="37"/>
      <c r="C41" s="37"/>
      <c r="D41" s="37"/>
      <c r="E41" s="37"/>
      <c r="F41" s="82"/>
      <c r="G41" s="81"/>
    </row>
    <row r="42" spans="1:256" ht="15.75">
      <c r="B42" s="37" t="str">
        <f>რეზერვები!B55</f>
        <v>ანგარიშგებაზე პასუხისმგებელი პირი    ________________________________________________________________</v>
      </c>
      <c r="C42" s="37"/>
      <c r="D42" s="37"/>
      <c r="F42" s="82"/>
    </row>
    <row r="43" spans="1:256" ht="15.75">
      <c r="B43" s="37" t="str">
        <f>რეზერვები!B56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43" s="37"/>
      <c r="D43" s="37"/>
      <c r="E43" s="37"/>
      <c r="F43" s="83"/>
      <c r="G43" s="81"/>
    </row>
    <row r="45" spans="1:256" ht="15.75">
      <c r="B45" s="37"/>
    </row>
    <row r="46" spans="1:256" ht="15.75">
      <c r="B46" s="38"/>
    </row>
  </sheetData>
  <mergeCells count="12">
    <mergeCell ref="B2:D2"/>
    <mergeCell ref="B8:C8"/>
    <mergeCell ref="B9:C9"/>
    <mergeCell ref="B10:C10"/>
    <mergeCell ref="B11:C11"/>
    <mergeCell ref="B12:C12"/>
    <mergeCell ref="B21:C21"/>
    <mergeCell ref="B26:C26"/>
    <mergeCell ref="B20:C20"/>
    <mergeCell ref="B25:C25"/>
    <mergeCell ref="B19:C19"/>
    <mergeCell ref="B13:C13"/>
  </mergeCells>
  <phoneticPr fontId="3" type="noConversion"/>
  <pageMargins left="0.15748031496062992" right="0.15748031496062992" top="0.39370078740157483" bottom="0.39370078740157483" header="0.15748031496062992" footer="0.19685039370078741"/>
  <pageSetup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I33"/>
  <sheetViews>
    <sheetView zoomScaleNormal="100" workbookViewId="0">
      <selection activeCell="G20" sqref="G20"/>
    </sheetView>
  </sheetViews>
  <sheetFormatPr defaultRowHeight="15"/>
  <cols>
    <col min="1" max="1" width="2.42578125" style="86" customWidth="1"/>
    <col min="2" max="2" width="3.5703125" style="86" customWidth="1"/>
    <col min="3" max="3" width="32.42578125" style="86" customWidth="1"/>
    <col min="4" max="4" width="13" style="86" customWidth="1"/>
    <col min="5" max="5" width="16.7109375" style="86" customWidth="1"/>
    <col min="6" max="6" width="13" style="86" customWidth="1"/>
    <col min="7" max="7" width="16.7109375" style="86" customWidth="1"/>
    <col min="8" max="8" width="13" style="86" customWidth="1"/>
    <col min="9" max="9" width="22" style="86" customWidth="1"/>
    <col min="10" max="10" width="13.7109375" style="86" customWidth="1"/>
    <col min="11" max="16384" width="9.140625" style="86"/>
  </cols>
  <sheetData>
    <row r="1" spans="2:9">
      <c r="B1" s="226" t="s">
        <v>122</v>
      </c>
    </row>
    <row r="2" spans="2:9" ht="34.5" customHeight="1">
      <c r="B2" s="265" t="s">
        <v>27</v>
      </c>
      <c r="C2" s="265"/>
      <c r="D2" s="265"/>
      <c r="E2" s="265"/>
      <c r="F2" s="265"/>
      <c r="G2" s="265"/>
      <c r="H2" s="265"/>
      <c r="I2" s="265"/>
    </row>
    <row r="4" spans="2:9" ht="15.75">
      <c r="B4" s="223" t="str">
        <f>რეზერვები!B4</f>
        <v>კომპანიის დასახელება: ___________________________________</v>
      </c>
    </row>
    <row r="5" spans="2:9" ht="15.75">
      <c r="B5" s="223" t="str">
        <f>რეზერვები!B5</f>
        <v>საანგარიშო თარიღი:    ___________________________________</v>
      </c>
    </row>
    <row r="6" spans="2:9" ht="15.75" thickBot="1">
      <c r="I6" s="87" t="s">
        <v>107</v>
      </c>
    </row>
    <row r="7" spans="2:9" ht="68.25" customHeight="1" thickBot="1">
      <c r="B7" s="224" t="s">
        <v>177</v>
      </c>
      <c r="C7" s="88" t="s">
        <v>15</v>
      </c>
      <c r="D7" s="263" t="s">
        <v>28</v>
      </c>
      <c r="E7" s="264"/>
      <c r="F7" s="263" t="s">
        <v>29</v>
      </c>
      <c r="G7" s="264"/>
      <c r="H7" s="263" t="s">
        <v>16</v>
      </c>
      <c r="I7" s="264"/>
    </row>
    <row r="8" spans="2:9">
      <c r="B8" s="89">
        <v>1</v>
      </c>
      <c r="C8" s="90" t="s">
        <v>0</v>
      </c>
      <c r="D8" s="91">
        <v>0.3</v>
      </c>
      <c r="E8" s="92">
        <f>'ინვ. დაქვ. რეზერვ. ოდენობა'!$D$35*D8</f>
        <v>0</v>
      </c>
      <c r="F8" s="93">
        <v>0.3</v>
      </c>
      <c r="G8" s="94">
        <f>'ინვ. დაქვ. რეზერვ. ოდენობა'!$D$35*F8</f>
        <v>0</v>
      </c>
      <c r="H8" s="95"/>
      <c r="I8" s="96"/>
    </row>
    <row r="9" spans="2:9">
      <c r="B9" s="97">
        <v>2</v>
      </c>
      <c r="C9" s="98" t="s">
        <v>1</v>
      </c>
      <c r="D9" s="99">
        <v>0.3</v>
      </c>
      <c r="E9" s="100">
        <f>'ინვ. დაქვ. რეზერვ. ოდენობა'!$D$35*D9</f>
        <v>0</v>
      </c>
      <c r="F9" s="101">
        <v>0.3</v>
      </c>
      <c r="G9" s="102">
        <f>'ინვ. დაქვ. რეზერვ. ოდენობა'!$D$35*F9</f>
        <v>0</v>
      </c>
      <c r="H9" s="103"/>
      <c r="I9" s="104"/>
    </row>
    <row r="10" spans="2:9">
      <c r="B10" s="97">
        <v>3</v>
      </c>
      <c r="C10" s="98" t="s">
        <v>2</v>
      </c>
      <c r="D10" s="99">
        <v>0.5</v>
      </c>
      <c r="E10" s="100">
        <f>'ინვ. დაქვ. რეზერვ. ოდენობა'!$D$35*D10</f>
        <v>0</v>
      </c>
      <c r="F10" s="105"/>
      <c r="G10" s="105"/>
      <c r="H10" s="105"/>
      <c r="I10" s="104"/>
    </row>
    <row r="11" spans="2:9">
      <c r="B11" s="97">
        <v>4</v>
      </c>
      <c r="C11" s="98" t="s">
        <v>3</v>
      </c>
      <c r="D11" s="99">
        <v>0.15</v>
      </c>
      <c r="E11" s="100">
        <f>'ინვ. დაქვ. რეზერვ. ოდენობა'!$D$35*D11</f>
        <v>0</v>
      </c>
      <c r="F11" s="101">
        <v>0.03</v>
      </c>
      <c r="G11" s="102">
        <f>'ინვ. დაქვ. რეზერვ. ოდენობა'!$D$35*F11</f>
        <v>0</v>
      </c>
      <c r="H11" s="103"/>
      <c r="I11" s="104"/>
    </row>
    <row r="12" spans="2:9">
      <c r="B12" s="97">
        <v>5</v>
      </c>
      <c r="C12" s="98" t="s">
        <v>4</v>
      </c>
      <c r="D12" s="99">
        <v>0.1</v>
      </c>
      <c r="E12" s="100">
        <f>'ინვ. დაქვ. რეზერვ. ოდენობა'!$D$35*D12</f>
        <v>0</v>
      </c>
      <c r="F12" s="106">
        <v>2.5000000000000001E-2</v>
      </c>
      <c r="G12" s="102">
        <f>'ინვ. დაქვ. რეზერვ. ოდენობა'!$D$35*F12</f>
        <v>0</v>
      </c>
      <c r="H12" s="107"/>
      <c r="I12" s="104"/>
    </row>
    <row r="13" spans="2:9">
      <c r="B13" s="97">
        <v>6</v>
      </c>
      <c r="C13" s="98" t="s">
        <v>5</v>
      </c>
      <c r="D13" s="99">
        <v>0.15</v>
      </c>
      <c r="E13" s="100">
        <f>'ინვ. დაქვ. რეზერვ. ოდენობა'!$D$35*D13</f>
        <v>0</v>
      </c>
      <c r="F13" s="106">
        <v>0.02</v>
      </c>
      <c r="G13" s="102">
        <f>'ინვ. დაქვ. რეზერვ. ოდენობა'!$D$35*F13</f>
        <v>0</v>
      </c>
      <c r="H13" s="107"/>
      <c r="I13" s="104"/>
    </row>
    <row r="14" spans="2:9">
      <c r="B14" s="97">
        <v>7</v>
      </c>
      <c r="C14" s="98" t="s">
        <v>6</v>
      </c>
      <c r="D14" s="99">
        <v>0.1</v>
      </c>
      <c r="E14" s="100">
        <f>'ინვ. დაქვ. რეზერვ. ოდენობა'!$D$35*D14</f>
        <v>0</v>
      </c>
      <c r="F14" s="106">
        <v>0.01</v>
      </c>
      <c r="G14" s="102">
        <f>'ინვ. დაქვ. რეზერვ. ოდენობა'!$D$35*F14</f>
        <v>0</v>
      </c>
      <c r="H14" s="107"/>
      <c r="I14" s="104"/>
    </row>
    <row r="15" spans="2:9">
      <c r="B15" s="97">
        <v>8</v>
      </c>
      <c r="C15" s="98" t="s">
        <v>7</v>
      </c>
      <c r="D15" s="99">
        <v>0.15</v>
      </c>
      <c r="E15" s="100">
        <f>'ინვ. დაქვ. რეზერვ. ოდენობა'!$D$35*D15</f>
        <v>0</v>
      </c>
      <c r="F15" s="105"/>
      <c r="G15" s="105"/>
      <c r="H15" s="105"/>
      <c r="I15" s="104"/>
    </row>
    <row r="16" spans="2:9">
      <c r="B16" s="97">
        <v>9</v>
      </c>
      <c r="C16" s="98" t="s">
        <v>8</v>
      </c>
      <c r="D16" s="99">
        <v>0.2</v>
      </c>
      <c r="E16" s="100">
        <f>'ინვ. დაქვ. რეზერვ. ოდენობა'!$D$35*D16</f>
        <v>0</v>
      </c>
      <c r="F16" s="101">
        <v>0.1</v>
      </c>
      <c r="G16" s="102">
        <f>'ინვ. დაქვ. რეზერვ. ოდენობა'!$D$35*F16</f>
        <v>0</v>
      </c>
      <c r="H16" s="103"/>
      <c r="I16" s="104"/>
    </row>
    <row r="17" spans="2:9">
      <c r="B17" s="97">
        <v>10</v>
      </c>
      <c r="C17" s="98" t="s">
        <v>9</v>
      </c>
      <c r="D17" s="99">
        <v>0.2</v>
      </c>
      <c r="E17" s="100">
        <f>'ინვ. დაქვ. რეზერვ. ოდენობა'!$D$35*D17</f>
        <v>0</v>
      </c>
      <c r="F17" s="101">
        <v>0.1</v>
      </c>
      <c r="G17" s="102">
        <f>'ინვ. დაქვ. რეზერვ. ოდენობა'!$D$35*F17</f>
        <v>0</v>
      </c>
      <c r="H17" s="103"/>
      <c r="I17" s="104"/>
    </row>
    <row r="18" spans="2:9">
      <c r="B18" s="97">
        <v>11</v>
      </c>
      <c r="C18" s="98" t="s">
        <v>10</v>
      </c>
      <c r="D18" s="99">
        <v>0.1</v>
      </c>
      <c r="E18" s="100">
        <f>'ინვ. დაქვ. რეზერვ. ოდენობა'!$D$35*D18</f>
        <v>0</v>
      </c>
      <c r="F18" s="101">
        <v>0.02</v>
      </c>
      <c r="G18" s="102">
        <f>'ინვ. დაქვ. რეზერვ. ოდენობა'!$D$35*F18</f>
        <v>0</v>
      </c>
      <c r="H18" s="103"/>
      <c r="I18" s="104"/>
    </row>
    <row r="19" spans="2:9">
      <c r="B19" s="97">
        <v>12</v>
      </c>
      <c r="C19" s="98" t="s">
        <v>11</v>
      </c>
      <c r="D19" s="99">
        <v>0.2</v>
      </c>
      <c r="E19" s="100">
        <f>'ინვ. დაქვ. რეზერვ. ოდენობა'!$D$35*D19</f>
        <v>0</v>
      </c>
      <c r="F19" s="105"/>
      <c r="G19" s="105"/>
      <c r="H19" s="105"/>
      <c r="I19" s="104"/>
    </row>
    <row r="20" spans="2:9">
      <c r="B20" s="97">
        <v>13</v>
      </c>
      <c r="C20" s="98" t="s">
        <v>12</v>
      </c>
      <c r="D20" s="99">
        <v>0.25</v>
      </c>
      <c r="E20" s="100">
        <f>'ინვ. დაქვ. რეზერვ. ოდენობა'!$D$35*D20</f>
        <v>0</v>
      </c>
      <c r="F20" s="101">
        <v>0.1</v>
      </c>
      <c r="G20" s="102">
        <f>'ინვ. დაქვ. რეზერვ. ოდენობა'!$D$35*F20</f>
        <v>0</v>
      </c>
      <c r="H20" s="103"/>
      <c r="I20" s="104"/>
    </row>
    <row r="21" spans="2:9">
      <c r="B21" s="97">
        <v>14</v>
      </c>
      <c r="C21" s="98" t="s">
        <v>13</v>
      </c>
      <c r="D21" s="99">
        <v>0.9</v>
      </c>
      <c r="E21" s="100">
        <f>'ინვ. დაქვ. რეზერვ. ოდენობა'!$D$35*D21</f>
        <v>0</v>
      </c>
      <c r="F21" s="101">
        <v>0.3</v>
      </c>
      <c r="G21" s="102">
        <f>'ინვ. დაქვ. რეზერვ. ოდენობა'!$D$35*F21</f>
        <v>0</v>
      </c>
      <c r="H21" s="103"/>
      <c r="I21" s="104"/>
    </row>
    <row r="22" spans="2:9">
      <c r="B22" s="254">
        <v>15</v>
      </c>
      <c r="C22" s="98" t="s">
        <v>192</v>
      </c>
      <c r="D22" s="99">
        <v>1</v>
      </c>
      <c r="E22" s="100">
        <f>'ინვ. დაქვ. რეზერვ. ოდენობა'!$D$35*D22</f>
        <v>0</v>
      </c>
      <c r="F22" s="101">
        <v>0.03</v>
      </c>
      <c r="G22" s="255">
        <f>IF('ინვ. დაქვ. რეზერვ. ოდენობა'!D35*F22&gt;=100000,100000,'ინვ. დაქვ. რეზერვ. ოდენობა'!D35*F22)</f>
        <v>0</v>
      </c>
      <c r="H22" s="266">
        <v>0.1</v>
      </c>
      <c r="I22" s="268">
        <f>'ინვ. დაქვ. რეზერვ. ოდენობა'!$D$35*'დასაშვები აქტივების სტრუქტურა'!H22</f>
        <v>0</v>
      </c>
    </row>
    <row r="23" spans="2:9" ht="15.75" thickBot="1">
      <c r="B23" s="108">
        <v>16</v>
      </c>
      <c r="C23" s="109" t="s">
        <v>193</v>
      </c>
      <c r="D23" s="110">
        <v>1</v>
      </c>
      <c r="E23" s="111">
        <f>'ინვ. დაქვ. რეზერვ. ოდენობა'!$D$35*D23</f>
        <v>0</v>
      </c>
      <c r="F23" s="112">
        <v>0.2</v>
      </c>
      <c r="G23" s="113">
        <f>'ინვ. დაქვ. რეზერვ. ოდენობა'!$D$35*F23</f>
        <v>0</v>
      </c>
      <c r="H23" s="267"/>
      <c r="I23" s="269"/>
    </row>
    <row r="25" spans="2:9" ht="15.75">
      <c r="B25" s="114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C25" s="114"/>
      <c r="D25" s="114"/>
    </row>
    <row r="26" spans="2:9" ht="15.75">
      <c r="B26" s="114" t="str">
        <f>რეზერვები!B52</f>
        <v xml:space="preserve">                                                                                                      (სახელი გვარი)</v>
      </c>
      <c r="C26" s="114"/>
      <c r="D26" s="114"/>
    </row>
    <row r="27" spans="2:9" ht="15.75">
      <c r="B27" s="114"/>
      <c r="C27" s="114"/>
      <c r="D27" s="114"/>
    </row>
    <row r="28" spans="2:9" ht="15.75">
      <c r="B28" s="114"/>
      <c r="C28" s="114"/>
      <c r="D28" s="114"/>
    </row>
    <row r="29" spans="2:9" ht="15.75">
      <c r="B29" s="114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C29" s="114"/>
      <c r="D29" s="114"/>
    </row>
    <row r="30" spans="2:9" ht="15.75">
      <c r="B30" s="114" t="str">
        <f>რეზერვები!B56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30" s="114" t="str">
        <f>'ინვ. დაქვ. რეზერვ. ოდენობა'!B43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D30" s="114"/>
    </row>
    <row r="31" spans="2:9">
      <c r="B31" s="115"/>
      <c r="C31" s="115"/>
      <c r="D31" s="115"/>
    </row>
    <row r="32" spans="2:9" ht="15.75">
      <c r="B32" s="114"/>
      <c r="C32" s="115"/>
      <c r="D32" s="115"/>
    </row>
    <row r="33" spans="3:4" ht="15.75">
      <c r="C33" s="116"/>
      <c r="D33" s="115"/>
    </row>
  </sheetData>
  <sheetProtection password="CF74" sheet="1" objects="1" scenarios="1" formatCells="0" formatColumns="0" formatRows="0" insertColumns="0" insertRows="0" insertHyperlinks="0" deleteColumns="0" deleteRows="0" sort="0" autoFilter="0" pivotTables="0"/>
  <mergeCells count="6">
    <mergeCell ref="D7:E7"/>
    <mergeCell ref="F7:G7"/>
    <mergeCell ref="H7:I7"/>
    <mergeCell ref="B2:I2"/>
    <mergeCell ref="H22:H23"/>
    <mergeCell ref="I22:I23"/>
  </mergeCells>
  <phoneticPr fontId="3" type="noConversion"/>
  <pageMargins left="0.15748031496062992" right="0.35433070866141736" top="0.43307086614173229" bottom="0.47244094488188981" header="0.15748031496062992" footer="0.31496062992125984"/>
  <pageSetup scale="93" orientation="landscape" r:id="rId1"/>
  <ignoredErrors>
    <ignoredError sqref="G2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 tint="-0.249977111117893"/>
  </sheetPr>
  <dimension ref="A1:F41"/>
  <sheetViews>
    <sheetView zoomScaleNormal="100" workbookViewId="0">
      <pane xSplit="1" ySplit="8" topLeftCell="B29" activePane="bottomRight" state="frozen"/>
      <selection pane="topRight" activeCell="B1" sqref="B1"/>
      <selection pane="bottomLeft" activeCell="A10" sqref="A10"/>
      <selection pane="bottomRight" activeCell="E15" sqref="E15"/>
    </sheetView>
  </sheetViews>
  <sheetFormatPr defaultRowHeight="15"/>
  <cols>
    <col min="1" max="1" width="3.85546875" style="2" customWidth="1"/>
    <col min="2" max="2" width="64.42578125" style="2" customWidth="1"/>
    <col min="3" max="3" width="18.28515625" style="2" customWidth="1"/>
    <col min="4" max="4" width="26" style="2" customWidth="1"/>
    <col min="5" max="5" width="23" style="2" customWidth="1"/>
    <col min="6" max="6" width="7.28515625" style="2" bestFit="1" customWidth="1"/>
    <col min="7" max="16384" width="9.140625" style="2"/>
  </cols>
  <sheetData>
    <row r="1" spans="1:6">
      <c r="A1" s="2" t="s">
        <v>127</v>
      </c>
    </row>
    <row r="2" spans="1:6">
      <c r="A2" s="2" t="s">
        <v>81</v>
      </c>
    </row>
    <row r="4" spans="1:6" s="86" customFormat="1" ht="15.75">
      <c r="A4" s="223" t="str">
        <f>რეზერვები!B4</f>
        <v>კომპანიის დასახელება: ___________________________________</v>
      </c>
    </row>
    <row r="5" spans="1:6" s="86" customFormat="1" ht="15.75">
      <c r="A5" s="223" t="str">
        <f>რეზერვები!B5</f>
        <v>საანგარიშო თარიღი:    ___________________________________</v>
      </c>
    </row>
    <row r="6" spans="1:6">
      <c r="E6" s="39" t="s">
        <v>107</v>
      </c>
    </row>
    <row r="7" spans="1:6" ht="64.5" customHeight="1">
      <c r="A7" s="40" t="s">
        <v>0</v>
      </c>
      <c r="B7" s="41" t="s">
        <v>120</v>
      </c>
      <c r="C7" s="42" t="s">
        <v>34</v>
      </c>
      <c r="D7" s="42" t="s">
        <v>47</v>
      </c>
      <c r="E7" s="42" t="s">
        <v>28</v>
      </c>
      <c r="F7" s="43"/>
    </row>
    <row r="8" spans="1:6" ht="15.75" customHeight="1">
      <c r="A8" s="42">
        <v>1</v>
      </c>
      <c r="B8" s="42">
        <v>2</v>
      </c>
      <c r="C8" s="42">
        <v>3</v>
      </c>
      <c r="D8" s="42">
        <v>4</v>
      </c>
      <c r="E8" s="42">
        <v>5</v>
      </c>
      <c r="F8" s="43"/>
    </row>
    <row r="9" spans="1:6" s="48" customFormat="1">
      <c r="A9" s="58">
        <v>1</v>
      </c>
      <c r="B9" s="56" t="s">
        <v>42</v>
      </c>
      <c r="C9" s="59"/>
      <c r="D9" s="60"/>
      <c r="E9" s="84">
        <f>IF(D9&gt;'დასაშვები აქტივების სტრუქტურა'!$G$8,'დასაშვები აქტივების სტრუქტურა'!$G$8,D9)</f>
        <v>0</v>
      </c>
      <c r="F9" s="47"/>
    </row>
    <row r="10" spans="1:6" s="48" customFormat="1">
      <c r="A10" s="58">
        <v>2</v>
      </c>
      <c r="B10" s="56" t="s">
        <v>42</v>
      </c>
      <c r="C10" s="59"/>
      <c r="D10" s="60"/>
      <c r="E10" s="84">
        <f>IF(D10&gt;'დასაშვები აქტივების სტრუქტურა'!$G$8,'დასაშვები აქტივების სტრუქტურა'!$G$8,D10)</f>
        <v>0</v>
      </c>
      <c r="F10" s="47"/>
    </row>
    <row r="11" spans="1:6" s="48" customFormat="1">
      <c r="A11" s="58">
        <v>3</v>
      </c>
      <c r="B11" s="56" t="s">
        <v>42</v>
      </c>
      <c r="C11" s="59"/>
      <c r="D11" s="60"/>
      <c r="E11" s="84">
        <f>IF(D11&gt;'დასაშვები აქტივების სტრუქტურა'!$G$8,'დასაშვები აქტივების სტრუქტურა'!$G$8,D11)</f>
        <v>0</v>
      </c>
      <c r="F11" s="47"/>
    </row>
    <row r="12" spans="1:6" s="48" customFormat="1">
      <c r="A12" s="58">
        <v>4</v>
      </c>
      <c r="B12" s="56" t="s">
        <v>42</v>
      </c>
      <c r="C12" s="59"/>
      <c r="D12" s="60"/>
      <c r="E12" s="84">
        <f>IF(D12&gt;'დასაშვები აქტივების სტრუქტურა'!$G$8,'დასაშვები აქტივების სტრუქტურა'!$G$8,D12)</f>
        <v>0</v>
      </c>
      <c r="F12" s="47"/>
    </row>
    <row r="13" spans="1:6" s="48" customFormat="1">
      <c r="A13" s="58">
        <v>5</v>
      </c>
      <c r="B13" s="56" t="s">
        <v>42</v>
      </c>
      <c r="C13" s="59"/>
      <c r="D13" s="60"/>
      <c r="E13" s="84">
        <f>IF(D13&gt;'დასაშვები აქტივების სტრუქტურა'!$G$8,'დასაშვები აქტივების სტრუქტურა'!$G$8,D13)</f>
        <v>0</v>
      </c>
      <c r="F13" s="47"/>
    </row>
    <row r="14" spans="1:6" s="48" customFormat="1">
      <c r="A14" s="58">
        <v>6</v>
      </c>
      <c r="B14" s="56" t="s">
        <v>42</v>
      </c>
      <c r="C14" s="59"/>
      <c r="D14" s="60"/>
      <c r="E14" s="84">
        <f>IF(D14&gt;'დასაშვები აქტივების სტრუქტურა'!$G$8,'დასაშვები აქტივების სტრუქტურა'!$G$8,D14)</f>
        <v>0</v>
      </c>
      <c r="F14" s="47"/>
    </row>
    <row r="15" spans="1:6" s="48" customFormat="1">
      <c r="A15" s="58">
        <v>7</v>
      </c>
      <c r="B15" s="56" t="s">
        <v>42</v>
      </c>
      <c r="C15" s="59"/>
      <c r="D15" s="60"/>
      <c r="E15" s="84">
        <f>IF(D15&gt;'დასაშვები აქტივების სტრუქტურა'!$G$8,'დასაშვები აქტივების სტრუქტურა'!$G$8,D15)</f>
        <v>0</v>
      </c>
      <c r="F15" s="47"/>
    </row>
    <row r="16" spans="1:6" s="48" customFormat="1">
      <c r="A16" s="58">
        <v>8</v>
      </c>
      <c r="B16" s="56" t="s">
        <v>42</v>
      </c>
      <c r="C16" s="59"/>
      <c r="D16" s="60"/>
      <c r="E16" s="84">
        <f>IF(D16&gt;'დასაშვები აქტივების სტრუქტურა'!$G$8,'დასაშვები აქტივების სტრუქტურა'!$G$8,D16)</f>
        <v>0</v>
      </c>
      <c r="F16" s="47"/>
    </row>
    <row r="17" spans="1:6" s="48" customFormat="1">
      <c r="A17" s="58">
        <v>9</v>
      </c>
      <c r="B17" s="56" t="s">
        <v>42</v>
      </c>
      <c r="C17" s="59"/>
      <c r="D17" s="60"/>
      <c r="E17" s="84">
        <f>IF(D17&gt;'დასაშვები აქტივების სტრუქტურა'!$G$8,'დასაშვები აქტივების სტრუქტურა'!$G$8,D17)</f>
        <v>0</v>
      </c>
      <c r="F17" s="47"/>
    </row>
    <row r="18" spans="1:6" s="48" customFormat="1">
      <c r="A18" s="58">
        <v>10</v>
      </c>
      <c r="B18" s="56" t="s">
        <v>42</v>
      </c>
      <c r="C18" s="59"/>
      <c r="D18" s="60"/>
      <c r="E18" s="84">
        <f>IF(D18&gt;'დასაშვები აქტივების სტრუქტურა'!$G$8,'დასაშვები აქტივების სტრუქტურა'!$G$8,D18)</f>
        <v>0</v>
      </c>
      <c r="F18" s="47"/>
    </row>
    <row r="19" spans="1:6" s="48" customFormat="1">
      <c r="A19" s="58">
        <v>11</v>
      </c>
      <c r="B19" s="56" t="s">
        <v>42</v>
      </c>
      <c r="C19" s="59"/>
      <c r="D19" s="60"/>
      <c r="E19" s="84">
        <f>IF(D19&gt;'დასაშვები აქტივების სტრუქტურა'!$G$8,'დასაშვები აქტივების სტრუქტურა'!$G$8,D19)</f>
        <v>0</v>
      </c>
      <c r="F19" s="47"/>
    </row>
    <row r="20" spans="1:6" s="48" customFormat="1">
      <c r="A20" s="58">
        <v>12</v>
      </c>
      <c r="B20" s="56" t="s">
        <v>42</v>
      </c>
      <c r="C20" s="59"/>
      <c r="D20" s="60"/>
      <c r="E20" s="84">
        <f>IF(D20&gt;'დასაშვები აქტივების სტრუქტურა'!$G$8,'დასაშვები აქტივების სტრუქტურა'!$G$8,D20)</f>
        <v>0</v>
      </c>
      <c r="F20" s="47"/>
    </row>
    <row r="21" spans="1:6" s="48" customFormat="1">
      <c r="A21" s="58">
        <v>13</v>
      </c>
      <c r="B21" s="56" t="s">
        <v>42</v>
      </c>
      <c r="C21" s="59"/>
      <c r="D21" s="60"/>
      <c r="E21" s="84">
        <f>IF(D21&gt;'დასაშვები აქტივების სტრუქტურა'!$G$8,'დასაშვები აქტივების სტრუქტურა'!$G$8,D21)</f>
        <v>0</v>
      </c>
      <c r="F21" s="47"/>
    </row>
    <row r="22" spans="1:6" s="48" customFormat="1">
      <c r="A22" s="58">
        <v>14</v>
      </c>
      <c r="B22" s="56" t="s">
        <v>42</v>
      </c>
      <c r="C22" s="59"/>
      <c r="D22" s="60"/>
      <c r="E22" s="84">
        <f>IF(D22&gt;'დასაშვები აქტივების სტრუქტურა'!$G$8,'დასაშვები აქტივების სტრუქტურა'!$G$8,D22)</f>
        <v>0</v>
      </c>
      <c r="F22" s="47"/>
    </row>
    <row r="23" spans="1:6" s="48" customFormat="1">
      <c r="A23" s="58">
        <v>15</v>
      </c>
      <c r="B23" s="56" t="s">
        <v>42</v>
      </c>
      <c r="C23" s="59"/>
      <c r="D23" s="60"/>
      <c r="E23" s="84">
        <f>IF(D23&gt;'დასაშვები აქტივების სტრუქტურა'!$G$8,'დასაშვები აქტივების სტრუქტურა'!$G$8,D23)</f>
        <v>0</v>
      </c>
      <c r="F23" s="47"/>
    </row>
    <row r="24" spans="1:6" s="48" customFormat="1">
      <c r="A24" s="58">
        <v>16</v>
      </c>
      <c r="B24" s="56" t="s">
        <v>42</v>
      </c>
      <c r="C24" s="59"/>
      <c r="D24" s="60"/>
      <c r="E24" s="84">
        <f>IF(D24&gt;'დასაშვები აქტივების სტრუქტურა'!$G$8,'დასაშვები აქტივების სტრუქტურა'!$G$8,D24)</f>
        <v>0</v>
      </c>
      <c r="F24" s="47"/>
    </row>
    <row r="25" spans="1:6" s="48" customFormat="1">
      <c r="A25" s="58">
        <v>17</v>
      </c>
      <c r="B25" s="56" t="s">
        <v>42</v>
      </c>
      <c r="C25" s="59"/>
      <c r="D25" s="60"/>
      <c r="E25" s="84">
        <f>IF(D25&gt;'დასაშვები აქტივების სტრუქტურა'!$G$8,'დასაშვები აქტივების სტრუქტურა'!$G$8,D25)</f>
        <v>0</v>
      </c>
      <c r="F25" s="47"/>
    </row>
    <row r="26" spans="1:6" s="48" customFormat="1">
      <c r="A26" s="58">
        <v>18</v>
      </c>
      <c r="B26" s="56" t="s">
        <v>42</v>
      </c>
      <c r="C26" s="59"/>
      <c r="D26" s="60"/>
      <c r="E26" s="84">
        <f>IF(D26&gt;'დასაშვები აქტივების სტრუქტურა'!$G$8,'დასაშვები აქტივების სტრუქტურა'!$G$8,D26)</f>
        <v>0</v>
      </c>
      <c r="F26" s="47"/>
    </row>
    <row r="27" spans="1:6" s="48" customFormat="1">
      <c r="A27" s="58">
        <v>19</v>
      </c>
      <c r="B27" s="56" t="s">
        <v>42</v>
      </c>
      <c r="C27" s="59"/>
      <c r="D27" s="60"/>
      <c r="E27" s="84">
        <f>IF(D27&gt;'დასაშვები აქტივების სტრუქტურა'!$G$8,'დასაშვები აქტივების სტრუქტურა'!$G$8,D27)</f>
        <v>0</v>
      </c>
      <c r="F27" s="47"/>
    </row>
    <row r="28" spans="1:6" s="48" customFormat="1">
      <c r="A28" s="58">
        <v>20</v>
      </c>
      <c r="B28" s="56" t="s">
        <v>42</v>
      </c>
      <c r="C28" s="59"/>
      <c r="D28" s="60"/>
      <c r="E28" s="84">
        <f>IF(D28&gt;'დასაშვები აქტივების სტრუქტურა'!$G$8,'დასაშვები აქტივების სტრუქტურა'!$G$8,D28)</f>
        <v>0</v>
      </c>
      <c r="F28" s="47"/>
    </row>
    <row r="29" spans="1:6" s="35" customFormat="1" ht="18">
      <c r="A29" s="50"/>
      <c r="B29" s="50" t="s">
        <v>70</v>
      </c>
      <c r="C29" s="50"/>
      <c r="D29" s="51">
        <f>SUM(D9:D28)</f>
        <v>0</v>
      </c>
      <c r="E29" s="51">
        <f>IF(SUM(E9:E28)&gt;'დასაშვები აქტივების სტრუქტურა'!$E$8,'დასაშვები აქტივების სტრუქტურა'!$E$8,SUM(E9:E28))</f>
        <v>0</v>
      </c>
      <c r="F29" s="55"/>
    </row>
    <row r="31" spans="1:6" s="54" customFormat="1" ht="28.5" customHeight="1">
      <c r="A31" s="270" t="s">
        <v>115</v>
      </c>
      <c r="B31" s="270"/>
      <c r="C31" s="270"/>
      <c r="D31" s="270"/>
      <c r="E31" s="270"/>
    </row>
    <row r="33" spans="1:6" ht="15.75">
      <c r="A33" s="37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B33" s="37"/>
      <c r="C33" s="37"/>
      <c r="D33" s="3"/>
      <c r="E33" s="3"/>
      <c r="F33" s="3"/>
    </row>
    <row r="34" spans="1:6" ht="15.75">
      <c r="A34" s="37" t="str">
        <f>რეზერვები!B52</f>
        <v xml:space="preserve">                                                                                                      (სახელი გვარი)</v>
      </c>
      <c r="B34" s="37"/>
      <c r="C34" s="37"/>
      <c r="D34" s="3"/>
      <c r="E34" s="3"/>
      <c r="F34" s="3"/>
    </row>
    <row r="35" spans="1:6" ht="15.75">
      <c r="A35" s="37"/>
      <c r="B35" s="37"/>
      <c r="C35" s="37"/>
      <c r="D35" s="3"/>
      <c r="E35" s="3"/>
      <c r="F35" s="3"/>
    </row>
    <row r="36" spans="1:6" ht="15.75">
      <c r="A36" s="37"/>
      <c r="B36" s="37"/>
      <c r="C36" s="37"/>
      <c r="D36" s="3"/>
      <c r="E36" s="3"/>
      <c r="F36" s="3"/>
    </row>
    <row r="37" spans="1:6" ht="15.75">
      <c r="A37" s="37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B37" s="37"/>
      <c r="C37" s="37"/>
      <c r="D37" s="3"/>
      <c r="E37" s="3"/>
      <c r="F37" s="3"/>
    </row>
    <row r="38" spans="1:6" ht="15.75">
      <c r="A38" s="37"/>
      <c r="B38" s="37" t="str">
        <f>'ინვ. დაქვ. რეზერვ. ოდენობა'!B43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38" s="37"/>
      <c r="D38" s="3"/>
      <c r="E38" s="3"/>
      <c r="F38" s="3"/>
    </row>
    <row r="39" spans="1:6">
      <c r="D39" s="3"/>
      <c r="E39" s="3"/>
      <c r="F39" s="3"/>
    </row>
    <row r="40" spans="1:6" ht="15.75">
      <c r="A40" s="37"/>
      <c r="D40" s="3"/>
      <c r="E40" s="3"/>
      <c r="F40" s="3"/>
    </row>
    <row r="41" spans="1:6" ht="15.75">
      <c r="A41" s="3"/>
      <c r="B41" s="38"/>
      <c r="D41" s="3"/>
      <c r="E41" s="3"/>
      <c r="F41" s="3"/>
    </row>
  </sheetData>
  <mergeCells count="1">
    <mergeCell ref="A31:E31"/>
  </mergeCells>
  <phoneticPr fontId="3" type="noConversion"/>
  <pageMargins left="0.19685039370078741" right="0.19685039370078741" top="0.28000000000000003" bottom="0.27559055118110237" header="0.15748031496062992" footer="0.15748031496062992"/>
  <pageSetup scale="8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4" tint="-0.249977111117893"/>
  </sheetPr>
  <dimension ref="A1:F41"/>
  <sheetViews>
    <sheetView zoomScaleNormal="100" workbookViewId="0">
      <pane xSplit="1" ySplit="8" topLeftCell="B24" activePane="bottomRight" state="frozen"/>
      <selection pane="topRight" activeCell="B1" sqref="B1"/>
      <selection pane="bottomLeft" activeCell="A10" sqref="A10"/>
      <selection pane="bottomRight" activeCell="A40" sqref="A40:B41"/>
    </sheetView>
  </sheetViews>
  <sheetFormatPr defaultRowHeight="15"/>
  <cols>
    <col min="1" max="1" width="3.85546875" style="2" customWidth="1"/>
    <col min="2" max="2" width="64.42578125" style="2" customWidth="1"/>
    <col min="3" max="3" width="15.7109375" style="2" customWidth="1"/>
    <col min="4" max="4" width="26" style="2" customWidth="1"/>
    <col min="5" max="5" width="22.42578125" style="2" customWidth="1"/>
    <col min="6" max="16384" width="9.140625" style="2"/>
  </cols>
  <sheetData>
    <row r="1" spans="1:6">
      <c r="A1" s="2" t="s">
        <v>128</v>
      </c>
    </row>
    <row r="2" spans="1:6">
      <c r="A2" s="2" t="s">
        <v>100</v>
      </c>
    </row>
    <row r="4" spans="1:6" s="86" customFormat="1" ht="15.75">
      <c r="A4" s="223" t="str">
        <f>რეზერვები!B4</f>
        <v>კომპანიის დასახელება: ___________________________________</v>
      </c>
    </row>
    <row r="5" spans="1:6" s="86" customFormat="1" ht="15.75">
      <c r="A5" s="223" t="str">
        <f>რეზერვები!B5</f>
        <v>საანგარიშო თარიღი:    ___________________________________</v>
      </c>
    </row>
    <row r="6" spans="1:6">
      <c r="E6" s="39" t="s">
        <v>107</v>
      </c>
    </row>
    <row r="7" spans="1:6" ht="57.75" customHeight="1">
      <c r="A7" s="40" t="s">
        <v>1</v>
      </c>
      <c r="B7" s="41" t="s">
        <v>71</v>
      </c>
      <c r="C7" s="42" t="s">
        <v>34</v>
      </c>
      <c r="D7" s="42" t="s">
        <v>47</v>
      </c>
      <c r="E7" s="42" t="s">
        <v>28</v>
      </c>
      <c r="F7" s="43"/>
    </row>
    <row r="8" spans="1:6" ht="15.75" customHeight="1">
      <c r="A8" s="42">
        <v>1</v>
      </c>
      <c r="B8" s="42">
        <v>2</v>
      </c>
      <c r="C8" s="42">
        <v>3</v>
      </c>
      <c r="D8" s="42">
        <v>4</v>
      </c>
      <c r="E8" s="42">
        <v>5</v>
      </c>
      <c r="F8" s="43"/>
    </row>
    <row r="9" spans="1:6" s="48" customFormat="1">
      <c r="A9" s="44">
        <v>1</v>
      </c>
      <c r="B9" s="56" t="s">
        <v>42</v>
      </c>
      <c r="C9" s="45"/>
      <c r="D9" s="46"/>
      <c r="E9" s="84">
        <f>IF(D9&gt;'დასაშვები აქტივების სტრუქტურა'!$G$9,'დასაშვები აქტივების სტრუქტურა'!$G$9,D9)</f>
        <v>0</v>
      </c>
      <c r="F9" s="47"/>
    </row>
    <row r="10" spans="1:6" s="48" customFormat="1">
      <c r="A10" s="44">
        <v>2</v>
      </c>
      <c r="B10" s="56" t="s">
        <v>42</v>
      </c>
      <c r="C10" s="45"/>
      <c r="D10" s="46"/>
      <c r="E10" s="84">
        <f>IF(D10&gt;'დასაშვები აქტივების სტრუქტურა'!$G$9,'დასაშვები აქტივების სტრუქტურა'!$G$9,D10)</f>
        <v>0</v>
      </c>
      <c r="F10" s="47"/>
    </row>
    <row r="11" spans="1:6" s="48" customFormat="1">
      <c r="A11" s="44">
        <v>3</v>
      </c>
      <c r="B11" s="56" t="s">
        <v>42</v>
      </c>
      <c r="C11" s="45"/>
      <c r="D11" s="46"/>
      <c r="E11" s="84">
        <f>IF(D11&gt;'დასაშვები აქტივების სტრუქტურა'!$G$9,'დასაშვები აქტივების სტრუქტურა'!$G$9,D11)</f>
        <v>0</v>
      </c>
      <c r="F11" s="47"/>
    </row>
    <row r="12" spans="1:6" s="48" customFormat="1">
      <c r="A12" s="44">
        <v>4</v>
      </c>
      <c r="B12" s="56" t="s">
        <v>42</v>
      </c>
      <c r="C12" s="45"/>
      <c r="D12" s="46"/>
      <c r="E12" s="84">
        <f>IF(D12&gt;'დასაშვები აქტივების სტრუქტურა'!$G$9,'დასაშვები აქტივების სტრუქტურა'!$G$9,D12)</f>
        <v>0</v>
      </c>
      <c r="F12" s="47"/>
    </row>
    <row r="13" spans="1:6" s="48" customFormat="1">
      <c r="A13" s="44">
        <v>5</v>
      </c>
      <c r="B13" s="56" t="s">
        <v>42</v>
      </c>
      <c r="C13" s="45"/>
      <c r="D13" s="46"/>
      <c r="E13" s="84">
        <f>IF(D13&gt;'დასაშვები აქტივების სტრუქტურა'!$G$9,'დასაშვები აქტივების სტრუქტურა'!$G$9,D13)</f>
        <v>0</v>
      </c>
      <c r="F13" s="47"/>
    </row>
    <row r="14" spans="1:6" s="48" customFormat="1">
      <c r="A14" s="44">
        <v>6</v>
      </c>
      <c r="B14" s="56" t="s">
        <v>42</v>
      </c>
      <c r="C14" s="45"/>
      <c r="D14" s="46"/>
      <c r="E14" s="84">
        <f>IF(D14&gt;'დასაშვები აქტივების სტრუქტურა'!$G$9,'დასაშვები აქტივების სტრუქტურა'!$G$9,D14)</f>
        <v>0</v>
      </c>
      <c r="F14" s="47"/>
    </row>
    <row r="15" spans="1:6" s="48" customFormat="1">
      <c r="A15" s="44">
        <v>7</v>
      </c>
      <c r="B15" s="56" t="s">
        <v>42</v>
      </c>
      <c r="C15" s="45"/>
      <c r="D15" s="46"/>
      <c r="E15" s="84">
        <f>IF(D15&gt;'დასაშვები აქტივების სტრუქტურა'!$G$9,'დასაშვები აქტივების სტრუქტურა'!$G$9,D15)</f>
        <v>0</v>
      </c>
      <c r="F15" s="47"/>
    </row>
    <row r="16" spans="1:6" s="48" customFormat="1">
      <c r="A16" s="44">
        <v>8</v>
      </c>
      <c r="B16" s="56" t="s">
        <v>42</v>
      </c>
      <c r="C16" s="45"/>
      <c r="D16" s="46"/>
      <c r="E16" s="84">
        <f>IF(D16&gt;'დასაშვები აქტივების სტრუქტურა'!$G$9,'დასაშვები აქტივების სტრუქტურა'!$G$9,D16)</f>
        <v>0</v>
      </c>
      <c r="F16" s="47"/>
    </row>
    <row r="17" spans="1:6" s="48" customFormat="1">
      <c r="A17" s="44">
        <v>9</v>
      </c>
      <c r="B17" s="56" t="s">
        <v>42</v>
      </c>
      <c r="C17" s="45"/>
      <c r="D17" s="46"/>
      <c r="E17" s="84">
        <f>IF(D17&gt;'დასაშვები აქტივების სტრუქტურა'!$G$9,'დასაშვები აქტივების სტრუქტურა'!$G$9,D17)</f>
        <v>0</v>
      </c>
      <c r="F17" s="47"/>
    </row>
    <row r="18" spans="1:6" s="48" customFormat="1">
      <c r="A18" s="44">
        <v>10</v>
      </c>
      <c r="B18" s="56" t="s">
        <v>42</v>
      </c>
      <c r="C18" s="45"/>
      <c r="D18" s="46"/>
      <c r="E18" s="84">
        <f>IF(D18&gt;'დასაშვები აქტივების სტრუქტურა'!$G$9,'დასაშვები აქტივების სტრუქტურა'!$G$9,D18)</f>
        <v>0</v>
      </c>
      <c r="F18" s="47"/>
    </row>
    <row r="19" spans="1:6" s="48" customFormat="1">
      <c r="A19" s="44">
        <v>11</v>
      </c>
      <c r="B19" s="56" t="s">
        <v>42</v>
      </c>
      <c r="C19" s="45"/>
      <c r="D19" s="46"/>
      <c r="E19" s="84">
        <f>IF(D19&gt;'დასაშვები აქტივების სტრუქტურა'!$G$9,'დასაშვები აქტივების სტრუქტურა'!$G$9,D19)</f>
        <v>0</v>
      </c>
      <c r="F19" s="47"/>
    </row>
    <row r="20" spans="1:6" s="48" customFormat="1">
      <c r="A20" s="44">
        <v>12</v>
      </c>
      <c r="B20" s="56" t="s">
        <v>42</v>
      </c>
      <c r="C20" s="45"/>
      <c r="D20" s="46"/>
      <c r="E20" s="84">
        <f>IF(D20&gt;'დასაშვები აქტივების სტრუქტურა'!$G$9,'დასაშვები აქტივების სტრუქტურა'!$G$9,D20)</f>
        <v>0</v>
      </c>
      <c r="F20" s="47"/>
    </row>
    <row r="21" spans="1:6" s="48" customFormat="1">
      <c r="A21" s="44">
        <v>13</v>
      </c>
      <c r="B21" s="56" t="s">
        <v>42</v>
      </c>
      <c r="C21" s="45"/>
      <c r="D21" s="46"/>
      <c r="E21" s="84">
        <f>IF(D21&gt;'დასაშვები აქტივების სტრუქტურა'!$G$9,'დასაშვები აქტივების სტრუქტურა'!$G$9,D21)</f>
        <v>0</v>
      </c>
      <c r="F21" s="47"/>
    </row>
    <row r="22" spans="1:6" s="48" customFormat="1">
      <c r="A22" s="44">
        <v>14</v>
      </c>
      <c r="B22" s="56" t="s">
        <v>42</v>
      </c>
      <c r="C22" s="45"/>
      <c r="D22" s="46"/>
      <c r="E22" s="84">
        <f>IF(D22&gt;'დასაშვები აქტივების სტრუქტურა'!$G$9,'დასაშვები აქტივების სტრუქტურა'!$G$9,D22)</f>
        <v>0</v>
      </c>
      <c r="F22" s="47"/>
    </row>
    <row r="23" spans="1:6" s="48" customFormat="1">
      <c r="A23" s="44">
        <v>15</v>
      </c>
      <c r="B23" s="56" t="s">
        <v>42</v>
      </c>
      <c r="C23" s="45"/>
      <c r="D23" s="46"/>
      <c r="E23" s="84">
        <f>IF(D23&gt;'დასაშვები აქტივების სტრუქტურა'!$G$9,'დასაშვები აქტივების სტრუქტურა'!$G$9,D23)</f>
        <v>0</v>
      </c>
      <c r="F23" s="47"/>
    </row>
    <row r="24" spans="1:6" s="48" customFormat="1">
      <c r="A24" s="44">
        <v>16</v>
      </c>
      <c r="B24" s="56" t="s">
        <v>42</v>
      </c>
      <c r="C24" s="45"/>
      <c r="D24" s="46"/>
      <c r="E24" s="84">
        <f>IF(D24&gt;'დასაშვები აქტივების სტრუქტურა'!$G$9,'დასაშვები აქტივების სტრუქტურა'!$G$9,D24)</f>
        <v>0</v>
      </c>
      <c r="F24" s="47"/>
    </row>
    <row r="25" spans="1:6" s="48" customFormat="1">
      <c r="A25" s="44">
        <v>17</v>
      </c>
      <c r="B25" s="56" t="s">
        <v>42</v>
      </c>
      <c r="C25" s="45"/>
      <c r="D25" s="46"/>
      <c r="E25" s="84">
        <f>IF(D25&gt;'დასაშვები აქტივების სტრუქტურა'!$G$9,'დასაშვები აქტივების სტრუქტურა'!$G$9,D25)</f>
        <v>0</v>
      </c>
      <c r="F25" s="47"/>
    </row>
    <row r="26" spans="1:6" s="48" customFormat="1">
      <c r="A26" s="44">
        <v>18</v>
      </c>
      <c r="B26" s="56" t="s">
        <v>42</v>
      </c>
      <c r="C26" s="45"/>
      <c r="D26" s="46"/>
      <c r="E26" s="84">
        <f>IF(D26&gt;'დასაშვები აქტივების სტრუქტურა'!$G$9,'დასაშვები აქტივების სტრუქტურა'!$G$9,D26)</f>
        <v>0</v>
      </c>
      <c r="F26" s="47"/>
    </row>
    <row r="27" spans="1:6" s="48" customFormat="1">
      <c r="A27" s="44">
        <v>19</v>
      </c>
      <c r="B27" s="56" t="s">
        <v>42</v>
      </c>
      <c r="C27" s="45"/>
      <c r="D27" s="46"/>
      <c r="E27" s="84">
        <f>IF(D27&gt;'დასაშვები აქტივების სტრუქტურა'!$G$9,'დასაშვები აქტივების სტრუქტურა'!$G$9,D27)</f>
        <v>0</v>
      </c>
      <c r="F27" s="47"/>
    </row>
    <row r="28" spans="1:6" s="48" customFormat="1">
      <c r="A28" s="44">
        <v>20</v>
      </c>
      <c r="B28" s="56" t="s">
        <v>42</v>
      </c>
      <c r="C28" s="45"/>
      <c r="D28" s="46"/>
      <c r="E28" s="84">
        <f>IF(D28&gt;'დასაშვები აქტივების სტრუქტურა'!$G$9,'დასაშვები აქტივების სტრუქტურა'!$G$9,D28)</f>
        <v>0</v>
      </c>
      <c r="F28" s="47"/>
    </row>
    <row r="29" spans="1:6" s="35" customFormat="1" ht="18">
      <c r="A29" s="50"/>
      <c r="B29" s="50" t="s">
        <v>70</v>
      </c>
      <c r="C29" s="50"/>
      <c r="D29" s="51">
        <f>SUM(D9:D28)</f>
        <v>0</v>
      </c>
      <c r="E29" s="51">
        <f>IF(SUM(E9:E28)&gt;'დასაშვები აქტივების სტრუქტურა'!$E$9,'დასაშვები აქტივების სტრუქტურა'!$E$9,SUM(E9:E28))</f>
        <v>0</v>
      </c>
      <c r="F29" s="55"/>
    </row>
    <row r="31" spans="1:6" s="54" customFormat="1" ht="29.25" customHeight="1">
      <c r="A31" s="270" t="s">
        <v>115</v>
      </c>
      <c r="B31" s="270"/>
      <c r="C31" s="270"/>
      <c r="D31" s="270"/>
      <c r="E31" s="270"/>
    </row>
    <row r="33" spans="1:4" ht="15.75">
      <c r="A33" s="37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B33" s="37"/>
      <c r="C33" s="37"/>
      <c r="D33" s="3"/>
    </row>
    <row r="34" spans="1:4" ht="15.75">
      <c r="A34" s="37" t="str">
        <f>რეზერვები!B52</f>
        <v xml:space="preserve">                                                                                                      (სახელი გვარი)</v>
      </c>
      <c r="B34" s="37"/>
      <c r="C34" s="37"/>
      <c r="D34" s="3"/>
    </row>
    <row r="35" spans="1:4" ht="15.75">
      <c r="A35" s="37"/>
      <c r="B35" s="37"/>
      <c r="C35" s="37"/>
      <c r="D35" s="3"/>
    </row>
    <row r="36" spans="1:4" ht="15.75">
      <c r="A36" s="37"/>
      <c r="B36" s="37"/>
      <c r="C36" s="37"/>
      <c r="D36" s="3"/>
    </row>
    <row r="37" spans="1:4" ht="15.75">
      <c r="A37" s="37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B37" s="37"/>
      <c r="C37" s="37"/>
      <c r="D37" s="3"/>
    </row>
    <row r="38" spans="1:4" ht="15.75">
      <c r="A38" s="37"/>
      <c r="B38" s="37" t="str">
        <f>'ინვ. დაქვ. რეზერვ. ოდენობა'!B43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38" s="37"/>
      <c r="D38" s="3"/>
    </row>
    <row r="39" spans="1:4">
      <c r="D39" s="3"/>
    </row>
    <row r="40" spans="1:4" ht="15.75">
      <c r="A40" s="37"/>
      <c r="D40" s="3"/>
    </row>
    <row r="41" spans="1:4" ht="15.75">
      <c r="A41" s="3"/>
      <c r="B41" s="38"/>
      <c r="D41" s="3"/>
    </row>
  </sheetData>
  <mergeCells count="1">
    <mergeCell ref="A31:E31"/>
  </mergeCells>
  <phoneticPr fontId="3" type="noConversion"/>
  <pageMargins left="0.19685039370078741" right="0.19685039370078741" top="0.27559055118110237" bottom="0.23622047244094491" header="0.15748031496062992" footer="0.15748031496062992"/>
  <pageSetup scale="85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4" tint="-0.249977111117893"/>
  </sheetPr>
  <dimension ref="A1:G42"/>
  <sheetViews>
    <sheetView zoomScaleNormal="100" workbookViewId="0">
      <pane xSplit="1" ySplit="8" topLeftCell="B30" activePane="bottomRight" state="frozen"/>
      <selection pane="topRight" activeCell="B1" sqref="B1"/>
      <selection pane="bottomLeft" activeCell="A10" sqref="A10"/>
      <selection pane="bottomRight" activeCell="A41" sqref="A41:B42"/>
    </sheetView>
  </sheetViews>
  <sheetFormatPr defaultRowHeight="15"/>
  <cols>
    <col min="1" max="1" width="3.85546875" style="2" customWidth="1"/>
    <col min="2" max="2" width="55" style="2" customWidth="1"/>
    <col min="3" max="3" width="16.85546875" style="2" customWidth="1"/>
    <col min="4" max="4" width="26" style="2" customWidth="1"/>
    <col min="5" max="5" width="31" style="2" customWidth="1"/>
    <col min="6" max="6" width="22.85546875" style="2" customWidth="1"/>
    <col min="7" max="7" width="6.28515625" style="2" customWidth="1"/>
    <col min="8" max="16384" width="9.140625" style="2"/>
  </cols>
  <sheetData>
    <row r="1" spans="1:7">
      <c r="A1" s="2" t="s">
        <v>129</v>
      </c>
    </row>
    <row r="2" spans="1:7">
      <c r="A2" s="2" t="s">
        <v>99</v>
      </c>
    </row>
    <row r="4" spans="1:7" s="86" customFormat="1" ht="15.75">
      <c r="A4" s="223" t="str">
        <f>რეზერვები!B4</f>
        <v>კომპანიის დასახელება: ___________________________________</v>
      </c>
    </row>
    <row r="5" spans="1:7" s="86" customFormat="1" ht="15.75">
      <c r="A5" s="223" t="str">
        <f>რეზერვები!B5</f>
        <v>საანგარიშო თარიღი:    ___________________________________</v>
      </c>
    </row>
    <row r="6" spans="1:7">
      <c r="F6" s="39" t="s">
        <v>107</v>
      </c>
    </row>
    <row r="7" spans="1:7" ht="90.75" customHeight="1">
      <c r="A7" s="40" t="s">
        <v>3</v>
      </c>
      <c r="B7" s="41" t="s">
        <v>72</v>
      </c>
      <c r="C7" s="42" t="s">
        <v>34</v>
      </c>
      <c r="D7" s="42" t="s">
        <v>106</v>
      </c>
      <c r="E7" s="42" t="s">
        <v>47</v>
      </c>
      <c r="F7" s="42" t="s">
        <v>28</v>
      </c>
      <c r="G7" s="43"/>
    </row>
    <row r="8" spans="1:7" ht="15.75" customHeight="1">
      <c r="A8" s="42">
        <v>1</v>
      </c>
      <c r="B8" s="42">
        <v>2</v>
      </c>
      <c r="C8" s="42">
        <v>3</v>
      </c>
      <c r="D8" s="42">
        <v>4</v>
      </c>
      <c r="E8" s="42">
        <v>5</v>
      </c>
      <c r="F8" s="42">
        <v>6</v>
      </c>
      <c r="G8" s="43"/>
    </row>
    <row r="9" spans="1:7" s="48" customFormat="1">
      <c r="A9" s="44">
        <v>1</v>
      </c>
      <c r="B9" s="56" t="s">
        <v>42</v>
      </c>
      <c r="C9" s="45"/>
      <c r="D9" s="45"/>
      <c r="E9" s="46"/>
      <c r="F9" s="84">
        <f>IF(E9&gt;'დასაშვები აქტივების სტრუქტურა'!$G$11,'დასაშვები აქტივების სტრუქტურა'!$G$11,E9)</f>
        <v>0</v>
      </c>
      <c r="G9" s="47"/>
    </row>
    <row r="10" spans="1:7" s="48" customFormat="1">
      <c r="A10" s="44">
        <v>2</v>
      </c>
      <c r="B10" s="56" t="s">
        <v>42</v>
      </c>
      <c r="C10" s="45"/>
      <c r="D10" s="45"/>
      <c r="E10" s="46"/>
      <c r="F10" s="84">
        <f>IF(E10&gt;'დასაშვები აქტივების სტრუქტურა'!$G$11,'დასაშვები აქტივების სტრუქტურა'!$G$11,E10)</f>
        <v>0</v>
      </c>
      <c r="G10" s="47"/>
    </row>
    <row r="11" spans="1:7" s="48" customFormat="1">
      <c r="A11" s="44">
        <v>3</v>
      </c>
      <c r="B11" s="56" t="s">
        <v>42</v>
      </c>
      <c r="C11" s="45"/>
      <c r="D11" s="45"/>
      <c r="E11" s="46"/>
      <c r="F11" s="84">
        <f>IF(E11&gt;'დასაშვები აქტივების სტრუქტურა'!$G$11,'დასაშვები აქტივების სტრუქტურა'!$G$11,E11)</f>
        <v>0</v>
      </c>
      <c r="G11" s="47"/>
    </row>
    <row r="12" spans="1:7" s="48" customFormat="1">
      <c r="A12" s="44">
        <v>4</v>
      </c>
      <c r="B12" s="56" t="s">
        <v>42</v>
      </c>
      <c r="C12" s="45"/>
      <c r="D12" s="45"/>
      <c r="E12" s="46"/>
      <c r="F12" s="84">
        <f>IF(E12&gt;'დასაშვები აქტივების სტრუქტურა'!$G$11,'დასაშვები აქტივების სტრუქტურა'!$G$11,E12)</f>
        <v>0</v>
      </c>
      <c r="G12" s="47"/>
    </row>
    <row r="13" spans="1:7" s="48" customFormat="1">
      <c r="A13" s="44">
        <v>5</v>
      </c>
      <c r="B13" s="56" t="s">
        <v>42</v>
      </c>
      <c r="C13" s="45"/>
      <c r="D13" s="45"/>
      <c r="E13" s="46"/>
      <c r="F13" s="84">
        <f>IF(E13&gt;'დასაშვები აქტივების სტრუქტურა'!$G$11,'დასაშვები აქტივების სტრუქტურა'!$G$11,E13)</f>
        <v>0</v>
      </c>
      <c r="G13" s="47"/>
    </row>
    <row r="14" spans="1:7" s="48" customFormat="1">
      <c r="A14" s="44">
        <v>6</v>
      </c>
      <c r="B14" s="56" t="s">
        <v>42</v>
      </c>
      <c r="C14" s="45"/>
      <c r="D14" s="45"/>
      <c r="E14" s="46"/>
      <c r="F14" s="84">
        <f>IF(E14&gt;'დასაშვები აქტივების სტრუქტურა'!$G$11,'დასაშვები აქტივების სტრუქტურა'!$G$11,E14)</f>
        <v>0</v>
      </c>
      <c r="G14" s="47"/>
    </row>
    <row r="15" spans="1:7" s="48" customFormat="1">
      <c r="A15" s="44">
        <v>7</v>
      </c>
      <c r="B15" s="56" t="s">
        <v>42</v>
      </c>
      <c r="C15" s="45"/>
      <c r="D15" s="45"/>
      <c r="E15" s="46"/>
      <c r="F15" s="84">
        <f>IF(E15&gt;'დასაშვები აქტივების სტრუქტურა'!$G$11,'დასაშვები აქტივების სტრუქტურა'!$G$11,E15)</f>
        <v>0</v>
      </c>
      <c r="G15" s="47"/>
    </row>
    <row r="16" spans="1:7" s="48" customFormat="1">
      <c r="A16" s="44">
        <v>8</v>
      </c>
      <c r="B16" s="56" t="s">
        <v>42</v>
      </c>
      <c r="C16" s="45"/>
      <c r="D16" s="45"/>
      <c r="E16" s="46"/>
      <c r="F16" s="84">
        <f>IF(E16&gt;'დასაშვები აქტივების სტრუქტურა'!$G$11,'დასაშვები აქტივების სტრუქტურა'!$G$11,E16)</f>
        <v>0</v>
      </c>
      <c r="G16" s="47"/>
    </row>
    <row r="17" spans="1:7" s="48" customFormat="1">
      <c r="A17" s="44">
        <v>9</v>
      </c>
      <c r="B17" s="56" t="s">
        <v>42</v>
      </c>
      <c r="C17" s="45"/>
      <c r="D17" s="45"/>
      <c r="E17" s="46"/>
      <c r="F17" s="84">
        <f>IF(E17&gt;'დასაშვები აქტივების სტრუქტურა'!$G$11,'დასაშვები აქტივების სტრუქტურა'!$G$11,E17)</f>
        <v>0</v>
      </c>
      <c r="G17" s="47"/>
    </row>
    <row r="18" spans="1:7" s="48" customFormat="1">
      <c r="A18" s="44">
        <v>10</v>
      </c>
      <c r="B18" s="56" t="s">
        <v>42</v>
      </c>
      <c r="C18" s="45"/>
      <c r="D18" s="45"/>
      <c r="E18" s="46"/>
      <c r="F18" s="84">
        <f>IF(E18&gt;'დასაშვები აქტივების სტრუქტურა'!$G$11,'დასაშვები აქტივების სტრუქტურა'!$G$11,E18)</f>
        <v>0</v>
      </c>
      <c r="G18" s="47"/>
    </row>
    <row r="19" spans="1:7" s="48" customFormat="1">
      <c r="A19" s="44">
        <v>11</v>
      </c>
      <c r="B19" s="56" t="s">
        <v>42</v>
      </c>
      <c r="C19" s="45"/>
      <c r="D19" s="45"/>
      <c r="E19" s="46"/>
      <c r="F19" s="84">
        <f>IF(E19&gt;'დასაშვები აქტივების სტრუქტურა'!$G$11,'დასაშვები აქტივების სტრუქტურა'!$G$11,E19)</f>
        <v>0</v>
      </c>
      <c r="G19" s="47"/>
    </row>
    <row r="20" spans="1:7" s="48" customFormat="1">
      <c r="A20" s="44">
        <v>12</v>
      </c>
      <c r="B20" s="56" t="s">
        <v>42</v>
      </c>
      <c r="C20" s="45"/>
      <c r="D20" s="45"/>
      <c r="E20" s="46"/>
      <c r="F20" s="84">
        <f>IF(E20&gt;'დასაშვები აქტივების სტრუქტურა'!$G$11,'დასაშვები აქტივების სტრუქტურა'!$G$11,E20)</f>
        <v>0</v>
      </c>
      <c r="G20" s="47"/>
    </row>
    <row r="21" spans="1:7" s="48" customFormat="1">
      <c r="A21" s="44">
        <v>13</v>
      </c>
      <c r="B21" s="56" t="s">
        <v>42</v>
      </c>
      <c r="C21" s="45"/>
      <c r="D21" s="45"/>
      <c r="E21" s="46"/>
      <c r="F21" s="84">
        <f>IF(E21&gt;'დასაშვები აქტივების სტრუქტურა'!$G$11,'დასაშვები აქტივების სტრუქტურა'!$G$11,E21)</f>
        <v>0</v>
      </c>
      <c r="G21" s="47"/>
    </row>
    <row r="22" spans="1:7" s="48" customFormat="1">
      <c r="A22" s="44">
        <v>14</v>
      </c>
      <c r="B22" s="56" t="s">
        <v>42</v>
      </c>
      <c r="C22" s="45"/>
      <c r="D22" s="45"/>
      <c r="E22" s="46"/>
      <c r="F22" s="84">
        <f>IF(E22&gt;'დასაშვები აქტივების სტრუქტურა'!$G$11,'დასაშვები აქტივების სტრუქტურა'!$G$11,E22)</f>
        <v>0</v>
      </c>
      <c r="G22" s="47"/>
    </row>
    <row r="23" spans="1:7" s="48" customFormat="1">
      <c r="A23" s="44">
        <v>15</v>
      </c>
      <c r="B23" s="56" t="s">
        <v>42</v>
      </c>
      <c r="C23" s="45"/>
      <c r="D23" s="45"/>
      <c r="E23" s="46"/>
      <c r="F23" s="84">
        <f>IF(E23&gt;'დასაშვები აქტივების სტრუქტურა'!$G$11,'დასაშვები აქტივების სტრუქტურა'!$G$11,E23)</f>
        <v>0</v>
      </c>
      <c r="G23" s="47"/>
    </row>
    <row r="24" spans="1:7" s="48" customFormat="1">
      <c r="A24" s="44">
        <v>16</v>
      </c>
      <c r="B24" s="56" t="s">
        <v>42</v>
      </c>
      <c r="C24" s="45"/>
      <c r="D24" s="45"/>
      <c r="E24" s="46"/>
      <c r="F24" s="84">
        <f>IF(E24&gt;'დასაშვები აქტივების სტრუქტურა'!$G$11,'დასაშვები აქტივების სტრუქტურა'!$G$11,E24)</f>
        <v>0</v>
      </c>
      <c r="G24" s="47"/>
    </row>
    <row r="25" spans="1:7" s="48" customFormat="1">
      <c r="A25" s="44">
        <v>17</v>
      </c>
      <c r="B25" s="56" t="s">
        <v>42</v>
      </c>
      <c r="C25" s="45"/>
      <c r="D25" s="45"/>
      <c r="E25" s="46"/>
      <c r="F25" s="84">
        <f>IF(E25&gt;'დასაშვები აქტივების სტრუქტურა'!$G$11,'დასაშვები აქტივების სტრუქტურა'!$G$11,E25)</f>
        <v>0</v>
      </c>
      <c r="G25" s="47"/>
    </row>
    <row r="26" spans="1:7" s="48" customFormat="1">
      <c r="A26" s="44">
        <v>18</v>
      </c>
      <c r="B26" s="56" t="s">
        <v>42</v>
      </c>
      <c r="C26" s="45"/>
      <c r="D26" s="45"/>
      <c r="E26" s="46"/>
      <c r="F26" s="84">
        <f>IF(E26&gt;'დასაშვები აქტივების სტრუქტურა'!$G$11,'დასაშვები აქტივების სტრუქტურა'!$G$11,E26)</f>
        <v>0</v>
      </c>
      <c r="G26" s="47"/>
    </row>
    <row r="27" spans="1:7" s="48" customFormat="1">
      <c r="A27" s="44">
        <v>19</v>
      </c>
      <c r="B27" s="56" t="s">
        <v>42</v>
      </c>
      <c r="C27" s="45"/>
      <c r="D27" s="45"/>
      <c r="E27" s="46"/>
      <c r="F27" s="84">
        <f>IF(E27&gt;'დასაშვები აქტივების სტრუქტურა'!$G$11,'დასაშვები აქტივების სტრუქტურა'!$G$11,E27)</f>
        <v>0</v>
      </c>
      <c r="G27" s="47"/>
    </row>
    <row r="28" spans="1:7" s="48" customFormat="1">
      <c r="A28" s="44">
        <v>20</v>
      </c>
      <c r="B28" s="56" t="s">
        <v>42</v>
      </c>
      <c r="C28" s="45"/>
      <c r="D28" s="45"/>
      <c r="E28" s="46"/>
      <c r="F28" s="84">
        <f>IF(E28&gt;'დასაშვები აქტივების სტრუქტურა'!$G$11,'დასაშვები აქტივების სტრუქტურა'!$G$11,E28)</f>
        <v>0</v>
      </c>
      <c r="G28" s="47"/>
    </row>
    <row r="29" spans="1:7" s="35" customFormat="1" ht="18">
      <c r="A29" s="50"/>
      <c r="B29" s="50" t="s">
        <v>70</v>
      </c>
      <c r="C29" s="50"/>
      <c r="D29" s="50"/>
      <c r="E29" s="51">
        <f>SUM(E9:E28)</f>
        <v>0</v>
      </c>
      <c r="F29" s="51">
        <f>IF(SUM(F9:F28)&gt;'დასაშვები აქტივების სტრუქტურა'!$E$11,'დასაშვები აქტივების სტრუქტურა'!$E$11,SUM(F9:F28))</f>
        <v>0</v>
      </c>
      <c r="G29" s="55"/>
    </row>
    <row r="31" spans="1:7" s="54" customFormat="1" ht="36.75" customHeight="1">
      <c r="A31" s="270" t="s">
        <v>82</v>
      </c>
      <c r="B31" s="270"/>
      <c r="C31" s="270"/>
      <c r="D31" s="270"/>
      <c r="E31" s="270"/>
      <c r="F31" s="270"/>
    </row>
    <row r="32" spans="1:7" s="54" customFormat="1" ht="31.5" customHeight="1">
      <c r="A32" s="270" t="s">
        <v>115</v>
      </c>
      <c r="B32" s="270"/>
      <c r="C32" s="270"/>
      <c r="D32" s="270"/>
      <c r="E32" s="270"/>
      <c r="F32" s="270"/>
    </row>
    <row r="33" spans="1:6">
      <c r="A33" s="271"/>
      <c r="B33" s="271"/>
      <c r="C33" s="271"/>
      <c r="D33" s="271"/>
      <c r="E33" s="271"/>
    </row>
    <row r="34" spans="1:6" ht="15.75">
      <c r="A34" s="37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B34" s="37"/>
      <c r="C34" s="37"/>
      <c r="D34" s="37"/>
      <c r="E34" s="3"/>
    </row>
    <row r="35" spans="1:6" ht="15.75">
      <c r="A35" s="37" t="str">
        <f>რეზერვები!B52</f>
        <v xml:space="preserve">                                                                                                      (სახელი გვარი)</v>
      </c>
      <c r="B35" s="37"/>
      <c r="C35" s="37"/>
      <c r="D35" s="37"/>
      <c r="E35" s="3"/>
      <c r="F35" s="54"/>
    </row>
    <row r="36" spans="1:6" ht="15.75">
      <c r="A36" s="37"/>
      <c r="B36" s="37"/>
      <c r="C36" s="37"/>
      <c r="D36" s="37"/>
      <c r="E36" s="3"/>
    </row>
    <row r="37" spans="1:6" ht="15.75">
      <c r="A37" s="37"/>
      <c r="B37" s="37"/>
      <c r="C37" s="37"/>
      <c r="D37" s="37"/>
      <c r="E37" s="3"/>
    </row>
    <row r="38" spans="1:6" ht="15.75">
      <c r="A38" s="37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B38" s="37"/>
      <c r="C38" s="37"/>
      <c r="D38" s="37"/>
      <c r="E38" s="3"/>
    </row>
    <row r="39" spans="1:6" ht="15.75">
      <c r="A39" s="37"/>
      <c r="B39" s="37" t="str">
        <f>'ინვ. დაქვ. რეზერვ. ოდენობა'!$B$43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39" s="37"/>
      <c r="D39" s="37"/>
      <c r="E39" s="3"/>
    </row>
    <row r="40" spans="1:6">
      <c r="E40" s="3"/>
    </row>
    <row r="41" spans="1:6" ht="15.75">
      <c r="A41" s="37"/>
      <c r="E41" s="3"/>
    </row>
    <row r="42" spans="1:6" ht="15.75">
      <c r="A42" s="3"/>
      <c r="B42" s="38"/>
      <c r="E42" s="3"/>
    </row>
  </sheetData>
  <mergeCells count="3">
    <mergeCell ref="A33:E33"/>
    <mergeCell ref="A31:F31"/>
    <mergeCell ref="A32:F32"/>
  </mergeCells>
  <phoneticPr fontId="3" type="noConversion"/>
  <pageMargins left="0.19685039370078741" right="0.19685039370078741" top="0.39370078740157483" bottom="0.27559055118110237" header="0.15748031496062992" footer="0.15748031496062992"/>
  <pageSetup scale="75" orientation="landscape" horizontalDpi="300" verticalDpi="300" r:id="rId1"/>
  <rowBreaks count="1" manualBreakCount="1">
    <brk id="42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4" tint="-0.249977111117893"/>
  </sheetPr>
  <dimension ref="A1:F42"/>
  <sheetViews>
    <sheetView zoomScaleNormal="100" workbookViewId="0">
      <pane xSplit="1" ySplit="8" topLeftCell="B30" activePane="bottomRight" state="frozen"/>
      <selection pane="topRight" activeCell="B1" sqref="B1"/>
      <selection pane="bottomLeft" activeCell="A10" sqref="A10"/>
      <selection pane="bottomRight" activeCell="A41" sqref="A41:B42"/>
    </sheetView>
  </sheetViews>
  <sheetFormatPr defaultRowHeight="15"/>
  <cols>
    <col min="1" max="1" width="3.85546875" style="2" customWidth="1"/>
    <col min="2" max="2" width="64.42578125" style="2" customWidth="1"/>
    <col min="3" max="3" width="18.5703125" style="2" customWidth="1"/>
    <col min="4" max="4" width="26" style="2" customWidth="1"/>
    <col min="5" max="5" width="23.28515625" style="2" customWidth="1"/>
    <col min="6" max="6" width="7.140625" style="2" bestFit="1" customWidth="1"/>
    <col min="7" max="16384" width="9.140625" style="2"/>
  </cols>
  <sheetData>
    <row r="1" spans="1:6">
      <c r="A1" s="2" t="s">
        <v>130</v>
      </c>
    </row>
    <row r="2" spans="1:6">
      <c r="A2" s="2" t="s">
        <v>98</v>
      </c>
    </row>
    <row r="4" spans="1:6" s="86" customFormat="1" ht="15.75">
      <c r="A4" s="223" t="str">
        <f>რეზერვები!B4</f>
        <v>კომპანიის დასახელება: ___________________________________</v>
      </c>
    </row>
    <row r="5" spans="1:6" s="86" customFormat="1" ht="15.75">
      <c r="A5" s="223" t="str">
        <f>რეზერვები!B5</f>
        <v>საანგარიშო თარიღი:    ___________________________________</v>
      </c>
    </row>
    <row r="6" spans="1:6">
      <c r="E6" s="39" t="s">
        <v>107</v>
      </c>
    </row>
    <row r="7" spans="1:6" ht="96" customHeight="1">
      <c r="A7" s="40" t="s">
        <v>4</v>
      </c>
      <c r="B7" s="41" t="s">
        <v>73</v>
      </c>
      <c r="C7" s="42" t="s">
        <v>34</v>
      </c>
      <c r="D7" s="42" t="s">
        <v>47</v>
      </c>
      <c r="E7" s="42" t="s">
        <v>28</v>
      </c>
      <c r="F7" s="43"/>
    </row>
    <row r="8" spans="1:6" ht="15.75" customHeight="1">
      <c r="A8" s="42">
        <v>1</v>
      </c>
      <c r="B8" s="42">
        <v>2</v>
      </c>
      <c r="C8" s="42">
        <v>3</v>
      </c>
      <c r="D8" s="42">
        <v>4</v>
      </c>
      <c r="E8" s="42">
        <v>5</v>
      </c>
      <c r="F8" s="43"/>
    </row>
    <row r="9" spans="1:6" s="48" customFormat="1">
      <c r="A9" s="44">
        <v>1</v>
      </c>
      <c r="B9" s="56" t="s">
        <v>42</v>
      </c>
      <c r="C9" s="45"/>
      <c r="D9" s="46"/>
      <c r="E9" s="84">
        <f>IF(D9&gt;'დასაშვები აქტივების სტრუქტურა'!$G$12,'დასაშვები აქტივების სტრუქტურა'!$G$12,D9)</f>
        <v>0</v>
      </c>
      <c r="F9" s="47"/>
    </row>
    <row r="10" spans="1:6" s="48" customFormat="1">
      <c r="A10" s="44">
        <v>2</v>
      </c>
      <c r="B10" s="56" t="s">
        <v>42</v>
      </c>
      <c r="C10" s="45"/>
      <c r="D10" s="46"/>
      <c r="E10" s="84">
        <f>IF(D10&gt;'დასაშვები აქტივების სტრუქტურა'!$G$12,'დასაშვები აქტივების სტრუქტურა'!$G$12,D10)</f>
        <v>0</v>
      </c>
      <c r="F10" s="47"/>
    </row>
    <row r="11" spans="1:6" s="48" customFormat="1">
      <c r="A11" s="44">
        <v>3</v>
      </c>
      <c r="B11" s="56" t="s">
        <v>42</v>
      </c>
      <c r="C11" s="45"/>
      <c r="D11" s="46"/>
      <c r="E11" s="84">
        <f>IF(D11&gt;'დასაშვები აქტივების სტრუქტურა'!$G$12,'დასაშვები აქტივების სტრუქტურა'!$G$12,D11)</f>
        <v>0</v>
      </c>
      <c r="F11" s="47"/>
    </row>
    <row r="12" spans="1:6" s="48" customFormat="1">
      <c r="A12" s="44">
        <v>4</v>
      </c>
      <c r="B12" s="56" t="s">
        <v>42</v>
      </c>
      <c r="C12" s="45"/>
      <c r="D12" s="46"/>
      <c r="E12" s="84">
        <f>IF(D12&gt;'დასაშვები აქტივების სტრუქტურა'!$G$12,'დასაშვები აქტივების სტრუქტურა'!$G$12,D12)</f>
        <v>0</v>
      </c>
      <c r="F12" s="47"/>
    </row>
    <row r="13" spans="1:6" s="48" customFormat="1">
      <c r="A13" s="44">
        <v>5</v>
      </c>
      <c r="B13" s="56" t="s">
        <v>42</v>
      </c>
      <c r="C13" s="45"/>
      <c r="D13" s="46"/>
      <c r="E13" s="84">
        <f>IF(D13&gt;'დასაშვები აქტივების სტრუქტურა'!$G$12,'დასაშვები აქტივების სტრუქტურა'!$G$12,D13)</f>
        <v>0</v>
      </c>
      <c r="F13" s="47"/>
    </row>
    <row r="14" spans="1:6" s="48" customFormat="1">
      <c r="A14" s="44">
        <v>6</v>
      </c>
      <c r="B14" s="56" t="s">
        <v>42</v>
      </c>
      <c r="C14" s="45"/>
      <c r="D14" s="46"/>
      <c r="E14" s="84">
        <f>IF(D14&gt;'დასაშვები აქტივების სტრუქტურა'!$G$12,'დასაშვები აქტივების სტრუქტურა'!$G$12,D14)</f>
        <v>0</v>
      </c>
      <c r="F14" s="47"/>
    </row>
    <row r="15" spans="1:6" s="48" customFormat="1">
      <c r="A15" s="44">
        <v>7</v>
      </c>
      <c r="B15" s="56" t="s">
        <v>42</v>
      </c>
      <c r="C15" s="45"/>
      <c r="D15" s="46"/>
      <c r="E15" s="84">
        <f>IF(D15&gt;'დასაშვები აქტივების სტრუქტურა'!$G$12,'დასაშვები აქტივების სტრუქტურა'!$G$12,D15)</f>
        <v>0</v>
      </c>
      <c r="F15" s="47"/>
    </row>
    <row r="16" spans="1:6" s="48" customFormat="1">
      <c r="A16" s="44">
        <v>8</v>
      </c>
      <c r="B16" s="56" t="s">
        <v>42</v>
      </c>
      <c r="C16" s="45"/>
      <c r="D16" s="46"/>
      <c r="E16" s="84">
        <f>IF(D16&gt;'დასაშვები აქტივების სტრუქტურა'!$G$12,'დასაშვები აქტივების სტრუქტურა'!$G$12,D16)</f>
        <v>0</v>
      </c>
      <c r="F16" s="47"/>
    </row>
    <row r="17" spans="1:6" s="48" customFormat="1">
      <c r="A17" s="44">
        <v>9</v>
      </c>
      <c r="B17" s="56" t="s">
        <v>42</v>
      </c>
      <c r="C17" s="45"/>
      <c r="D17" s="46"/>
      <c r="E17" s="84">
        <f>IF(D17&gt;'დასაშვები აქტივების სტრუქტურა'!$G$12,'დასაშვები აქტივების სტრუქტურა'!$G$12,D17)</f>
        <v>0</v>
      </c>
      <c r="F17" s="47"/>
    </row>
    <row r="18" spans="1:6" s="48" customFormat="1">
      <c r="A18" s="44">
        <v>10</v>
      </c>
      <c r="B18" s="56" t="s">
        <v>42</v>
      </c>
      <c r="C18" s="45"/>
      <c r="D18" s="46"/>
      <c r="E18" s="84">
        <f>IF(D18&gt;'დასაშვები აქტივების სტრუქტურა'!$G$12,'დასაშვები აქტივების სტრუქტურა'!$G$12,D18)</f>
        <v>0</v>
      </c>
      <c r="F18" s="47"/>
    </row>
    <row r="19" spans="1:6" s="48" customFormat="1">
      <c r="A19" s="44">
        <v>11</v>
      </c>
      <c r="B19" s="56" t="s">
        <v>42</v>
      </c>
      <c r="C19" s="45"/>
      <c r="D19" s="46"/>
      <c r="E19" s="84">
        <f>IF(D19&gt;'დასაშვები აქტივების სტრუქტურა'!$G$12,'დასაშვები აქტივების სტრუქტურა'!$G$12,D19)</f>
        <v>0</v>
      </c>
      <c r="F19" s="47"/>
    </row>
    <row r="20" spans="1:6" s="48" customFormat="1">
      <c r="A20" s="44">
        <v>12</v>
      </c>
      <c r="B20" s="56" t="s">
        <v>42</v>
      </c>
      <c r="C20" s="45"/>
      <c r="D20" s="46"/>
      <c r="E20" s="84">
        <f>IF(D20&gt;'დასაშვები აქტივების სტრუქტურა'!$G$12,'დასაშვები აქტივების სტრუქტურა'!$G$12,D20)</f>
        <v>0</v>
      </c>
      <c r="F20" s="47"/>
    </row>
    <row r="21" spans="1:6" s="48" customFormat="1">
      <c r="A21" s="44">
        <v>13</v>
      </c>
      <c r="B21" s="56" t="s">
        <v>42</v>
      </c>
      <c r="C21" s="45"/>
      <c r="D21" s="46"/>
      <c r="E21" s="84">
        <f>IF(D21&gt;'დასაშვები აქტივების სტრუქტურა'!$G$12,'დასაშვები აქტივების სტრუქტურა'!$G$12,D21)</f>
        <v>0</v>
      </c>
      <c r="F21" s="47"/>
    </row>
    <row r="22" spans="1:6" s="48" customFormat="1">
      <c r="A22" s="44">
        <v>14</v>
      </c>
      <c r="B22" s="56" t="s">
        <v>42</v>
      </c>
      <c r="C22" s="45"/>
      <c r="D22" s="46"/>
      <c r="E22" s="84">
        <f>IF(D22&gt;'დასაშვები აქტივების სტრუქტურა'!$G$12,'დასაშვები აქტივების სტრუქტურა'!$G$12,D22)</f>
        <v>0</v>
      </c>
      <c r="F22" s="47"/>
    </row>
    <row r="23" spans="1:6" s="48" customFormat="1">
      <c r="A23" s="44">
        <v>15</v>
      </c>
      <c r="B23" s="56" t="s">
        <v>42</v>
      </c>
      <c r="C23" s="45"/>
      <c r="D23" s="46"/>
      <c r="E23" s="84">
        <f>IF(D23&gt;'დასაშვები აქტივების სტრუქტურა'!$G$12,'დასაშვები აქტივების სტრუქტურა'!$G$12,D23)</f>
        <v>0</v>
      </c>
      <c r="F23" s="47"/>
    </row>
    <row r="24" spans="1:6" s="48" customFormat="1">
      <c r="A24" s="44">
        <v>16</v>
      </c>
      <c r="B24" s="56" t="s">
        <v>42</v>
      </c>
      <c r="C24" s="45"/>
      <c r="D24" s="46"/>
      <c r="E24" s="84">
        <f>IF(D24&gt;'დასაშვები აქტივების სტრუქტურა'!$G$12,'დასაშვები აქტივების სტრუქტურა'!$G$12,D24)</f>
        <v>0</v>
      </c>
      <c r="F24" s="47"/>
    </row>
    <row r="25" spans="1:6" s="48" customFormat="1">
      <c r="A25" s="44">
        <v>17</v>
      </c>
      <c r="B25" s="56" t="s">
        <v>42</v>
      </c>
      <c r="C25" s="45"/>
      <c r="D25" s="46"/>
      <c r="E25" s="84">
        <f>IF(D25&gt;'დასაშვები აქტივების სტრუქტურა'!$G$12,'დასაშვები აქტივების სტრუქტურა'!$G$12,D25)</f>
        <v>0</v>
      </c>
      <c r="F25" s="47"/>
    </row>
    <row r="26" spans="1:6" s="48" customFormat="1">
      <c r="A26" s="44">
        <v>18</v>
      </c>
      <c r="B26" s="56" t="s">
        <v>42</v>
      </c>
      <c r="C26" s="45"/>
      <c r="D26" s="46"/>
      <c r="E26" s="84">
        <f>IF(D26&gt;'დასაშვები აქტივების სტრუქტურა'!$G$12,'დასაშვები აქტივების სტრუქტურა'!$G$12,D26)</f>
        <v>0</v>
      </c>
      <c r="F26" s="47"/>
    </row>
    <row r="27" spans="1:6" s="48" customFormat="1">
      <c r="A27" s="44">
        <v>19</v>
      </c>
      <c r="B27" s="56" t="s">
        <v>42</v>
      </c>
      <c r="C27" s="45"/>
      <c r="D27" s="46"/>
      <c r="E27" s="84">
        <f>IF(D27&gt;'დასაშვები აქტივების სტრუქტურა'!$G$12,'დასაშვები აქტივების სტრუქტურა'!$G$12,D27)</f>
        <v>0</v>
      </c>
      <c r="F27" s="47"/>
    </row>
    <row r="28" spans="1:6" s="48" customFormat="1">
      <c r="A28" s="44">
        <v>20</v>
      </c>
      <c r="B28" s="56" t="s">
        <v>42</v>
      </c>
      <c r="C28" s="45"/>
      <c r="D28" s="46"/>
      <c r="E28" s="84">
        <f>IF(D28&gt;'დასაშვები აქტივების სტრუქტურა'!$G$12,'დასაშვები აქტივების სტრუქტურა'!$G$12,D28)</f>
        <v>0</v>
      </c>
      <c r="F28" s="47"/>
    </row>
    <row r="29" spans="1:6" s="35" customFormat="1" ht="18">
      <c r="A29" s="50"/>
      <c r="B29" s="50" t="s">
        <v>70</v>
      </c>
      <c r="C29" s="50"/>
      <c r="D29" s="51">
        <f>SUM(D9:D28)</f>
        <v>0</v>
      </c>
      <c r="E29" s="51">
        <f>IF(SUM(E9:E28)&gt;'დასაშვები აქტივების სტრუქტურა'!$E$12,'დასაშვები აქტივების სტრუქტურა'!$E$12,SUM(E9:E28))</f>
        <v>0</v>
      </c>
      <c r="F29" s="55"/>
    </row>
    <row r="31" spans="1:6" s="54" customFormat="1" ht="40.5" customHeight="1">
      <c r="A31" s="270" t="s">
        <v>82</v>
      </c>
      <c r="B31" s="270"/>
      <c r="C31" s="270"/>
      <c r="D31" s="270"/>
      <c r="E31" s="270"/>
    </row>
    <row r="32" spans="1:6" s="54" customFormat="1" ht="31.5" customHeight="1">
      <c r="A32" s="270" t="s">
        <v>115</v>
      </c>
      <c r="B32" s="270"/>
      <c r="C32" s="270"/>
      <c r="D32" s="270"/>
      <c r="E32" s="270"/>
    </row>
    <row r="34" spans="1:5" ht="15.75">
      <c r="A34" s="37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B34" s="37"/>
      <c r="C34" s="37"/>
      <c r="D34" s="3"/>
    </row>
    <row r="35" spans="1:5" ht="15.75">
      <c r="A35" s="37" t="str">
        <f>რეზერვები!B52</f>
        <v xml:space="preserve">                                                                                                      (სახელი გვარი)</v>
      </c>
      <c r="B35" s="37"/>
      <c r="C35" s="37"/>
      <c r="D35" s="3"/>
      <c r="E35" s="54"/>
    </row>
    <row r="36" spans="1:5" ht="15.75">
      <c r="A36" s="37"/>
      <c r="B36" s="37"/>
      <c r="C36" s="37"/>
      <c r="D36" s="3"/>
    </row>
    <row r="37" spans="1:5" ht="15.75">
      <c r="A37" s="37"/>
      <c r="B37" s="37"/>
      <c r="C37" s="37"/>
      <c r="D37" s="3"/>
    </row>
    <row r="38" spans="1:5" ht="15.75">
      <c r="A38" s="37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B38" s="37"/>
      <c r="C38" s="37"/>
      <c r="D38" s="3"/>
    </row>
    <row r="39" spans="1:5" ht="15.75">
      <c r="A39" s="37"/>
      <c r="B39" s="37" t="str">
        <f>'ინვ. დაქვ. რეზერვ. ოდენობა'!$B$43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39" s="37"/>
      <c r="D39" s="3"/>
    </row>
    <row r="40" spans="1:5">
      <c r="D40" s="3"/>
    </row>
    <row r="41" spans="1:5" ht="15.75">
      <c r="A41" s="37"/>
      <c r="D41" s="3"/>
    </row>
    <row r="42" spans="1:5" ht="15.75">
      <c r="A42" s="3"/>
      <c r="B42" s="38"/>
      <c r="D42" s="3"/>
    </row>
  </sheetData>
  <mergeCells count="2">
    <mergeCell ref="A32:E32"/>
    <mergeCell ref="A31:E31"/>
  </mergeCells>
  <phoneticPr fontId="3" type="noConversion"/>
  <pageMargins left="0.19685039370078741" right="0.19685039370078741" top="0.39370078740157483" bottom="0.27559055118110237" header="0.15748031496062992" footer="0.15748031496062992"/>
  <pageSetup scale="74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4" tint="-0.249977111117893"/>
  </sheetPr>
  <dimension ref="A1:G42"/>
  <sheetViews>
    <sheetView zoomScaleNormal="100" workbookViewId="0">
      <pane xSplit="1" ySplit="8" topLeftCell="B24" activePane="bottomRight" state="frozen"/>
      <selection pane="topRight" activeCell="B1" sqref="B1"/>
      <selection pane="bottomLeft" activeCell="A10" sqref="A10"/>
      <selection pane="bottomRight" activeCell="A41" sqref="A41:B43"/>
    </sheetView>
  </sheetViews>
  <sheetFormatPr defaultRowHeight="15"/>
  <cols>
    <col min="1" max="1" width="3.85546875" style="2" customWidth="1"/>
    <col min="2" max="2" width="64.42578125" style="2" customWidth="1"/>
    <col min="3" max="3" width="16.140625" style="2" customWidth="1"/>
    <col min="4" max="4" width="26" style="2" customWidth="1"/>
    <col min="5" max="5" width="31" style="2" customWidth="1"/>
    <col min="6" max="6" width="24.28515625" style="2" customWidth="1"/>
    <col min="7" max="16384" width="9.140625" style="2"/>
  </cols>
  <sheetData>
    <row r="1" spans="1:7">
      <c r="A1" s="2" t="s">
        <v>131</v>
      </c>
    </row>
    <row r="2" spans="1:7">
      <c r="A2" s="2" t="s">
        <v>97</v>
      </c>
    </row>
    <row r="4" spans="1:7" s="86" customFormat="1" ht="15.75">
      <c r="A4" s="223" t="str">
        <f>რეზერვები!B4</f>
        <v>კომპანიის დასახელება: ___________________________________</v>
      </c>
    </row>
    <row r="5" spans="1:7" s="86" customFormat="1" ht="15.75">
      <c r="A5" s="223" t="str">
        <f>რეზერვები!B5</f>
        <v>საანგარიშო თარიღი:    ___________________________________</v>
      </c>
    </row>
    <row r="6" spans="1:7">
      <c r="F6" s="39" t="s">
        <v>107</v>
      </c>
    </row>
    <row r="7" spans="1:7" ht="76.5" customHeight="1">
      <c r="A7" s="40" t="s">
        <v>5</v>
      </c>
      <c r="B7" s="41" t="s">
        <v>74</v>
      </c>
      <c r="C7" s="42" t="s">
        <v>34</v>
      </c>
      <c r="D7" s="42" t="s">
        <v>106</v>
      </c>
      <c r="E7" s="42" t="s">
        <v>47</v>
      </c>
      <c r="F7" s="42" t="s">
        <v>28</v>
      </c>
      <c r="G7" s="43"/>
    </row>
    <row r="8" spans="1:7" ht="15.75" customHeight="1">
      <c r="A8" s="42">
        <v>1</v>
      </c>
      <c r="B8" s="42">
        <v>2</v>
      </c>
      <c r="C8" s="42">
        <v>3</v>
      </c>
      <c r="D8" s="42">
        <v>4</v>
      </c>
      <c r="E8" s="42">
        <v>5</v>
      </c>
      <c r="F8" s="42">
        <v>6</v>
      </c>
      <c r="G8" s="43"/>
    </row>
    <row r="9" spans="1:7" s="48" customFormat="1">
      <c r="A9" s="44">
        <v>1</v>
      </c>
      <c r="B9" s="56" t="s">
        <v>42</v>
      </c>
      <c r="C9" s="45"/>
      <c r="D9" s="45"/>
      <c r="E9" s="46"/>
      <c r="F9" s="84">
        <f>IF(E9&gt;'დასაშვები აქტივების სტრუქტურა'!$G$13,'დასაშვები აქტივების სტრუქტურა'!$G$13,E9)</f>
        <v>0</v>
      </c>
      <c r="G9" s="47"/>
    </row>
    <row r="10" spans="1:7" s="48" customFormat="1">
      <c r="A10" s="44">
        <v>2</v>
      </c>
      <c r="B10" s="56" t="s">
        <v>42</v>
      </c>
      <c r="C10" s="45"/>
      <c r="D10" s="45"/>
      <c r="E10" s="46"/>
      <c r="F10" s="84">
        <f>IF(E10&gt;'დასაშვები აქტივების სტრუქტურა'!$G$13,'დასაშვები აქტივების სტრუქტურა'!$G$13,E10)</f>
        <v>0</v>
      </c>
      <c r="G10" s="47"/>
    </row>
    <row r="11" spans="1:7" s="48" customFormat="1">
      <c r="A11" s="44">
        <v>3</v>
      </c>
      <c r="B11" s="56" t="s">
        <v>42</v>
      </c>
      <c r="C11" s="45"/>
      <c r="D11" s="45"/>
      <c r="E11" s="46"/>
      <c r="F11" s="84">
        <f>IF(E11&gt;'დასაშვები აქტივების სტრუქტურა'!$G$13,'დასაშვები აქტივების სტრუქტურა'!$G$13,E11)</f>
        <v>0</v>
      </c>
      <c r="G11" s="47"/>
    </row>
    <row r="12" spans="1:7" s="48" customFormat="1">
      <c r="A12" s="44">
        <v>4</v>
      </c>
      <c r="B12" s="56" t="s">
        <v>42</v>
      </c>
      <c r="C12" s="45"/>
      <c r="D12" s="45"/>
      <c r="E12" s="46"/>
      <c r="F12" s="84">
        <f>IF(E12&gt;'დასაშვები აქტივების სტრუქტურა'!$G$13,'დასაშვები აქტივების სტრუქტურა'!$G$13,E12)</f>
        <v>0</v>
      </c>
      <c r="G12" s="47"/>
    </row>
    <row r="13" spans="1:7" s="48" customFormat="1">
      <c r="A13" s="44">
        <v>5</v>
      </c>
      <c r="B13" s="56" t="s">
        <v>42</v>
      </c>
      <c r="C13" s="45"/>
      <c r="D13" s="45"/>
      <c r="E13" s="46"/>
      <c r="F13" s="84">
        <f>IF(E13&gt;'დასაშვები აქტივების სტრუქტურა'!$G$13,'დასაშვები აქტივების სტრუქტურა'!$G$13,E13)</f>
        <v>0</v>
      </c>
      <c r="G13" s="47"/>
    </row>
    <row r="14" spans="1:7" s="48" customFormat="1">
      <c r="A14" s="44">
        <v>6</v>
      </c>
      <c r="B14" s="56" t="s">
        <v>42</v>
      </c>
      <c r="C14" s="45"/>
      <c r="D14" s="45"/>
      <c r="E14" s="46"/>
      <c r="F14" s="84">
        <f>IF(E14&gt;'დასაშვები აქტივების სტრუქტურა'!$G$13,'დასაშვები აქტივების სტრუქტურა'!$G$13,E14)</f>
        <v>0</v>
      </c>
      <c r="G14" s="47"/>
    </row>
    <row r="15" spans="1:7" s="48" customFormat="1">
      <c r="A15" s="44">
        <v>7</v>
      </c>
      <c r="B15" s="56" t="s">
        <v>42</v>
      </c>
      <c r="C15" s="45"/>
      <c r="D15" s="45"/>
      <c r="E15" s="46"/>
      <c r="F15" s="84">
        <f>IF(E15&gt;'დასაშვები აქტივების სტრუქტურა'!$G$13,'დასაშვები აქტივების სტრუქტურა'!$G$13,E15)</f>
        <v>0</v>
      </c>
      <c r="G15" s="47"/>
    </row>
    <row r="16" spans="1:7" s="48" customFormat="1">
      <c r="A16" s="44">
        <v>8</v>
      </c>
      <c r="B16" s="56" t="s">
        <v>42</v>
      </c>
      <c r="C16" s="45"/>
      <c r="D16" s="45"/>
      <c r="E16" s="46"/>
      <c r="F16" s="84">
        <f>IF(E16&gt;'დასაშვები აქტივების სტრუქტურა'!$G$13,'დასაშვები აქტივების სტრუქტურა'!$G$13,E16)</f>
        <v>0</v>
      </c>
      <c r="G16" s="47"/>
    </row>
    <row r="17" spans="1:7" s="48" customFormat="1">
      <c r="A17" s="44">
        <v>9</v>
      </c>
      <c r="B17" s="56" t="s">
        <v>42</v>
      </c>
      <c r="C17" s="45"/>
      <c r="D17" s="45"/>
      <c r="E17" s="46"/>
      <c r="F17" s="84">
        <f>IF(E17&gt;'დასაშვები აქტივების სტრუქტურა'!$G$13,'დასაშვები აქტივების სტრუქტურა'!$G$13,E17)</f>
        <v>0</v>
      </c>
      <c r="G17" s="47"/>
    </row>
    <row r="18" spans="1:7" s="48" customFormat="1">
      <c r="A18" s="44">
        <v>10</v>
      </c>
      <c r="B18" s="56" t="s">
        <v>42</v>
      </c>
      <c r="C18" s="45"/>
      <c r="D18" s="45"/>
      <c r="E18" s="46"/>
      <c r="F18" s="84">
        <f>IF(E18&gt;'დასაშვები აქტივების სტრუქტურა'!$G$13,'დასაშვები აქტივების სტრუქტურა'!$G$13,E18)</f>
        <v>0</v>
      </c>
      <c r="G18" s="47"/>
    </row>
    <row r="19" spans="1:7" s="48" customFormat="1">
      <c r="A19" s="44">
        <v>11</v>
      </c>
      <c r="B19" s="56" t="s">
        <v>42</v>
      </c>
      <c r="C19" s="45"/>
      <c r="D19" s="45"/>
      <c r="E19" s="46"/>
      <c r="F19" s="84">
        <f>IF(E19&gt;'დასაშვები აქტივების სტრუქტურა'!$G$13,'დასაშვები აქტივების სტრუქტურა'!$G$13,E19)</f>
        <v>0</v>
      </c>
      <c r="G19" s="47"/>
    </row>
    <row r="20" spans="1:7" s="48" customFormat="1">
      <c r="A20" s="44">
        <v>12</v>
      </c>
      <c r="B20" s="56" t="s">
        <v>42</v>
      </c>
      <c r="C20" s="45"/>
      <c r="D20" s="45"/>
      <c r="E20" s="46"/>
      <c r="F20" s="84">
        <f>IF(E20&gt;'დასაშვები აქტივების სტრუქტურა'!$G$13,'დასაშვები აქტივების სტრუქტურა'!$G$13,E20)</f>
        <v>0</v>
      </c>
      <c r="G20" s="47"/>
    </row>
    <row r="21" spans="1:7" s="48" customFormat="1">
      <c r="A21" s="44">
        <v>13</v>
      </c>
      <c r="B21" s="56" t="s">
        <v>42</v>
      </c>
      <c r="C21" s="45"/>
      <c r="D21" s="45"/>
      <c r="E21" s="46"/>
      <c r="F21" s="84">
        <f>IF(E21&gt;'დასაშვები აქტივების სტრუქტურა'!$G$13,'დასაშვები აქტივების სტრუქტურა'!$G$13,E21)</f>
        <v>0</v>
      </c>
      <c r="G21" s="47"/>
    </row>
    <row r="22" spans="1:7" s="48" customFormat="1">
      <c r="A22" s="44">
        <v>14</v>
      </c>
      <c r="B22" s="56" t="s">
        <v>42</v>
      </c>
      <c r="C22" s="45"/>
      <c r="D22" s="45"/>
      <c r="E22" s="46"/>
      <c r="F22" s="84">
        <f>IF(E22&gt;'დასაშვები აქტივების სტრუქტურა'!$G$13,'დასაშვები აქტივების სტრუქტურა'!$G$13,E22)</f>
        <v>0</v>
      </c>
      <c r="G22" s="47"/>
    </row>
    <row r="23" spans="1:7" s="48" customFormat="1">
      <c r="A23" s="44">
        <v>15</v>
      </c>
      <c r="B23" s="56" t="s">
        <v>42</v>
      </c>
      <c r="C23" s="45"/>
      <c r="D23" s="45"/>
      <c r="E23" s="46"/>
      <c r="F23" s="84">
        <f>IF(E23&gt;'დასაშვები აქტივების სტრუქტურა'!$G$13,'დასაშვები აქტივების სტრუქტურა'!$G$13,E23)</f>
        <v>0</v>
      </c>
      <c r="G23" s="47"/>
    </row>
    <row r="24" spans="1:7" s="48" customFormat="1">
      <c r="A24" s="44">
        <v>16</v>
      </c>
      <c r="B24" s="56" t="s">
        <v>42</v>
      </c>
      <c r="C24" s="45"/>
      <c r="D24" s="45"/>
      <c r="E24" s="46"/>
      <c r="F24" s="84">
        <f>IF(E24&gt;'დასაშვები აქტივების სტრუქტურა'!$G$13,'დასაშვები აქტივების სტრუქტურა'!$G$13,E24)</f>
        <v>0</v>
      </c>
      <c r="G24" s="47"/>
    </row>
    <row r="25" spans="1:7" s="48" customFormat="1">
      <c r="A25" s="44">
        <v>17</v>
      </c>
      <c r="B25" s="56" t="s">
        <v>42</v>
      </c>
      <c r="C25" s="45"/>
      <c r="D25" s="45"/>
      <c r="E25" s="46"/>
      <c r="F25" s="84">
        <f>IF(E25&gt;'დასაშვები აქტივების სტრუქტურა'!$G$13,'დასაშვები აქტივების სტრუქტურა'!$G$13,E25)</f>
        <v>0</v>
      </c>
      <c r="G25" s="47"/>
    </row>
    <row r="26" spans="1:7" s="48" customFormat="1">
      <c r="A26" s="44">
        <v>18</v>
      </c>
      <c r="B26" s="56" t="s">
        <v>42</v>
      </c>
      <c r="C26" s="45"/>
      <c r="D26" s="45"/>
      <c r="E26" s="46"/>
      <c r="F26" s="84">
        <f>IF(E26&gt;'დასაშვები აქტივების სტრუქტურა'!$G$13,'დასაშვები აქტივების სტრუქტურა'!$G$13,E26)</f>
        <v>0</v>
      </c>
      <c r="G26" s="47"/>
    </row>
    <row r="27" spans="1:7" s="48" customFormat="1">
      <c r="A27" s="44">
        <v>19</v>
      </c>
      <c r="B27" s="56" t="s">
        <v>42</v>
      </c>
      <c r="C27" s="45"/>
      <c r="D27" s="45"/>
      <c r="E27" s="46"/>
      <c r="F27" s="84">
        <f>IF(E27&gt;'დასაშვები აქტივების სტრუქტურა'!$G$13,'დასაშვები აქტივების სტრუქტურა'!$G$13,E27)</f>
        <v>0</v>
      </c>
      <c r="G27" s="47"/>
    </row>
    <row r="28" spans="1:7" s="48" customFormat="1">
      <c r="A28" s="44">
        <v>20</v>
      </c>
      <c r="B28" s="56" t="s">
        <v>42</v>
      </c>
      <c r="C28" s="45"/>
      <c r="D28" s="45"/>
      <c r="E28" s="46"/>
      <c r="F28" s="84">
        <f>IF(E28&gt;'დასაშვები აქტივების სტრუქტურა'!$G$13,'დასაშვები აქტივების სტრუქტურა'!$G$13,E28)</f>
        <v>0</v>
      </c>
      <c r="G28" s="47"/>
    </row>
    <row r="29" spans="1:7" s="35" customFormat="1" ht="18">
      <c r="A29" s="50"/>
      <c r="B29" s="50" t="s">
        <v>70</v>
      </c>
      <c r="C29" s="50"/>
      <c r="D29" s="50"/>
      <c r="E29" s="51">
        <f>SUM(E9:E28)</f>
        <v>0</v>
      </c>
      <c r="F29" s="51">
        <f>IF(SUM(F9:F28)&gt;'დასაშვები აქტივების სტრუქტურა'!$E$13,'დასაშვები აქტივების სტრუქტურა'!$E$13,SUM(F9:F28))</f>
        <v>0</v>
      </c>
      <c r="G29" s="55"/>
    </row>
    <row r="31" spans="1:7" s="54" customFormat="1" ht="34.5" customHeight="1">
      <c r="A31" s="270" t="s">
        <v>82</v>
      </c>
      <c r="B31" s="270"/>
      <c r="C31" s="270"/>
      <c r="D31" s="270"/>
      <c r="E31" s="270"/>
      <c r="F31" s="270"/>
    </row>
    <row r="32" spans="1:7" s="54" customFormat="1" ht="31.5" customHeight="1">
      <c r="A32" s="270" t="s">
        <v>115</v>
      </c>
      <c r="B32" s="270"/>
      <c r="C32" s="270"/>
      <c r="D32" s="270"/>
      <c r="E32" s="270"/>
      <c r="F32" s="270"/>
    </row>
    <row r="34" spans="1:6" ht="15.75">
      <c r="A34" s="37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B34" s="37"/>
      <c r="C34" s="37"/>
      <c r="D34" s="37"/>
      <c r="E34" s="3"/>
      <c r="F34" s="54"/>
    </row>
    <row r="35" spans="1:6" ht="15.75">
      <c r="A35" s="37" t="str">
        <f>რეზერვები!B52</f>
        <v xml:space="preserve">                                                                                                      (სახელი გვარი)</v>
      </c>
      <c r="C35" s="37"/>
      <c r="D35" s="37"/>
      <c r="E35" s="3"/>
    </row>
    <row r="36" spans="1:6" ht="15.75">
      <c r="A36" s="37"/>
      <c r="B36" s="37"/>
      <c r="C36" s="37"/>
      <c r="D36" s="37"/>
      <c r="E36" s="3"/>
    </row>
    <row r="37" spans="1:6" ht="15.75">
      <c r="A37" s="37"/>
      <c r="B37" s="37"/>
      <c r="C37" s="37"/>
      <c r="D37" s="37"/>
      <c r="E37" s="3"/>
    </row>
    <row r="38" spans="1:6" ht="15.75">
      <c r="A38" s="37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B38" s="37"/>
      <c r="C38" s="37"/>
      <c r="D38" s="37"/>
      <c r="E38" s="3"/>
    </row>
    <row r="39" spans="1:6" ht="15.75">
      <c r="A39" s="37"/>
      <c r="B39" s="37" t="str">
        <f>'ინვ. დაქვ. რეზერვ. ოდენობა'!$B$43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39" s="37"/>
      <c r="D39" s="37"/>
      <c r="E39" s="3"/>
    </row>
    <row r="40" spans="1:6">
      <c r="E40" s="3"/>
    </row>
    <row r="41" spans="1:6" ht="15.75">
      <c r="A41" s="37"/>
      <c r="E41" s="3"/>
    </row>
    <row r="42" spans="1:6" ht="15.75">
      <c r="A42" s="3"/>
      <c r="B42" s="38"/>
      <c r="E42" s="3"/>
    </row>
  </sheetData>
  <mergeCells count="2">
    <mergeCell ref="A31:F31"/>
    <mergeCell ref="A32:F32"/>
  </mergeCells>
  <phoneticPr fontId="3" type="noConversion"/>
  <pageMargins left="0.19685039370078741" right="0.19685039370078741" top="0.39370078740157483" bottom="0.27559055118110237" header="0.15748031496062992" footer="0.15748031496062992"/>
  <pageSetup scale="77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4" tint="-0.249977111117893"/>
  </sheetPr>
  <dimension ref="A1:F42"/>
  <sheetViews>
    <sheetView zoomScaleNormal="100" workbookViewId="0">
      <pane xSplit="1" ySplit="8" topLeftCell="B30" activePane="bottomRight" state="frozen"/>
      <selection pane="topRight" activeCell="B1" sqref="B1"/>
      <selection pane="bottomLeft" activeCell="A10" sqref="A10"/>
      <selection pane="bottomRight" activeCell="A41" sqref="A41:B42"/>
    </sheetView>
  </sheetViews>
  <sheetFormatPr defaultRowHeight="15"/>
  <cols>
    <col min="1" max="1" width="3.85546875" style="2" customWidth="1"/>
    <col min="2" max="2" width="64.42578125" style="2" customWidth="1"/>
    <col min="3" max="3" width="18.85546875" style="2" customWidth="1"/>
    <col min="4" max="4" width="26" style="2" customWidth="1"/>
    <col min="5" max="5" width="22.7109375" style="2" customWidth="1"/>
    <col min="6" max="16384" width="9.140625" style="2"/>
  </cols>
  <sheetData>
    <row r="1" spans="1:6">
      <c r="A1" s="2" t="s">
        <v>132</v>
      </c>
    </row>
    <row r="2" spans="1:6">
      <c r="A2" s="2" t="s">
        <v>96</v>
      </c>
    </row>
    <row r="4" spans="1:6" s="86" customFormat="1" ht="15.75">
      <c r="A4" s="223" t="str">
        <f>რეზერვები!B4</f>
        <v>კომპანიის დასახელება: ___________________________________</v>
      </c>
    </row>
    <row r="5" spans="1:6" s="86" customFormat="1" ht="15.75">
      <c r="A5" s="223" t="str">
        <f>რეზერვები!B5</f>
        <v>საანგარიშო თარიღი:    ___________________________________</v>
      </c>
    </row>
    <row r="6" spans="1:6">
      <c r="E6" s="39" t="s">
        <v>107</v>
      </c>
    </row>
    <row r="7" spans="1:6" ht="93" customHeight="1">
      <c r="A7" s="40" t="s">
        <v>6</v>
      </c>
      <c r="B7" s="41" t="s">
        <v>75</v>
      </c>
      <c r="C7" s="42" t="s">
        <v>34</v>
      </c>
      <c r="D7" s="42" t="s">
        <v>47</v>
      </c>
      <c r="E7" s="42" t="s">
        <v>28</v>
      </c>
      <c r="F7" s="43"/>
    </row>
    <row r="8" spans="1:6" ht="15.75" customHeight="1">
      <c r="A8" s="42">
        <v>1</v>
      </c>
      <c r="B8" s="42">
        <v>2</v>
      </c>
      <c r="C8" s="42">
        <v>3</v>
      </c>
      <c r="D8" s="42">
        <v>4</v>
      </c>
      <c r="E8" s="42">
        <v>5</v>
      </c>
      <c r="F8" s="43"/>
    </row>
    <row r="9" spans="1:6" s="48" customFormat="1">
      <c r="A9" s="44">
        <v>1</v>
      </c>
      <c r="B9" s="56" t="s">
        <v>42</v>
      </c>
      <c r="C9" s="45"/>
      <c r="D9" s="46"/>
      <c r="E9" s="84">
        <f>IF(D9&gt;'დასაშვები აქტივების სტრუქტურა'!$G$14,'დასაშვები აქტივების სტრუქტურა'!$G$14,D9)</f>
        <v>0</v>
      </c>
      <c r="F9" s="47"/>
    </row>
    <row r="10" spans="1:6" s="48" customFormat="1">
      <c r="A10" s="44">
        <v>2</v>
      </c>
      <c r="B10" s="56" t="s">
        <v>42</v>
      </c>
      <c r="C10" s="45"/>
      <c r="D10" s="46"/>
      <c r="E10" s="84">
        <f>IF(D10&gt;'დასაშვები აქტივების სტრუქტურა'!$G$14,'დასაშვები აქტივების სტრუქტურა'!$G$14,D10)</f>
        <v>0</v>
      </c>
      <c r="F10" s="47"/>
    </row>
    <row r="11" spans="1:6" s="48" customFormat="1">
      <c r="A11" s="44">
        <v>3</v>
      </c>
      <c r="B11" s="56" t="s">
        <v>42</v>
      </c>
      <c r="C11" s="45"/>
      <c r="D11" s="46"/>
      <c r="E11" s="84">
        <f>IF(D11&gt;'დასაშვები აქტივების სტრუქტურა'!$G$14,'დასაშვები აქტივების სტრუქტურა'!$G$14,D11)</f>
        <v>0</v>
      </c>
      <c r="F11" s="47"/>
    </row>
    <row r="12" spans="1:6" s="48" customFormat="1">
      <c r="A12" s="44">
        <v>4</v>
      </c>
      <c r="B12" s="56" t="s">
        <v>42</v>
      </c>
      <c r="C12" s="45"/>
      <c r="D12" s="46"/>
      <c r="E12" s="84">
        <f>IF(D12&gt;'დასაშვები აქტივების სტრუქტურა'!$G$14,'დასაშვები აქტივების სტრუქტურა'!$G$14,D12)</f>
        <v>0</v>
      </c>
      <c r="F12" s="47"/>
    </row>
    <row r="13" spans="1:6" s="48" customFormat="1">
      <c r="A13" s="44">
        <v>5</v>
      </c>
      <c r="B13" s="56" t="s">
        <v>42</v>
      </c>
      <c r="C13" s="45"/>
      <c r="D13" s="46"/>
      <c r="E13" s="84">
        <f>IF(D13&gt;'დასაშვები აქტივების სტრუქტურა'!$G$14,'დასაშვები აქტივების სტრუქტურა'!$G$14,D13)</f>
        <v>0</v>
      </c>
      <c r="F13" s="47"/>
    </row>
    <row r="14" spans="1:6" s="48" customFormat="1">
      <c r="A14" s="44">
        <v>6</v>
      </c>
      <c r="B14" s="56" t="s">
        <v>42</v>
      </c>
      <c r="C14" s="45"/>
      <c r="D14" s="46"/>
      <c r="E14" s="84">
        <f>IF(D14&gt;'დასაშვები აქტივების სტრუქტურა'!$G$14,'დასაშვები აქტივების სტრუქტურა'!$G$14,D14)</f>
        <v>0</v>
      </c>
      <c r="F14" s="47"/>
    </row>
    <row r="15" spans="1:6" s="48" customFormat="1">
      <c r="A15" s="44">
        <v>7</v>
      </c>
      <c r="B15" s="56" t="s">
        <v>42</v>
      </c>
      <c r="C15" s="45"/>
      <c r="D15" s="46"/>
      <c r="E15" s="84">
        <f>IF(D15&gt;'დასაშვები აქტივების სტრუქტურა'!$G$14,'დასაშვები აქტივების სტრუქტურა'!$G$14,D15)</f>
        <v>0</v>
      </c>
      <c r="F15" s="47"/>
    </row>
    <row r="16" spans="1:6" s="48" customFormat="1">
      <c r="A16" s="44">
        <v>8</v>
      </c>
      <c r="B16" s="56" t="s">
        <v>42</v>
      </c>
      <c r="C16" s="45"/>
      <c r="D16" s="46"/>
      <c r="E16" s="84">
        <f>IF(D16&gt;'დასაშვები აქტივების სტრუქტურა'!$G$14,'დასაშვები აქტივების სტრუქტურა'!$G$14,D16)</f>
        <v>0</v>
      </c>
      <c r="F16" s="47"/>
    </row>
    <row r="17" spans="1:6" s="48" customFormat="1">
      <c r="A17" s="44">
        <v>9</v>
      </c>
      <c r="B17" s="56" t="s">
        <v>42</v>
      </c>
      <c r="C17" s="45"/>
      <c r="D17" s="46"/>
      <c r="E17" s="84">
        <f>IF(D17&gt;'დასაშვები აქტივების სტრუქტურა'!$G$14,'დასაშვები აქტივების სტრუქტურა'!$G$14,D17)</f>
        <v>0</v>
      </c>
      <c r="F17" s="47"/>
    </row>
    <row r="18" spans="1:6" s="48" customFormat="1">
      <c r="A18" s="44">
        <v>10</v>
      </c>
      <c r="B18" s="56" t="s">
        <v>42</v>
      </c>
      <c r="C18" s="45"/>
      <c r="D18" s="46"/>
      <c r="E18" s="84">
        <f>IF(D18&gt;'დასაშვები აქტივების სტრუქტურა'!$G$14,'დასაშვები აქტივების სტრუქტურა'!$G$14,D18)</f>
        <v>0</v>
      </c>
      <c r="F18" s="47"/>
    </row>
    <row r="19" spans="1:6" s="48" customFormat="1">
      <c r="A19" s="44">
        <v>11</v>
      </c>
      <c r="B19" s="56" t="s">
        <v>42</v>
      </c>
      <c r="C19" s="45"/>
      <c r="D19" s="46"/>
      <c r="E19" s="84">
        <f>IF(D19&gt;'დასაშვები აქტივების სტრუქტურა'!$G$14,'დასაშვები აქტივების სტრუქტურა'!$G$14,D19)</f>
        <v>0</v>
      </c>
      <c r="F19" s="47"/>
    </row>
    <row r="20" spans="1:6" s="48" customFormat="1">
      <c r="A20" s="44">
        <v>12</v>
      </c>
      <c r="B20" s="56" t="s">
        <v>42</v>
      </c>
      <c r="C20" s="45"/>
      <c r="D20" s="46"/>
      <c r="E20" s="84">
        <f>IF(D20&gt;'დასაშვები აქტივების სტრუქტურა'!$G$14,'დასაშვები აქტივების სტრუქტურა'!$G$14,D20)</f>
        <v>0</v>
      </c>
      <c r="F20" s="47"/>
    </row>
    <row r="21" spans="1:6" s="48" customFormat="1">
      <c r="A21" s="44">
        <v>13</v>
      </c>
      <c r="B21" s="56" t="s">
        <v>42</v>
      </c>
      <c r="C21" s="45"/>
      <c r="D21" s="46"/>
      <c r="E21" s="84">
        <f>IF(D21&gt;'დასაშვები აქტივების სტრუქტურა'!$G$14,'დასაშვები აქტივების სტრუქტურა'!$G$14,D21)</f>
        <v>0</v>
      </c>
      <c r="F21" s="47"/>
    </row>
    <row r="22" spans="1:6" s="48" customFormat="1">
      <c r="A22" s="44">
        <v>14</v>
      </c>
      <c r="B22" s="56" t="s">
        <v>42</v>
      </c>
      <c r="C22" s="45"/>
      <c r="D22" s="46"/>
      <c r="E22" s="84">
        <f>IF(D22&gt;'დასაშვები აქტივების სტრუქტურა'!$G$14,'დასაშვები აქტივების სტრუქტურა'!$G$14,D22)</f>
        <v>0</v>
      </c>
      <c r="F22" s="47"/>
    </row>
    <row r="23" spans="1:6" s="48" customFormat="1">
      <c r="A23" s="44">
        <v>15</v>
      </c>
      <c r="B23" s="56" t="s">
        <v>42</v>
      </c>
      <c r="C23" s="45"/>
      <c r="D23" s="46"/>
      <c r="E23" s="84">
        <f>IF(D23&gt;'დასაშვები აქტივების სტრუქტურა'!$G$14,'დასაშვები აქტივების სტრუქტურა'!$G$14,D23)</f>
        <v>0</v>
      </c>
      <c r="F23" s="47"/>
    </row>
    <row r="24" spans="1:6" s="48" customFormat="1">
      <c r="A24" s="44">
        <v>16</v>
      </c>
      <c r="B24" s="56" t="s">
        <v>42</v>
      </c>
      <c r="C24" s="45"/>
      <c r="D24" s="46"/>
      <c r="E24" s="84">
        <f>IF(D24&gt;'დასაშვები აქტივების სტრუქტურა'!$G$14,'დასაშვები აქტივების სტრუქტურა'!$G$14,D24)</f>
        <v>0</v>
      </c>
      <c r="F24" s="47"/>
    </row>
    <row r="25" spans="1:6" s="48" customFormat="1">
      <c r="A25" s="44">
        <v>17</v>
      </c>
      <c r="B25" s="56" t="s">
        <v>42</v>
      </c>
      <c r="C25" s="45"/>
      <c r="D25" s="46"/>
      <c r="E25" s="84">
        <f>IF(D25&gt;'დასაშვები აქტივების სტრუქტურა'!$G$14,'დასაშვები აქტივების სტრუქტურა'!$G$14,D25)</f>
        <v>0</v>
      </c>
      <c r="F25" s="47"/>
    </row>
    <row r="26" spans="1:6" s="48" customFormat="1">
      <c r="A26" s="44">
        <v>18</v>
      </c>
      <c r="B26" s="56" t="s">
        <v>42</v>
      </c>
      <c r="C26" s="45"/>
      <c r="D26" s="46"/>
      <c r="E26" s="84">
        <f>IF(D26&gt;'დასაშვები აქტივების სტრუქტურა'!$G$14,'დასაშვები აქტივების სტრუქტურა'!$G$14,D26)</f>
        <v>0</v>
      </c>
      <c r="F26" s="47"/>
    </row>
    <row r="27" spans="1:6" s="48" customFormat="1">
      <c r="A27" s="44">
        <v>19</v>
      </c>
      <c r="B27" s="56" t="s">
        <v>42</v>
      </c>
      <c r="C27" s="45"/>
      <c r="D27" s="46"/>
      <c r="E27" s="84">
        <f>IF(D27&gt;'დასაშვები აქტივების სტრუქტურა'!$G$14,'დასაშვები აქტივების სტრუქტურა'!$G$14,D27)</f>
        <v>0</v>
      </c>
      <c r="F27" s="47"/>
    </row>
    <row r="28" spans="1:6" s="48" customFormat="1">
      <c r="A28" s="44">
        <v>20</v>
      </c>
      <c r="B28" s="56" t="s">
        <v>42</v>
      </c>
      <c r="C28" s="45"/>
      <c r="D28" s="46"/>
      <c r="E28" s="84">
        <f>IF(D28&gt;'დასაშვები აქტივების სტრუქტურა'!$G$14,'დასაშვები აქტივების სტრუქტურა'!$G$14,D28)</f>
        <v>0</v>
      </c>
      <c r="F28" s="47"/>
    </row>
    <row r="29" spans="1:6" s="35" customFormat="1" ht="18">
      <c r="A29" s="50"/>
      <c r="B29" s="50" t="s">
        <v>70</v>
      </c>
      <c r="C29" s="50"/>
      <c r="D29" s="51">
        <f>SUM(D9:D28)</f>
        <v>0</v>
      </c>
      <c r="E29" s="51">
        <f>IF(SUM(E9:E28)&gt;'დასაშვები აქტივების სტრუქტურა'!$E$14,'დასაშვები აქტივების სტრუქტურა'!$E$14,SUM(E9:E28))</f>
        <v>0</v>
      </c>
      <c r="F29" s="55"/>
    </row>
    <row r="31" spans="1:6" s="54" customFormat="1" ht="32.25" customHeight="1">
      <c r="A31" s="270" t="s">
        <v>82</v>
      </c>
      <c r="B31" s="270"/>
      <c r="C31" s="270"/>
      <c r="D31" s="270"/>
      <c r="E31" s="270"/>
    </row>
    <row r="32" spans="1:6" s="54" customFormat="1" ht="31.5" customHeight="1">
      <c r="A32" s="270" t="s">
        <v>115</v>
      </c>
      <c r="B32" s="270"/>
      <c r="C32" s="270"/>
      <c r="D32" s="270"/>
      <c r="E32" s="270"/>
    </row>
    <row r="34" spans="1:5" ht="15.75">
      <c r="A34" s="37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B34" s="37"/>
      <c r="C34" s="37"/>
      <c r="D34" s="3"/>
    </row>
    <row r="35" spans="1:5" ht="15.75">
      <c r="A35" s="37" t="str">
        <f>რეზერვები!B52</f>
        <v xml:space="preserve">                                                                                                      (სახელი გვარი)</v>
      </c>
      <c r="B35" s="37"/>
      <c r="C35" s="37"/>
      <c r="D35" s="3"/>
      <c r="E35" s="54"/>
    </row>
    <row r="36" spans="1:5" ht="15.75">
      <c r="A36" s="37"/>
      <c r="B36" s="37"/>
      <c r="C36" s="37"/>
      <c r="D36" s="3"/>
    </row>
    <row r="37" spans="1:5" ht="15.75">
      <c r="A37" s="37"/>
      <c r="B37" s="37"/>
      <c r="C37" s="37"/>
      <c r="D37" s="3"/>
    </row>
    <row r="38" spans="1:5" ht="15.75">
      <c r="A38" s="37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B38" s="37"/>
      <c r="C38" s="37"/>
      <c r="D38" s="3"/>
    </row>
    <row r="39" spans="1:5" ht="15.75">
      <c r="A39" s="37"/>
      <c r="B39" s="37" t="str">
        <f>'ინვ. დაქვ. რეზერვ. ოდენობა'!$B$43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39" s="37"/>
      <c r="D39" s="3"/>
    </row>
    <row r="40" spans="1:5">
      <c r="D40" s="3"/>
    </row>
    <row r="41" spans="1:5" ht="15.75">
      <c r="A41" s="37"/>
      <c r="D41" s="3"/>
    </row>
    <row r="42" spans="1:5" ht="15.75">
      <c r="A42" s="3"/>
      <c r="B42" s="38"/>
      <c r="D42" s="3"/>
    </row>
  </sheetData>
  <mergeCells count="2">
    <mergeCell ref="A31:E31"/>
    <mergeCell ref="A32:E32"/>
  </mergeCells>
  <phoneticPr fontId="3" type="noConversion"/>
  <pageMargins left="0.19685039370078741" right="0.19685039370078741" top="0.39370078740157483" bottom="0.27559055118110237" header="0.15748031496062992" footer="0.15748031496062992"/>
  <pageSetup scale="76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4" tint="-0.249977111117893"/>
  </sheetPr>
  <dimension ref="A1:F4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10" sqref="A10"/>
      <selection pane="bottomRight" activeCell="A40" sqref="A40:B41"/>
    </sheetView>
  </sheetViews>
  <sheetFormatPr defaultRowHeight="15"/>
  <cols>
    <col min="1" max="1" width="3.85546875" style="2" customWidth="1"/>
    <col min="2" max="2" width="48" style="2" customWidth="1"/>
    <col min="3" max="3" width="44.42578125" style="2" customWidth="1"/>
    <col min="4" max="4" width="26" style="2" customWidth="1"/>
    <col min="5" max="5" width="23.7109375" style="2" customWidth="1"/>
    <col min="6" max="16384" width="9.140625" style="2"/>
  </cols>
  <sheetData>
    <row r="1" spans="1:6">
      <c r="A1" s="2" t="s">
        <v>133</v>
      </c>
    </row>
    <row r="2" spans="1:6">
      <c r="A2" s="2" t="s">
        <v>95</v>
      </c>
    </row>
    <row r="4" spans="1:6" s="86" customFormat="1" ht="15.75">
      <c r="A4" s="223" t="str">
        <f>რეზერვები!B4</f>
        <v>კომპანიის დასახელება: ___________________________________</v>
      </c>
    </row>
    <row r="5" spans="1:6" s="86" customFormat="1" ht="15.75">
      <c r="A5" s="223" t="str">
        <f>რეზერვები!B5</f>
        <v>საანგარიშო თარიღი:    ___________________________________</v>
      </c>
    </row>
    <row r="6" spans="1:6">
      <c r="E6" s="39" t="s">
        <v>107</v>
      </c>
    </row>
    <row r="7" spans="1:6" ht="70.5" customHeight="1">
      <c r="A7" s="40" t="s">
        <v>8</v>
      </c>
      <c r="B7" s="41" t="s">
        <v>76</v>
      </c>
      <c r="C7" s="57" t="s">
        <v>40</v>
      </c>
      <c r="D7" s="42" t="s">
        <v>47</v>
      </c>
      <c r="E7" s="42" t="s">
        <v>28</v>
      </c>
      <c r="F7" s="43"/>
    </row>
    <row r="8" spans="1:6" ht="15.75" customHeight="1">
      <c r="A8" s="42">
        <v>1</v>
      </c>
      <c r="B8" s="42">
        <v>2</v>
      </c>
      <c r="C8" s="42">
        <v>3</v>
      </c>
      <c r="D8" s="42">
        <v>4</v>
      </c>
      <c r="E8" s="42">
        <v>5</v>
      </c>
      <c r="F8" s="43"/>
    </row>
    <row r="9" spans="1:6" s="48" customFormat="1">
      <c r="A9" s="44">
        <v>1</v>
      </c>
      <c r="B9" s="45" t="s">
        <v>36</v>
      </c>
      <c r="C9" s="45"/>
      <c r="D9" s="46"/>
      <c r="E9" s="84">
        <f>IF(D9&gt;'დასაშვები აქტივების სტრუქტურა'!$G$16,'დასაშვები აქტივების სტრუქტურა'!$G$16,D9)</f>
        <v>0</v>
      </c>
      <c r="F9" s="47"/>
    </row>
    <row r="10" spans="1:6" s="48" customFormat="1">
      <c r="A10" s="44">
        <v>2</v>
      </c>
      <c r="B10" s="45" t="s">
        <v>36</v>
      </c>
      <c r="C10" s="45"/>
      <c r="D10" s="46"/>
      <c r="E10" s="84">
        <f>IF(D10&gt;'დასაშვები აქტივების სტრუქტურა'!$G$16,'დასაშვები აქტივების სტრუქტურა'!$G$16,D10)</f>
        <v>0</v>
      </c>
      <c r="F10" s="47"/>
    </row>
    <row r="11" spans="1:6" s="48" customFormat="1">
      <c r="A11" s="44">
        <v>3</v>
      </c>
      <c r="B11" s="45" t="s">
        <v>36</v>
      </c>
      <c r="C11" s="45"/>
      <c r="D11" s="46"/>
      <c r="E11" s="84">
        <f>IF(D11&gt;'დასაშვები აქტივების სტრუქტურა'!$G$16,'დასაშვები აქტივების სტრუქტურა'!$G$16,D11)</f>
        <v>0</v>
      </c>
      <c r="F11" s="47"/>
    </row>
    <row r="12" spans="1:6" s="48" customFormat="1">
      <c r="A12" s="44">
        <v>4</v>
      </c>
      <c r="B12" s="45" t="s">
        <v>36</v>
      </c>
      <c r="C12" s="45"/>
      <c r="D12" s="46"/>
      <c r="E12" s="84">
        <f>IF(D12&gt;'დასაშვები აქტივების სტრუქტურა'!$G$16,'დასაშვები აქტივების სტრუქტურა'!$G$16,D12)</f>
        <v>0</v>
      </c>
      <c r="F12" s="47"/>
    </row>
    <row r="13" spans="1:6" s="48" customFormat="1">
      <c r="A13" s="44">
        <v>5</v>
      </c>
      <c r="B13" s="45" t="s">
        <v>36</v>
      </c>
      <c r="C13" s="45"/>
      <c r="D13" s="46"/>
      <c r="E13" s="84">
        <f>IF(D13&gt;'დასაშვები აქტივების სტრუქტურა'!$G$16,'დასაშვები აქტივების სტრუქტურა'!$G$16,D13)</f>
        <v>0</v>
      </c>
      <c r="F13" s="47"/>
    </row>
    <row r="14" spans="1:6" s="48" customFormat="1">
      <c r="A14" s="44">
        <v>6</v>
      </c>
      <c r="B14" s="45" t="s">
        <v>36</v>
      </c>
      <c r="C14" s="45"/>
      <c r="D14" s="46"/>
      <c r="E14" s="84">
        <f>IF(D14&gt;'დასაშვები აქტივების სტრუქტურა'!$G$16,'დასაშვები აქტივების სტრუქტურა'!$G$16,D14)</f>
        <v>0</v>
      </c>
      <c r="F14" s="47"/>
    </row>
    <row r="15" spans="1:6" s="48" customFormat="1">
      <c r="A15" s="44">
        <v>7</v>
      </c>
      <c r="B15" s="45" t="s">
        <v>36</v>
      </c>
      <c r="C15" s="45"/>
      <c r="D15" s="46"/>
      <c r="E15" s="84">
        <f>IF(D15&gt;'დასაშვები აქტივების სტრუქტურა'!$G$16,'დასაშვები აქტივების სტრუქტურა'!$G$16,D15)</f>
        <v>0</v>
      </c>
      <c r="F15" s="47"/>
    </row>
    <row r="16" spans="1:6" s="48" customFormat="1">
      <c r="A16" s="44">
        <v>8</v>
      </c>
      <c r="B16" s="45" t="s">
        <v>36</v>
      </c>
      <c r="C16" s="45"/>
      <c r="D16" s="46"/>
      <c r="E16" s="84">
        <f>IF(D16&gt;'დასაშვები აქტივების სტრუქტურა'!$G$16,'დასაშვები აქტივების სტრუქტურა'!$G$16,D16)</f>
        <v>0</v>
      </c>
      <c r="F16" s="47"/>
    </row>
    <row r="17" spans="1:6" s="48" customFormat="1">
      <c r="A17" s="44">
        <v>9</v>
      </c>
      <c r="B17" s="45" t="s">
        <v>36</v>
      </c>
      <c r="C17" s="45"/>
      <c r="D17" s="46"/>
      <c r="E17" s="84">
        <f>IF(D17&gt;'დასაშვები აქტივების სტრუქტურა'!$G$16,'დასაშვები აქტივების სტრუქტურა'!$G$16,D17)</f>
        <v>0</v>
      </c>
      <c r="F17" s="47"/>
    </row>
    <row r="18" spans="1:6" s="48" customFormat="1">
      <c r="A18" s="44">
        <v>10</v>
      </c>
      <c r="B18" s="45" t="s">
        <v>36</v>
      </c>
      <c r="C18" s="45"/>
      <c r="D18" s="46"/>
      <c r="E18" s="84">
        <f>IF(D18&gt;'დასაშვები აქტივების სტრუქტურა'!$G$16,'დასაშვები აქტივების სტრუქტურა'!$G$16,D18)</f>
        <v>0</v>
      </c>
      <c r="F18" s="47"/>
    </row>
    <row r="19" spans="1:6" s="48" customFormat="1">
      <c r="A19" s="44">
        <v>11</v>
      </c>
      <c r="B19" s="45" t="s">
        <v>36</v>
      </c>
      <c r="C19" s="45"/>
      <c r="D19" s="46"/>
      <c r="E19" s="84">
        <f>IF(D19&gt;'დასაშვები აქტივების სტრუქტურა'!$G$16,'დასაშვები აქტივების სტრუქტურა'!$G$16,D19)</f>
        <v>0</v>
      </c>
      <c r="F19" s="47"/>
    </row>
    <row r="20" spans="1:6" s="48" customFormat="1">
      <c r="A20" s="44">
        <v>12</v>
      </c>
      <c r="B20" s="45" t="s">
        <v>36</v>
      </c>
      <c r="C20" s="45"/>
      <c r="D20" s="46"/>
      <c r="E20" s="84">
        <f>IF(D20&gt;'დასაშვები აქტივების სტრუქტურა'!$G$16,'დასაშვები აქტივების სტრუქტურა'!$G$16,D20)</f>
        <v>0</v>
      </c>
      <c r="F20" s="47"/>
    </row>
    <row r="21" spans="1:6" s="48" customFormat="1">
      <c r="A21" s="44">
        <v>13</v>
      </c>
      <c r="B21" s="45" t="s">
        <v>36</v>
      </c>
      <c r="C21" s="45"/>
      <c r="D21" s="46"/>
      <c r="E21" s="84">
        <f>IF(D21&gt;'დასაშვები აქტივების სტრუქტურა'!$G$16,'დასაშვები აქტივების სტრუქტურა'!$G$16,D21)</f>
        <v>0</v>
      </c>
      <c r="F21" s="47"/>
    </row>
    <row r="22" spans="1:6" s="48" customFormat="1">
      <c r="A22" s="44">
        <v>14</v>
      </c>
      <c r="B22" s="45" t="s">
        <v>36</v>
      </c>
      <c r="C22" s="45"/>
      <c r="D22" s="46"/>
      <c r="E22" s="84">
        <f>IF(D22&gt;'დასაშვები აქტივების სტრუქტურა'!$G$16,'დასაშვები აქტივების სტრუქტურა'!$G$16,D22)</f>
        <v>0</v>
      </c>
      <c r="F22" s="47"/>
    </row>
    <row r="23" spans="1:6" s="48" customFormat="1">
      <c r="A23" s="44">
        <v>15</v>
      </c>
      <c r="B23" s="45" t="s">
        <v>36</v>
      </c>
      <c r="C23" s="45"/>
      <c r="D23" s="46"/>
      <c r="E23" s="84">
        <f>IF(D23&gt;'დასაშვები აქტივების სტრუქტურა'!$G$16,'დასაშვები აქტივების სტრუქტურა'!$G$16,D23)</f>
        <v>0</v>
      </c>
      <c r="F23" s="47"/>
    </row>
    <row r="24" spans="1:6" s="48" customFormat="1">
      <c r="A24" s="44">
        <v>16</v>
      </c>
      <c r="B24" s="45" t="s">
        <v>36</v>
      </c>
      <c r="C24" s="45"/>
      <c r="D24" s="46"/>
      <c r="E24" s="84">
        <f>IF(D24&gt;'დასაშვები აქტივების სტრუქტურა'!$G$16,'დასაშვები აქტივების სტრუქტურა'!$G$16,D24)</f>
        <v>0</v>
      </c>
      <c r="F24" s="47"/>
    </row>
    <row r="25" spans="1:6" s="48" customFormat="1">
      <c r="A25" s="44">
        <v>17</v>
      </c>
      <c r="B25" s="45" t="s">
        <v>36</v>
      </c>
      <c r="C25" s="45"/>
      <c r="D25" s="46"/>
      <c r="E25" s="84">
        <f>IF(D25&gt;'დასაშვები აქტივების სტრუქტურა'!$G$16,'დასაშვები აქტივების სტრუქტურა'!$G$16,D25)</f>
        <v>0</v>
      </c>
      <c r="F25" s="47"/>
    </row>
    <row r="26" spans="1:6" s="48" customFormat="1">
      <c r="A26" s="44">
        <v>18</v>
      </c>
      <c r="B26" s="45" t="s">
        <v>36</v>
      </c>
      <c r="C26" s="45"/>
      <c r="D26" s="46"/>
      <c r="E26" s="84">
        <f>IF(D26&gt;'დასაშვები აქტივების სტრუქტურა'!$G$16,'დასაშვები აქტივების სტრუქტურა'!$G$16,D26)</f>
        <v>0</v>
      </c>
      <c r="F26" s="47"/>
    </row>
    <row r="27" spans="1:6" s="48" customFormat="1">
      <c r="A27" s="44">
        <v>19</v>
      </c>
      <c r="B27" s="45" t="s">
        <v>36</v>
      </c>
      <c r="C27" s="45"/>
      <c r="D27" s="46"/>
      <c r="E27" s="84">
        <f>IF(D27&gt;'დასაშვები აქტივების სტრუქტურა'!$G$16,'დასაშვები აქტივების სტრუქტურა'!$G$16,D27)</f>
        <v>0</v>
      </c>
      <c r="F27" s="47"/>
    </row>
    <row r="28" spans="1:6" s="48" customFormat="1">
      <c r="A28" s="44">
        <v>20</v>
      </c>
      <c r="B28" s="45" t="s">
        <v>36</v>
      </c>
      <c r="C28" s="45"/>
      <c r="D28" s="46"/>
      <c r="E28" s="84">
        <f>IF(D28&gt;'დასაშვები აქტივების სტრუქტურა'!$G$16,'დასაშვები აქტივების სტრუქტურა'!$G$16,D28)</f>
        <v>0</v>
      </c>
      <c r="F28" s="47"/>
    </row>
    <row r="29" spans="1:6" s="35" customFormat="1" ht="18">
      <c r="A29" s="50"/>
      <c r="B29" s="50" t="s">
        <v>70</v>
      </c>
      <c r="C29" s="50"/>
      <c r="D29" s="51">
        <f>SUM(D9:D28)</f>
        <v>0</v>
      </c>
      <c r="E29" s="51">
        <f>IF(SUM(E9:E28)&gt;'დასაშვები აქტივების სტრუქტურა'!$E$16,'დასაშვები აქტივების სტრუქტურა'!$E$16,SUM(E9:E28))</f>
        <v>0</v>
      </c>
      <c r="F29" s="55"/>
    </row>
    <row r="31" spans="1:6" s="54" customFormat="1" ht="37.5" customHeight="1">
      <c r="A31" s="270" t="s">
        <v>30</v>
      </c>
      <c r="B31" s="270"/>
      <c r="C31" s="270"/>
      <c r="D31" s="270"/>
      <c r="E31" s="270"/>
    </row>
    <row r="33" spans="1:4" ht="15.75">
      <c r="A33" s="37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B33" s="37"/>
      <c r="C33" s="37"/>
      <c r="D33" s="3"/>
    </row>
    <row r="34" spans="1:4" ht="15.75">
      <c r="A34" s="37" t="str">
        <f>რეზერვები!B52</f>
        <v xml:space="preserve">                                                                                                      (სახელი გვარი)</v>
      </c>
      <c r="B34" s="37"/>
      <c r="C34" s="37"/>
      <c r="D34" s="3"/>
    </row>
    <row r="35" spans="1:4" ht="15.75">
      <c r="A35" s="37"/>
      <c r="B35" s="37"/>
      <c r="C35" s="37"/>
      <c r="D35" s="3"/>
    </row>
    <row r="36" spans="1:4" ht="15.75">
      <c r="A36" s="37"/>
      <c r="B36" s="37"/>
      <c r="C36" s="37"/>
      <c r="D36" s="3"/>
    </row>
    <row r="37" spans="1:4" ht="15.75">
      <c r="A37" s="37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B37" s="37"/>
      <c r="C37" s="37"/>
      <c r="D37" s="3"/>
    </row>
    <row r="38" spans="1:4" ht="15.75">
      <c r="A38" s="37"/>
      <c r="B38" s="37" t="str">
        <f>'ინვ. დაქვ. რეზერვ. ოდენობა'!$B$43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38" s="37"/>
      <c r="D38" s="3"/>
    </row>
    <row r="39" spans="1:4">
      <c r="D39" s="3"/>
    </row>
    <row r="40" spans="1:4" ht="15.75">
      <c r="A40" s="37"/>
      <c r="D40" s="3"/>
    </row>
    <row r="41" spans="1:4" ht="15.75">
      <c r="A41" s="3"/>
      <c r="B41" s="38"/>
      <c r="D41" s="3"/>
    </row>
  </sheetData>
  <mergeCells count="1">
    <mergeCell ref="A31:E31"/>
  </mergeCells>
  <phoneticPr fontId="3" type="noConversion"/>
  <pageMargins left="0.19685039370078741" right="0.19685039370078741" top="0.39370078740157483" bottom="0.27559055118110237" header="0.15748031496062992" footer="0.15748031496062992"/>
  <pageSetup scale="8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4" tint="-0.249977111117893"/>
  </sheetPr>
  <dimension ref="A1:F4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10" sqref="A10"/>
      <selection pane="bottomRight" activeCell="A37" sqref="A37"/>
    </sheetView>
  </sheetViews>
  <sheetFormatPr defaultRowHeight="15"/>
  <cols>
    <col min="1" max="1" width="3.85546875" style="2" customWidth="1"/>
    <col min="2" max="2" width="69.85546875" style="2" customWidth="1"/>
    <col min="3" max="3" width="16.85546875" style="2" customWidth="1"/>
    <col min="4" max="4" width="26" style="2" customWidth="1"/>
    <col min="5" max="5" width="23.85546875" style="2" customWidth="1"/>
    <col min="6" max="16384" width="9.140625" style="2"/>
  </cols>
  <sheetData>
    <row r="1" spans="1:6">
      <c r="A1" s="2" t="s">
        <v>134</v>
      </c>
    </row>
    <row r="2" spans="1:6">
      <c r="A2" s="2" t="s">
        <v>94</v>
      </c>
    </row>
    <row r="4" spans="1:6" s="86" customFormat="1" ht="15.75">
      <c r="A4" s="223" t="str">
        <f>რეზერვები!B4</f>
        <v>კომპანიის დასახელება: ___________________________________</v>
      </c>
    </row>
    <row r="5" spans="1:6" s="86" customFormat="1" ht="15.75">
      <c r="A5" s="223" t="str">
        <f>რეზერვები!B5</f>
        <v>საანგარიშო თარიღი:    ___________________________________</v>
      </c>
    </row>
    <row r="6" spans="1:6">
      <c r="E6" s="39" t="s">
        <v>107</v>
      </c>
    </row>
    <row r="7" spans="1:6" ht="57.75" customHeight="1">
      <c r="A7" s="40" t="s">
        <v>9</v>
      </c>
      <c r="B7" s="41" t="s">
        <v>43</v>
      </c>
      <c r="C7" s="42" t="s">
        <v>31</v>
      </c>
      <c r="D7" s="42" t="s">
        <v>47</v>
      </c>
      <c r="E7" s="42" t="s">
        <v>28</v>
      </c>
      <c r="F7" s="43"/>
    </row>
    <row r="8" spans="1:6" ht="15.75" customHeight="1">
      <c r="A8" s="42">
        <v>1</v>
      </c>
      <c r="B8" s="42">
        <v>2</v>
      </c>
      <c r="C8" s="42">
        <v>3</v>
      </c>
      <c r="D8" s="42">
        <v>4</v>
      </c>
      <c r="E8" s="42">
        <v>5</v>
      </c>
      <c r="F8" s="43"/>
    </row>
    <row r="9" spans="1:6" s="48" customFormat="1">
      <c r="A9" s="44">
        <v>1</v>
      </c>
      <c r="B9" s="45" t="s">
        <v>35</v>
      </c>
      <c r="C9" s="45"/>
      <c r="D9" s="46"/>
      <c r="E9" s="84">
        <f>IF(D9&gt;'დასაშვები აქტივების სტრუქტურა'!$G$17,'დასაშვები აქტივების სტრუქტურა'!$G$17,D9)</f>
        <v>0</v>
      </c>
      <c r="F9" s="47"/>
    </row>
    <row r="10" spans="1:6" s="48" customFormat="1">
      <c r="A10" s="44">
        <v>2</v>
      </c>
      <c r="B10" s="45" t="s">
        <v>35</v>
      </c>
      <c r="C10" s="45"/>
      <c r="D10" s="46"/>
      <c r="E10" s="84">
        <f>IF(D10&gt;'დასაშვები აქტივების სტრუქტურა'!$G$17,'დასაშვები აქტივების სტრუქტურა'!$G$17,D10)</f>
        <v>0</v>
      </c>
      <c r="F10" s="47"/>
    </row>
    <row r="11" spans="1:6" s="48" customFormat="1">
      <c r="A11" s="44">
        <v>3</v>
      </c>
      <c r="B11" s="45" t="s">
        <v>35</v>
      </c>
      <c r="C11" s="45"/>
      <c r="D11" s="46"/>
      <c r="E11" s="84">
        <f>IF(D11&gt;'დასაშვები აქტივების სტრუქტურა'!$G$17,'დასაშვები აქტივების სტრუქტურა'!$G$17,D11)</f>
        <v>0</v>
      </c>
      <c r="F11" s="47"/>
    </row>
    <row r="12" spans="1:6" s="48" customFormat="1">
      <c r="A12" s="44">
        <v>4</v>
      </c>
      <c r="B12" s="45" t="s">
        <v>35</v>
      </c>
      <c r="C12" s="45"/>
      <c r="D12" s="46"/>
      <c r="E12" s="84">
        <f>IF(D12&gt;'დასაშვები აქტივების სტრუქტურა'!$G$17,'დასაშვები აქტივების სტრუქტურა'!$G$17,D12)</f>
        <v>0</v>
      </c>
      <c r="F12" s="47"/>
    </row>
    <row r="13" spans="1:6" s="48" customFormat="1">
      <c r="A13" s="44">
        <v>5</v>
      </c>
      <c r="B13" s="45" t="s">
        <v>35</v>
      </c>
      <c r="C13" s="45"/>
      <c r="D13" s="46"/>
      <c r="E13" s="84">
        <f>IF(D13&gt;'დასაშვები აქტივების სტრუქტურა'!$G$17,'დასაშვები აქტივების სტრუქტურა'!$G$17,D13)</f>
        <v>0</v>
      </c>
      <c r="F13" s="47"/>
    </row>
    <row r="14" spans="1:6" s="48" customFormat="1">
      <c r="A14" s="44">
        <v>6</v>
      </c>
      <c r="B14" s="45" t="s">
        <v>35</v>
      </c>
      <c r="C14" s="45"/>
      <c r="D14" s="46"/>
      <c r="E14" s="84">
        <f>IF(D14&gt;'დასაშვები აქტივების სტრუქტურა'!$G$17,'დასაშვები აქტივების სტრუქტურა'!$G$17,D14)</f>
        <v>0</v>
      </c>
      <c r="F14" s="47"/>
    </row>
    <row r="15" spans="1:6" s="48" customFormat="1">
      <c r="A15" s="44">
        <v>7</v>
      </c>
      <c r="B15" s="45" t="s">
        <v>35</v>
      </c>
      <c r="C15" s="45"/>
      <c r="D15" s="46"/>
      <c r="E15" s="84">
        <f>IF(D15&gt;'დასაშვები აქტივების სტრუქტურა'!$G$17,'დასაშვები აქტივების სტრუქტურა'!$G$17,D15)</f>
        <v>0</v>
      </c>
      <c r="F15" s="47"/>
    </row>
    <row r="16" spans="1:6" s="48" customFormat="1">
      <c r="A16" s="44">
        <v>8</v>
      </c>
      <c r="B16" s="45" t="s">
        <v>35</v>
      </c>
      <c r="C16" s="45"/>
      <c r="D16" s="46"/>
      <c r="E16" s="84">
        <f>IF(D16&gt;'დასაშვები აქტივების სტრუქტურა'!$G$17,'დასაშვები აქტივების სტრუქტურა'!$G$17,D16)</f>
        <v>0</v>
      </c>
      <c r="F16" s="47"/>
    </row>
    <row r="17" spans="1:6" s="48" customFormat="1">
      <c r="A17" s="44">
        <v>9</v>
      </c>
      <c r="B17" s="45" t="s">
        <v>35</v>
      </c>
      <c r="C17" s="45"/>
      <c r="D17" s="46"/>
      <c r="E17" s="84">
        <f>IF(D17&gt;'დასაშვები აქტივების სტრუქტურა'!$G$17,'დასაშვები აქტივების სტრუქტურა'!$G$17,D17)</f>
        <v>0</v>
      </c>
      <c r="F17" s="47"/>
    </row>
    <row r="18" spans="1:6" s="48" customFormat="1">
      <c r="A18" s="44">
        <v>10</v>
      </c>
      <c r="B18" s="45" t="s">
        <v>35</v>
      </c>
      <c r="C18" s="45"/>
      <c r="D18" s="46"/>
      <c r="E18" s="84">
        <f>IF(D18&gt;'დასაშვები აქტივების სტრუქტურა'!$G$17,'დასაშვები აქტივების სტრუქტურა'!$G$17,D18)</f>
        <v>0</v>
      </c>
      <c r="F18" s="47"/>
    </row>
    <row r="19" spans="1:6" s="48" customFormat="1">
      <c r="A19" s="44">
        <v>11</v>
      </c>
      <c r="B19" s="45" t="s">
        <v>35</v>
      </c>
      <c r="C19" s="45"/>
      <c r="D19" s="46"/>
      <c r="E19" s="84">
        <f>IF(D19&gt;'დასაშვები აქტივების სტრუქტურა'!$G$17,'დასაშვები აქტივების სტრუქტურა'!$G$17,D19)</f>
        <v>0</v>
      </c>
      <c r="F19" s="47"/>
    </row>
    <row r="20" spans="1:6" s="48" customFormat="1">
      <c r="A20" s="44">
        <v>12</v>
      </c>
      <c r="B20" s="45" t="s">
        <v>35</v>
      </c>
      <c r="C20" s="45"/>
      <c r="D20" s="46"/>
      <c r="E20" s="84">
        <f>IF(D20&gt;'დასაშვები აქტივების სტრუქტურა'!$G$17,'დასაშვები აქტივების სტრუქტურა'!$G$17,D20)</f>
        <v>0</v>
      </c>
      <c r="F20" s="47"/>
    </row>
    <row r="21" spans="1:6" s="48" customFormat="1">
      <c r="A21" s="44">
        <v>13</v>
      </c>
      <c r="B21" s="45" t="s">
        <v>35</v>
      </c>
      <c r="C21" s="45"/>
      <c r="D21" s="46"/>
      <c r="E21" s="84">
        <f>IF(D21&gt;'დასაშვები აქტივების სტრუქტურა'!$G$17,'დასაშვები აქტივების სტრუქტურა'!$G$17,D21)</f>
        <v>0</v>
      </c>
      <c r="F21" s="47"/>
    </row>
    <row r="22" spans="1:6" s="48" customFormat="1">
      <c r="A22" s="44">
        <v>14</v>
      </c>
      <c r="B22" s="45" t="s">
        <v>35</v>
      </c>
      <c r="C22" s="45"/>
      <c r="D22" s="46"/>
      <c r="E22" s="84">
        <f>IF(D22&gt;'დასაშვები აქტივების სტრუქტურა'!$G$17,'დასაშვები აქტივების სტრუქტურა'!$G$17,D22)</f>
        <v>0</v>
      </c>
      <c r="F22" s="47"/>
    </row>
    <row r="23" spans="1:6" s="48" customFormat="1">
      <c r="A23" s="44">
        <v>15</v>
      </c>
      <c r="B23" s="45" t="s">
        <v>35</v>
      </c>
      <c r="C23" s="45"/>
      <c r="D23" s="46"/>
      <c r="E23" s="84">
        <f>IF(D23&gt;'დასაშვები აქტივების სტრუქტურა'!$G$17,'დასაშვები აქტივების სტრუქტურა'!$G$17,D23)</f>
        <v>0</v>
      </c>
      <c r="F23" s="47"/>
    </row>
    <row r="24" spans="1:6" s="48" customFormat="1">
      <c r="A24" s="44">
        <v>16</v>
      </c>
      <c r="B24" s="45" t="s">
        <v>35</v>
      </c>
      <c r="C24" s="45"/>
      <c r="D24" s="46"/>
      <c r="E24" s="84">
        <f>IF(D24&gt;'დასაშვები აქტივების სტრუქტურა'!$G$17,'დასაშვები აქტივების სტრუქტურა'!$G$17,D24)</f>
        <v>0</v>
      </c>
      <c r="F24" s="47"/>
    </row>
    <row r="25" spans="1:6" s="48" customFormat="1">
      <c r="A25" s="44">
        <v>17</v>
      </c>
      <c r="B25" s="45" t="s">
        <v>35</v>
      </c>
      <c r="C25" s="45"/>
      <c r="D25" s="46"/>
      <c r="E25" s="84">
        <f>IF(D25&gt;'დასაშვები აქტივების სტრუქტურა'!$G$17,'დასაშვები აქტივების სტრუქტურა'!$G$17,D25)</f>
        <v>0</v>
      </c>
      <c r="F25" s="47"/>
    </row>
    <row r="26" spans="1:6" s="48" customFormat="1">
      <c r="A26" s="44">
        <v>18</v>
      </c>
      <c r="B26" s="45" t="s">
        <v>35</v>
      </c>
      <c r="C26" s="45"/>
      <c r="D26" s="46"/>
      <c r="E26" s="84">
        <f>IF(D26&gt;'დასაშვები აქტივების სტრუქტურა'!$G$17,'დასაშვები აქტივების სტრუქტურა'!$G$17,D26)</f>
        <v>0</v>
      </c>
      <c r="F26" s="47"/>
    </row>
    <row r="27" spans="1:6" s="48" customFormat="1">
      <c r="A27" s="44">
        <v>19</v>
      </c>
      <c r="B27" s="45" t="s">
        <v>35</v>
      </c>
      <c r="C27" s="45"/>
      <c r="D27" s="46"/>
      <c r="E27" s="84">
        <f>IF(D27&gt;'დასაშვები აქტივების სტრუქტურა'!$G$17,'დასაშვები აქტივების სტრუქტურა'!$G$17,D27)</f>
        <v>0</v>
      </c>
      <c r="F27" s="47"/>
    </row>
    <row r="28" spans="1:6" s="48" customFormat="1">
      <c r="A28" s="44">
        <v>20</v>
      </c>
      <c r="B28" s="45" t="s">
        <v>35</v>
      </c>
      <c r="C28" s="45"/>
      <c r="D28" s="46"/>
      <c r="E28" s="84">
        <f>IF(D28&gt;'დასაშვები აქტივების სტრუქტურა'!$G$17,'დასაშვები აქტივების სტრუქტურა'!$G$17,D28)</f>
        <v>0</v>
      </c>
      <c r="F28" s="47"/>
    </row>
    <row r="29" spans="1:6" s="35" customFormat="1" ht="18">
      <c r="A29" s="50"/>
      <c r="B29" s="50" t="s">
        <v>70</v>
      </c>
      <c r="C29" s="50"/>
      <c r="D29" s="51">
        <f>SUM(D9:D28)</f>
        <v>0</v>
      </c>
      <c r="E29" s="51">
        <f>IF(SUM(E9:E28)&gt;'დასაშვები აქტივების სტრუქტურა'!$E$17,'დასაშვები აქტივების სტრუქტურა'!$E$17,SUM(E9:E28))</f>
        <v>0</v>
      </c>
      <c r="F29" s="55"/>
    </row>
    <row r="31" spans="1:6" s="54" customFormat="1" ht="35.25" customHeight="1">
      <c r="A31" s="270" t="s">
        <v>30</v>
      </c>
      <c r="B31" s="270"/>
      <c r="C31" s="270"/>
      <c r="D31" s="270"/>
      <c r="E31" s="270"/>
    </row>
    <row r="33" spans="1:5" ht="15.75">
      <c r="A33" s="37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B33" s="37"/>
      <c r="C33" s="37"/>
      <c r="D33" s="3"/>
      <c r="E33" s="54"/>
    </row>
    <row r="34" spans="1:5" ht="15.75">
      <c r="A34" s="37" t="str">
        <f>რეზერვები!B52</f>
        <v xml:space="preserve">                                                                                                      (სახელი გვარი)</v>
      </c>
      <c r="B34" s="37"/>
      <c r="C34" s="37"/>
      <c r="D34" s="3"/>
    </row>
    <row r="35" spans="1:5" ht="15.75">
      <c r="A35" s="37"/>
      <c r="B35" s="37"/>
      <c r="C35" s="37"/>
      <c r="D35" s="3"/>
    </row>
    <row r="36" spans="1:5" ht="15.75">
      <c r="A36" s="37"/>
      <c r="B36" s="37"/>
      <c r="C36" s="37"/>
      <c r="D36" s="3"/>
    </row>
    <row r="37" spans="1:5" ht="15.75">
      <c r="A37" s="37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B37" s="37"/>
      <c r="C37" s="37"/>
      <c r="D37" s="3"/>
    </row>
    <row r="38" spans="1:5" ht="15.75">
      <c r="A38" s="37" t="str">
        <f>'ინვ. დაქვ. რეზერვ. ოდენობა'!$B$43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38" s="37"/>
      <c r="D38" s="3"/>
    </row>
    <row r="39" spans="1:5">
      <c r="D39" s="3"/>
    </row>
    <row r="40" spans="1:5" ht="15.75">
      <c r="A40" s="37"/>
      <c r="D40" s="3"/>
    </row>
    <row r="41" spans="1:5" ht="15.75">
      <c r="A41" s="3"/>
      <c r="B41" s="38"/>
      <c r="D41" s="3"/>
    </row>
  </sheetData>
  <mergeCells count="1">
    <mergeCell ref="A31:E31"/>
  </mergeCells>
  <phoneticPr fontId="3" type="noConversion"/>
  <pageMargins left="0.19685039370078741" right="0.19685039370078741" top="0.39370078740157483" bottom="0.27559055118110237" header="0.15748031496062992" footer="0.15748031496062992"/>
  <pageSetup scale="82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4" tint="-0.249977111117893"/>
  </sheetPr>
  <dimension ref="A1:F41"/>
  <sheetViews>
    <sheetView zoomScaleNormal="100" workbookViewId="0">
      <pane xSplit="1" ySplit="8" topLeftCell="B24" activePane="bottomRight" state="frozen"/>
      <selection pane="topRight" activeCell="B1" sqref="B1"/>
      <selection pane="bottomLeft" activeCell="A10" sqref="A10"/>
      <selection pane="bottomRight" activeCell="A40" sqref="A40:B42"/>
    </sheetView>
  </sheetViews>
  <sheetFormatPr defaultRowHeight="15"/>
  <cols>
    <col min="1" max="1" width="3.85546875" style="2" customWidth="1"/>
    <col min="2" max="2" width="55" style="2" customWidth="1"/>
    <col min="3" max="3" width="50.42578125" style="2" customWidth="1"/>
    <col min="4" max="4" width="26" style="2" customWidth="1"/>
    <col min="5" max="5" width="23.5703125" style="2" customWidth="1"/>
    <col min="6" max="16384" width="9.140625" style="2"/>
  </cols>
  <sheetData>
    <row r="1" spans="1:6">
      <c r="A1" s="2" t="s">
        <v>135</v>
      </c>
    </row>
    <row r="2" spans="1:6">
      <c r="A2" s="2" t="s">
        <v>92</v>
      </c>
    </row>
    <row r="4" spans="1:6" s="86" customFormat="1" ht="15.75">
      <c r="A4" s="223" t="str">
        <f>რეზერვები!B4</f>
        <v>კომპანიის დასახელება: ___________________________________</v>
      </c>
    </row>
    <row r="5" spans="1:6" s="86" customFormat="1" ht="15.75">
      <c r="A5" s="223" t="str">
        <f>რეზერვები!B5</f>
        <v>საანგარიშო თარიღი:    ___________________________________</v>
      </c>
    </row>
    <row r="6" spans="1:6">
      <c r="E6" s="39" t="s">
        <v>107</v>
      </c>
    </row>
    <row r="7" spans="1:6" ht="57.75" customHeight="1">
      <c r="A7" s="40" t="s">
        <v>10</v>
      </c>
      <c r="B7" s="41" t="s">
        <v>93</v>
      </c>
      <c r="C7" s="57" t="s">
        <v>44</v>
      </c>
      <c r="D7" s="42" t="s">
        <v>47</v>
      </c>
      <c r="E7" s="42" t="s">
        <v>28</v>
      </c>
      <c r="F7" s="43"/>
    </row>
    <row r="8" spans="1:6" ht="15.75" customHeight="1">
      <c r="A8" s="42">
        <v>1</v>
      </c>
      <c r="B8" s="42">
        <v>2</v>
      </c>
      <c r="C8" s="42">
        <v>3</v>
      </c>
      <c r="D8" s="42">
        <v>4</v>
      </c>
      <c r="E8" s="42">
        <v>5</v>
      </c>
      <c r="F8" s="43"/>
    </row>
    <row r="9" spans="1:6" s="48" customFormat="1">
      <c r="A9" s="44">
        <v>1</v>
      </c>
      <c r="B9" s="45" t="s">
        <v>36</v>
      </c>
      <c r="C9" s="45"/>
      <c r="D9" s="46"/>
      <c r="E9" s="84">
        <f>IF(D9&gt;'დასაშვები აქტივების სტრუქტურა'!$G$18,'დასაშვები აქტივების სტრუქტურა'!$G$18,D9)</f>
        <v>0</v>
      </c>
      <c r="F9" s="47"/>
    </row>
    <row r="10" spans="1:6" s="48" customFormat="1">
      <c r="A10" s="44">
        <v>2</v>
      </c>
      <c r="B10" s="45" t="s">
        <v>36</v>
      </c>
      <c r="C10" s="45"/>
      <c r="D10" s="46"/>
      <c r="E10" s="84">
        <f>IF(D10&gt;'დასაშვები აქტივების სტრუქტურა'!$G$18,'დასაშვები აქტივების სტრუქტურა'!$G$18,D10)</f>
        <v>0</v>
      </c>
      <c r="F10" s="47"/>
    </row>
    <row r="11" spans="1:6" s="48" customFormat="1">
      <c r="A11" s="44">
        <v>3</v>
      </c>
      <c r="B11" s="45" t="s">
        <v>36</v>
      </c>
      <c r="C11" s="45"/>
      <c r="D11" s="46"/>
      <c r="E11" s="84">
        <f>IF(D11&gt;'დასაშვები აქტივების სტრუქტურა'!$G$18,'დასაშვები აქტივების სტრუქტურა'!$G$18,D11)</f>
        <v>0</v>
      </c>
      <c r="F11" s="47"/>
    </row>
    <row r="12" spans="1:6" s="48" customFormat="1">
      <c r="A12" s="44">
        <v>4</v>
      </c>
      <c r="B12" s="45" t="s">
        <v>36</v>
      </c>
      <c r="C12" s="45"/>
      <c r="D12" s="46"/>
      <c r="E12" s="84">
        <f>IF(D12&gt;'დასაშვები აქტივების სტრუქტურა'!$G$18,'დასაშვები აქტივების სტრუქტურა'!$G$18,D12)</f>
        <v>0</v>
      </c>
      <c r="F12" s="47"/>
    </row>
    <row r="13" spans="1:6" s="48" customFormat="1">
      <c r="A13" s="44">
        <v>5</v>
      </c>
      <c r="B13" s="45" t="s">
        <v>36</v>
      </c>
      <c r="C13" s="45"/>
      <c r="D13" s="46"/>
      <c r="E13" s="84">
        <f>IF(D13&gt;'დასაშვები აქტივების სტრუქტურა'!$G$18,'დასაშვები აქტივების სტრუქტურა'!$G$18,D13)</f>
        <v>0</v>
      </c>
      <c r="F13" s="47"/>
    </row>
    <row r="14" spans="1:6" s="48" customFormat="1">
      <c r="A14" s="44">
        <v>6</v>
      </c>
      <c r="B14" s="45" t="s">
        <v>36</v>
      </c>
      <c r="C14" s="45"/>
      <c r="D14" s="46"/>
      <c r="E14" s="84">
        <f>IF(D14&gt;'დასაშვები აქტივების სტრუქტურა'!$G$18,'დასაშვები აქტივების სტრუქტურა'!$G$18,D14)</f>
        <v>0</v>
      </c>
      <c r="F14" s="47"/>
    </row>
    <row r="15" spans="1:6" s="48" customFormat="1">
      <c r="A15" s="44">
        <v>7</v>
      </c>
      <c r="B15" s="45" t="s">
        <v>36</v>
      </c>
      <c r="C15" s="45"/>
      <c r="D15" s="46"/>
      <c r="E15" s="84">
        <f>IF(D15&gt;'დასაშვები აქტივების სტრუქტურა'!$G$18,'დასაშვები აქტივების სტრუქტურა'!$G$18,D15)</f>
        <v>0</v>
      </c>
      <c r="F15" s="47"/>
    </row>
    <row r="16" spans="1:6" s="48" customFormat="1">
      <c r="A16" s="44">
        <v>8</v>
      </c>
      <c r="B16" s="45" t="s">
        <v>36</v>
      </c>
      <c r="C16" s="45"/>
      <c r="D16" s="46"/>
      <c r="E16" s="84">
        <f>IF(D16&gt;'დასაშვები აქტივების სტრუქტურა'!$G$18,'დასაშვები აქტივების სტრუქტურა'!$G$18,D16)</f>
        <v>0</v>
      </c>
      <c r="F16" s="47"/>
    </row>
    <row r="17" spans="1:6" s="48" customFormat="1">
      <c r="A17" s="44">
        <v>9</v>
      </c>
      <c r="B17" s="45" t="s">
        <v>36</v>
      </c>
      <c r="C17" s="45"/>
      <c r="D17" s="46"/>
      <c r="E17" s="84">
        <f>IF(D17&gt;'დასაშვები აქტივების სტრუქტურა'!$G$18,'დასაშვები აქტივების სტრუქტურა'!$G$18,D17)</f>
        <v>0</v>
      </c>
      <c r="F17" s="47"/>
    </row>
    <row r="18" spans="1:6" s="48" customFormat="1">
      <c r="A18" s="44">
        <v>10</v>
      </c>
      <c r="B18" s="45" t="s">
        <v>36</v>
      </c>
      <c r="C18" s="45"/>
      <c r="D18" s="46"/>
      <c r="E18" s="84">
        <f>IF(D18&gt;'დასაშვები აქტივების სტრუქტურა'!$G$18,'დასაშვები აქტივების სტრუქტურა'!$G$18,D18)</f>
        <v>0</v>
      </c>
      <c r="F18" s="47"/>
    </row>
    <row r="19" spans="1:6" s="48" customFormat="1">
      <c r="A19" s="44">
        <v>11</v>
      </c>
      <c r="B19" s="45" t="s">
        <v>36</v>
      </c>
      <c r="C19" s="45"/>
      <c r="D19" s="46"/>
      <c r="E19" s="84">
        <f>IF(D19&gt;'დასაშვები აქტივების სტრუქტურა'!$G$18,'დასაშვები აქტივების სტრუქტურა'!$G$18,D19)</f>
        <v>0</v>
      </c>
      <c r="F19" s="47"/>
    </row>
    <row r="20" spans="1:6" s="48" customFormat="1">
      <c r="A20" s="44">
        <v>12</v>
      </c>
      <c r="B20" s="45" t="s">
        <v>36</v>
      </c>
      <c r="C20" s="45"/>
      <c r="D20" s="46"/>
      <c r="E20" s="84">
        <f>IF(D20&gt;'დასაშვები აქტივების სტრუქტურა'!$G$18,'დასაშვები აქტივების სტრუქტურა'!$G$18,D20)</f>
        <v>0</v>
      </c>
      <c r="F20" s="47"/>
    </row>
    <row r="21" spans="1:6" s="48" customFormat="1">
      <c r="A21" s="44">
        <v>13</v>
      </c>
      <c r="B21" s="45" t="s">
        <v>36</v>
      </c>
      <c r="C21" s="45"/>
      <c r="D21" s="46"/>
      <c r="E21" s="84">
        <f>IF(D21&gt;'დასაშვები აქტივების სტრუქტურა'!$G$18,'დასაშვები აქტივების სტრუქტურა'!$G$18,D21)</f>
        <v>0</v>
      </c>
      <c r="F21" s="47"/>
    </row>
    <row r="22" spans="1:6" s="48" customFormat="1">
      <c r="A22" s="44">
        <v>14</v>
      </c>
      <c r="B22" s="45" t="s">
        <v>36</v>
      </c>
      <c r="C22" s="45"/>
      <c r="D22" s="46"/>
      <c r="E22" s="84">
        <f>IF(D22&gt;'დასაშვები აქტივების სტრუქტურა'!$G$18,'დასაშვები აქტივების სტრუქტურა'!$G$18,D22)</f>
        <v>0</v>
      </c>
      <c r="F22" s="47"/>
    </row>
    <row r="23" spans="1:6" s="48" customFormat="1">
      <c r="A23" s="44">
        <v>15</v>
      </c>
      <c r="B23" s="45" t="s">
        <v>36</v>
      </c>
      <c r="C23" s="45"/>
      <c r="D23" s="46"/>
      <c r="E23" s="84">
        <f>IF(D23&gt;'დასაშვები აქტივების სტრუქტურა'!$G$18,'დასაშვები აქტივების სტრუქტურა'!$G$18,D23)</f>
        <v>0</v>
      </c>
      <c r="F23" s="47"/>
    </row>
    <row r="24" spans="1:6" s="48" customFormat="1">
      <c r="A24" s="44">
        <v>16</v>
      </c>
      <c r="B24" s="45" t="s">
        <v>36</v>
      </c>
      <c r="C24" s="45"/>
      <c r="D24" s="46"/>
      <c r="E24" s="84">
        <f>IF(D24&gt;'დასაშვები აქტივების სტრუქტურა'!$G$18,'დასაშვები აქტივების სტრუქტურა'!$G$18,D24)</f>
        <v>0</v>
      </c>
      <c r="F24" s="47"/>
    </row>
    <row r="25" spans="1:6" s="48" customFormat="1">
      <c r="A25" s="44">
        <v>17</v>
      </c>
      <c r="B25" s="45" t="s">
        <v>36</v>
      </c>
      <c r="C25" s="45"/>
      <c r="D25" s="46"/>
      <c r="E25" s="84">
        <f>IF(D25&gt;'დასაშვები აქტივების სტრუქტურა'!$G$18,'დასაშვები აქტივების სტრუქტურა'!$G$18,D25)</f>
        <v>0</v>
      </c>
      <c r="F25" s="47"/>
    </row>
    <row r="26" spans="1:6" s="48" customFormat="1">
      <c r="A26" s="44">
        <v>18</v>
      </c>
      <c r="B26" s="45" t="s">
        <v>36</v>
      </c>
      <c r="C26" s="45"/>
      <c r="D26" s="46"/>
      <c r="E26" s="84">
        <f>IF(D26&gt;'დასაშვები აქტივების სტრუქტურა'!$G$18,'დასაშვები აქტივების სტრუქტურა'!$G$18,D26)</f>
        <v>0</v>
      </c>
      <c r="F26" s="47"/>
    </row>
    <row r="27" spans="1:6" s="48" customFormat="1">
      <c r="A27" s="44">
        <v>19</v>
      </c>
      <c r="B27" s="45" t="s">
        <v>36</v>
      </c>
      <c r="C27" s="45"/>
      <c r="D27" s="46"/>
      <c r="E27" s="84">
        <f>IF(D27&gt;'დასაშვები აქტივების სტრუქტურა'!$G$18,'დასაშვები აქტივების სტრუქტურა'!$G$18,D27)</f>
        <v>0</v>
      </c>
      <c r="F27" s="47"/>
    </row>
    <row r="28" spans="1:6" s="48" customFormat="1">
      <c r="A28" s="44">
        <v>20</v>
      </c>
      <c r="B28" s="45" t="s">
        <v>36</v>
      </c>
      <c r="C28" s="45"/>
      <c r="D28" s="46"/>
      <c r="E28" s="84">
        <f>IF(D28&gt;'დასაშვები აქტივების სტრუქტურა'!$G$18,'დასაშვები აქტივების სტრუქტურა'!$G$18,D28)</f>
        <v>0</v>
      </c>
      <c r="F28" s="47"/>
    </row>
    <row r="29" spans="1:6" s="35" customFormat="1" ht="18">
      <c r="A29" s="50"/>
      <c r="B29" s="50" t="s">
        <v>70</v>
      </c>
      <c r="C29" s="50"/>
      <c r="D29" s="51">
        <f>SUM(D9:D28)</f>
        <v>0</v>
      </c>
      <c r="E29" s="51">
        <f>IF(SUM(E9:E28)&gt;'დასაშვები აქტივების სტრუქტურა'!$E$18,'დასაშვები აქტივების სტრუქტურა'!$E$18,SUM(E9:E28))</f>
        <v>0</v>
      </c>
      <c r="F29" s="55"/>
    </row>
    <row r="31" spans="1:6" s="54" customFormat="1" ht="36.75" customHeight="1">
      <c r="A31" s="270" t="s">
        <v>30</v>
      </c>
      <c r="B31" s="270"/>
      <c r="C31" s="270"/>
      <c r="D31" s="270"/>
      <c r="E31" s="270"/>
    </row>
    <row r="33" spans="1:5" ht="15.75">
      <c r="A33" s="37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B33" s="37"/>
      <c r="C33" s="37"/>
      <c r="D33" s="3"/>
      <c r="E33" s="54"/>
    </row>
    <row r="34" spans="1:5" ht="15.75">
      <c r="A34" s="37" t="str">
        <f>რეზერვები!B52</f>
        <v xml:space="preserve">                                                                                                      (სახელი გვარი)</v>
      </c>
      <c r="B34" s="37"/>
      <c r="C34" s="37"/>
      <c r="D34" s="3"/>
    </row>
    <row r="35" spans="1:5" ht="15.75">
      <c r="A35" s="37"/>
      <c r="B35" s="37"/>
      <c r="C35" s="37"/>
      <c r="D35" s="3"/>
    </row>
    <row r="36" spans="1:5" ht="15.75">
      <c r="A36" s="37"/>
      <c r="B36" s="37"/>
      <c r="C36" s="37"/>
      <c r="D36" s="3"/>
    </row>
    <row r="37" spans="1:5" ht="15.75">
      <c r="A37" s="37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B37" s="37"/>
      <c r="C37" s="37"/>
      <c r="D37" s="3"/>
    </row>
    <row r="38" spans="1:5" ht="15.75">
      <c r="A38" s="37" t="str">
        <f>'ინვ. დაქვ. რეზერვ. ოდენობა'!$B$43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38" s="37"/>
      <c r="D38" s="3"/>
    </row>
    <row r="39" spans="1:5">
      <c r="D39" s="3"/>
    </row>
    <row r="40" spans="1:5" ht="15.75">
      <c r="A40" s="37"/>
      <c r="D40" s="3"/>
    </row>
    <row r="41" spans="1:5" ht="15.75">
      <c r="A41" s="3"/>
      <c r="B41" s="38"/>
      <c r="D41" s="3"/>
    </row>
  </sheetData>
  <mergeCells count="1">
    <mergeCell ref="A31:E31"/>
  </mergeCells>
  <phoneticPr fontId="3" type="noConversion"/>
  <pageMargins left="0.19685039370078741" right="0.19685039370078741" top="0.39370078740157483" bottom="0.27559055118110237" header="0.15748031496062992" footer="0.15748031496062992"/>
  <pageSetup scale="8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4" tint="-0.249977111117893"/>
  </sheetPr>
  <dimension ref="A1:F41"/>
  <sheetViews>
    <sheetView zoomScaleNormal="100" workbookViewId="0">
      <pane xSplit="1" ySplit="8" topLeftCell="B21" activePane="bottomRight" state="frozen"/>
      <selection pane="topRight" activeCell="B1" sqref="B1"/>
      <selection pane="bottomLeft" activeCell="A10" sqref="A10"/>
      <selection pane="bottomRight" activeCell="A39" sqref="A39:B42"/>
    </sheetView>
  </sheetViews>
  <sheetFormatPr defaultRowHeight="15"/>
  <cols>
    <col min="1" max="1" width="4.7109375" style="2" customWidth="1"/>
    <col min="2" max="2" width="64.42578125" style="2" customWidth="1"/>
    <col min="3" max="3" width="16.85546875" style="2" customWidth="1"/>
    <col min="4" max="4" width="26" style="2" customWidth="1"/>
    <col min="5" max="5" width="21.85546875" style="2" customWidth="1"/>
    <col min="6" max="16384" width="9.140625" style="2"/>
  </cols>
  <sheetData>
    <row r="1" spans="1:6">
      <c r="A1" s="2" t="s">
        <v>136</v>
      </c>
    </row>
    <row r="2" spans="1:6">
      <c r="A2" s="2" t="s">
        <v>91</v>
      </c>
    </row>
    <row r="4" spans="1:6" s="86" customFormat="1" ht="15.75">
      <c r="A4" s="223" t="str">
        <f>რეზერვები!B4</f>
        <v>კომპანიის დასახელება: ___________________________________</v>
      </c>
    </row>
    <row r="5" spans="1:6" s="86" customFormat="1" ht="15.75">
      <c r="A5" s="223" t="str">
        <f>რეზერვები!B5</f>
        <v>საანგარიშო თარიღი:    ___________________________________</v>
      </c>
    </row>
    <row r="6" spans="1:6">
      <c r="E6" s="39" t="s">
        <v>107</v>
      </c>
    </row>
    <row r="7" spans="1:6" ht="57.75" customHeight="1">
      <c r="A7" s="40" t="s">
        <v>12</v>
      </c>
      <c r="B7" s="41" t="s">
        <v>77</v>
      </c>
      <c r="C7" s="42" t="s">
        <v>32</v>
      </c>
      <c r="D7" s="42" t="s">
        <v>47</v>
      </c>
      <c r="E7" s="42" t="s">
        <v>28</v>
      </c>
      <c r="F7" s="43"/>
    </row>
    <row r="8" spans="1:6" ht="15.75" customHeight="1">
      <c r="A8" s="42">
        <v>1</v>
      </c>
      <c r="B8" s="42">
        <v>2</v>
      </c>
      <c r="C8" s="42">
        <v>3</v>
      </c>
      <c r="D8" s="42">
        <v>4</v>
      </c>
      <c r="E8" s="42">
        <v>5</v>
      </c>
      <c r="F8" s="43"/>
    </row>
    <row r="9" spans="1:6" s="48" customFormat="1">
      <c r="A9" s="44">
        <v>1</v>
      </c>
      <c r="B9" s="56" t="s">
        <v>45</v>
      </c>
      <c r="C9" s="45"/>
      <c r="D9" s="46"/>
      <c r="E9" s="84">
        <f>IF(D9&gt;'დასაშვები აქტივების სტრუქტურა'!$G$20,'დასაშვები აქტივების სტრუქტურა'!$G$20,D9)</f>
        <v>0</v>
      </c>
      <c r="F9" s="47"/>
    </row>
    <row r="10" spans="1:6" s="48" customFormat="1">
      <c r="A10" s="44">
        <v>2</v>
      </c>
      <c r="B10" s="56" t="s">
        <v>45</v>
      </c>
      <c r="C10" s="45"/>
      <c r="D10" s="46"/>
      <c r="E10" s="84">
        <f>IF(D10&gt;'დასაშვები აქტივების სტრუქტურა'!$G$20,'დასაშვები აქტივების სტრუქტურა'!$G$20,D10)</f>
        <v>0</v>
      </c>
      <c r="F10" s="47"/>
    </row>
    <row r="11" spans="1:6" s="48" customFormat="1">
      <c r="A11" s="44">
        <v>3</v>
      </c>
      <c r="B11" s="56" t="s">
        <v>45</v>
      </c>
      <c r="C11" s="45"/>
      <c r="D11" s="46"/>
      <c r="E11" s="84">
        <f>IF(D11&gt;'დასაშვები აქტივების სტრუქტურა'!$G$20,'დასაშვები აქტივების სტრუქტურა'!$G$20,D11)</f>
        <v>0</v>
      </c>
      <c r="F11" s="47"/>
    </row>
    <row r="12" spans="1:6" s="48" customFormat="1">
      <c r="A12" s="44">
        <v>4</v>
      </c>
      <c r="B12" s="56" t="s">
        <v>45</v>
      </c>
      <c r="C12" s="45"/>
      <c r="D12" s="46"/>
      <c r="E12" s="84">
        <f>IF(D12&gt;'დასაშვები აქტივების სტრუქტურა'!$G$20,'დასაშვები აქტივების სტრუქტურა'!$G$20,D12)</f>
        <v>0</v>
      </c>
      <c r="F12" s="47"/>
    </row>
    <row r="13" spans="1:6" s="48" customFormat="1">
      <c r="A13" s="44">
        <v>5</v>
      </c>
      <c r="B13" s="56" t="s">
        <v>45</v>
      </c>
      <c r="C13" s="45"/>
      <c r="D13" s="46"/>
      <c r="E13" s="84">
        <f>IF(D13&gt;'დასაშვები აქტივების სტრუქტურა'!$G$20,'დასაშვები აქტივების სტრუქტურა'!$G$20,D13)</f>
        <v>0</v>
      </c>
      <c r="F13" s="47"/>
    </row>
    <row r="14" spans="1:6" s="48" customFormat="1">
      <c r="A14" s="44">
        <v>6</v>
      </c>
      <c r="B14" s="56" t="s">
        <v>45</v>
      </c>
      <c r="C14" s="45"/>
      <c r="D14" s="46"/>
      <c r="E14" s="84">
        <f>IF(D14&gt;'დასაშვები აქტივების სტრუქტურა'!$G$20,'დასაშვები აქტივების სტრუქტურა'!$G$20,D14)</f>
        <v>0</v>
      </c>
      <c r="F14" s="47"/>
    </row>
    <row r="15" spans="1:6" s="48" customFormat="1">
      <c r="A15" s="44">
        <v>7</v>
      </c>
      <c r="B15" s="56" t="s">
        <v>45</v>
      </c>
      <c r="C15" s="45"/>
      <c r="D15" s="46"/>
      <c r="E15" s="84">
        <f>IF(D15&gt;'დასაშვები აქტივების სტრუქტურა'!$G$20,'დასაშვები აქტივების სტრუქტურა'!$G$20,D15)</f>
        <v>0</v>
      </c>
      <c r="F15" s="47"/>
    </row>
    <row r="16" spans="1:6" s="48" customFormat="1">
      <c r="A16" s="44">
        <v>8</v>
      </c>
      <c r="B16" s="56" t="s">
        <v>45</v>
      </c>
      <c r="C16" s="45"/>
      <c r="D16" s="46"/>
      <c r="E16" s="84">
        <f>IF(D16&gt;'დასაშვები აქტივების სტრუქტურა'!$G$20,'დასაშვები აქტივების სტრუქტურა'!$G$20,D16)</f>
        <v>0</v>
      </c>
      <c r="F16" s="47"/>
    </row>
    <row r="17" spans="1:6" s="48" customFormat="1">
      <c r="A17" s="44">
        <v>9</v>
      </c>
      <c r="B17" s="56" t="s">
        <v>45</v>
      </c>
      <c r="C17" s="45"/>
      <c r="D17" s="46"/>
      <c r="E17" s="84">
        <f>IF(D17&gt;'დასაშვები აქტივების სტრუქტურა'!$G$20,'დასაშვები აქტივების სტრუქტურა'!$G$20,D17)</f>
        <v>0</v>
      </c>
      <c r="F17" s="47"/>
    </row>
    <row r="18" spans="1:6" s="48" customFormat="1">
      <c r="A18" s="44">
        <v>10</v>
      </c>
      <c r="B18" s="56" t="s">
        <v>45</v>
      </c>
      <c r="C18" s="45"/>
      <c r="D18" s="46"/>
      <c r="E18" s="84">
        <f>IF(D18&gt;'დასაშვები აქტივების სტრუქტურა'!$G$20,'დასაშვები აქტივების სტრუქტურა'!$G$20,D18)</f>
        <v>0</v>
      </c>
      <c r="F18" s="47"/>
    </row>
    <row r="19" spans="1:6" s="48" customFormat="1">
      <c r="A19" s="44">
        <v>11</v>
      </c>
      <c r="B19" s="56" t="s">
        <v>45</v>
      </c>
      <c r="C19" s="45"/>
      <c r="D19" s="46"/>
      <c r="E19" s="84">
        <f>IF(D19&gt;'დასაშვები აქტივების სტრუქტურა'!$G$20,'დასაშვები აქტივების სტრუქტურა'!$G$20,D19)</f>
        <v>0</v>
      </c>
      <c r="F19" s="47"/>
    </row>
    <row r="20" spans="1:6" s="48" customFormat="1">
      <c r="A20" s="44">
        <v>12</v>
      </c>
      <c r="B20" s="56" t="s">
        <v>45</v>
      </c>
      <c r="C20" s="45"/>
      <c r="D20" s="46"/>
      <c r="E20" s="84">
        <f>IF(D20&gt;'დასაშვები აქტივების სტრუქტურა'!$G$20,'დასაშვები აქტივების სტრუქტურა'!$G$20,D20)</f>
        <v>0</v>
      </c>
      <c r="F20" s="47"/>
    </row>
    <row r="21" spans="1:6" s="48" customFormat="1">
      <c r="A21" s="44">
        <v>13</v>
      </c>
      <c r="B21" s="56" t="s">
        <v>45</v>
      </c>
      <c r="C21" s="45"/>
      <c r="D21" s="46"/>
      <c r="E21" s="84">
        <f>IF(D21&gt;'დასაშვები აქტივების სტრუქტურა'!$G$20,'დასაშვები აქტივების სტრუქტურა'!$G$20,D21)</f>
        <v>0</v>
      </c>
      <c r="F21" s="47"/>
    </row>
    <row r="22" spans="1:6" s="48" customFormat="1">
      <c r="A22" s="44">
        <v>14</v>
      </c>
      <c r="B22" s="56" t="s">
        <v>45</v>
      </c>
      <c r="C22" s="45"/>
      <c r="D22" s="46"/>
      <c r="E22" s="84">
        <f>IF(D22&gt;'დასაშვები აქტივების სტრუქტურა'!$G$20,'დასაშვები აქტივების სტრუქტურა'!$G$20,D22)</f>
        <v>0</v>
      </c>
      <c r="F22" s="47"/>
    </row>
    <row r="23" spans="1:6" s="48" customFormat="1">
      <c r="A23" s="44">
        <v>15</v>
      </c>
      <c r="B23" s="56" t="s">
        <v>45</v>
      </c>
      <c r="C23" s="45"/>
      <c r="D23" s="46"/>
      <c r="E23" s="84">
        <f>IF(D23&gt;'დასაშვები აქტივების სტრუქტურა'!$G$20,'დასაშვები აქტივების სტრუქტურა'!$G$20,D23)</f>
        <v>0</v>
      </c>
      <c r="F23" s="47"/>
    </row>
    <row r="24" spans="1:6" s="48" customFormat="1">
      <c r="A24" s="44">
        <v>16</v>
      </c>
      <c r="B24" s="56" t="s">
        <v>45</v>
      </c>
      <c r="C24" s="45"/>
      <c r="D24" s="46"/>
      <c r="E24" s="84">
        <f>IF(D24&gt;'დასაშვები აქტივების სტრუქტურა'!$G$20,'დასაშვები აქტივების სტრუქტურა'!$G$20,D24)</f>
        <v>0</v>
      </c>
      <c r="F24" s="47"/>
    </row>
    <row r="25" spans="1:6" s="48" customFormat="1">
      <c r="A25" s="44">
        <v>17</v>
      </c>
      <c r="B25" s="56" t="s">
        <v>45</v>
      </c>
      <c r="C25" s="45"/>
      <c r="D25" s="46"/>
      <c r="E25" s="84">
        <f>IF(D25&gt;'დასაშვები აქტივების სტრუქტურა'!$G$20,'დასაშვები აქტივების სტრუქტურა'!$G$20,D25)</f>
        <v>0</v>
      </c>
      <c r="F25" s="47"/>
    </row>
    <row r="26" spans="1:6" s="48" customFormat="1">
      <c r="A26" s="44">
        <v>18</v>
      </c>
      <c r="B26" s="56" t="s">
        <v>45</v>
      </c>
      <c r="C26" s="45"/>
      <c r="D26" s="46"/>
      <c r="E26" s="84">
        <f>IF(D26&gt;'დასაშვები აქტივების სტრუქტურა'!$G$20,'დასაშვები აქტივების სტრუქტურა'!$G$20,D26)</f>
        <v>0</v>
      </c>
      <c r="F26" s="47"/>
    </row>
    <row r="27" spans="1:6" s="48" customFormat="1">
      <c r="A27" s="44">
        <v>19</v>
      </c>
      <c r="B27" s="56" t="s">
        <v>45</v>
      </c>
      <c r="C27" s="45"/>
      <c r="D27" s="46"/>
      <c r="E27" s="84">
        <f>IF(D27&gt;'დასაშვები აქტივების სტრუქტურა'!$G$20,'დასაშვები აქტივების სტრუქტურა'!$G$20,D27)</f>
        <v>0</v>
      </c>
      <c r="F27" s="47"/>
    </row>
    <row r="28" spans="1:6" s="48" customFormat="1">
      <c r="A28" s="44">
        <v>20</v>
      </c>
      <c r="B28" s="56" t="s">
        <v>45</v>
      </c>
      <c r="C28" s="45"/>
      <c r="D28" s="46"/>
      <c r="E28" s="84">
        <f>IF(D28&gt;'დასაშვები აქტივების სტრუქტურა'!$G$20,'დასაშვები აქტივების სტრუქტურა'!$G$20,D28)</f>
        <v>0</v>
      </c>
      <c r="F28" s="47"/>
    </row>
    <row r="29" spans="1:6" s="35" customFormat="1" ht="18">
      <c r="A29" s="50"/>
      <c r="B29" s="50" t="s">
        <v>70</v>
      </c>
      <c r="C29" s="50"/>
      <c r="D29" s="51">
        <f>SUM(D9:D28)</f>
        <v>0</v>
      </c>
      <c r="E29" s="51">
        <f>IF(SUM(E9:E28)&gt;'დასაშვები აქტივების სტრუქტურა'!$E$20,'დასაშვები აქტივების სტრუქტურა'!$E$20,SUM(E9:E28))</f>
        <v>0</v>
      </c>
      <c r="F29" s="55"/>
    </row>
    <row r="31" spans="1:6" s="54" customFormat="1" ht="31.5" customHeight="1">
      <c r="A31" s="270" t="s">
        <v>115</v>
      </c>
      <c r="B31" s="270"/>
      <c r="C31" s="270"/>
      <c r="D31" s="270"/>
      <c r="E31" s="270"/>
    </row>
    <row r="33" spans="1:5" ht="15.75">
      <c r="A33" s="37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B33" s="37"/>
      <c r="C33" s="37"/>
      <c r="D33" s="3"/>
    </row>
    <row r="34" spans="1:5" ht="15.75">
      <c r="A34" s="37" t="str">
        <f>რეზერვები!B52</f>
        <v xml:space="preserve">                                                                                                      (სახელი გვარი)</v>
      </c>
      <c r="B34" s="37"/>
      <c r="C34" s="37"/>
      <c r="D34" s="3"/>
      <c r="E34" s="54"/>
    </row>
    <row r="35" spans="1:5" ht="15.75">
      <c r="A35" s="37"/>
      <c r="B35" s="37"/>
      <c r="C35" s="37"/>
      <c r="D35" s="3"/>
    </row>
    <row r="36" spans="1:5" ht="15.75">
      <c r="A36" s="37"/>
      <c r="B36" s="37"/>
      <c r="C36" s="37"/>
      <c r="D36" s="3"/>
    </row>
    <row r="37" spans="1:5" ht="15.75">
      <c r="A37" s="37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B37" s="37"/>
      <c r="C37" s="37"/>
      <c r="D37" s="3"/>
    </row>
    <row r="38" spans="1:5" ht="15.75">
      <c r="A38" s="37" t="str">
        <f>'ინვ. დაქვ. რეზერვ. ოდენობა'!$B$43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38" s="37"/>
      <c r="D38" s="3"/>
    </row>
    <row r="39" spans="1:5">
      <c r="D39" s="3"/>
    </row>
    <row r="40" spans="1:5" ht="15.75">
      <c r="A40" s="37"/>
      <c r="D40" s="3"/>
    </row>
    <row r="41" spans="1:5" ht="15.75">
      <c r="A41" s="3"/>
      <c r="B41" s="38"/>
      <c r="D41" s="3"/>
    </row>
  </sheetData>
  <mergeCells count="1">
    <mergeCell ref="A31:E31"/>
  </mergeCells>
  <phoneticPr fontId="3" type="noConversion"/>
  <pageMargins left="0.19685039370078741" right="0.19685039370078741" top="0.39370078740157483" bottom="0.27559055118110237" header="0.15748031496062992" footer="0.15748031496062992"/>
  <pageSetup scale="8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4" tint="-0.249977111117893"/>
  </sheetPr>
  <dimension ref="A1:F41"/>
  <sheetViews>
    <sheetView zoomScaleNormal="100" workbookViewId="0">
      <pane xSplit="1" ySplit="8" topLeftCell="B24" activePane="bottomRight" state="frozen"/>
      <selection pane="topRight" activeCell="B1" sqref="B1"/>
      <selection pane="bottomLeft" activeCell="A10" sqref="A10"/>
      <selection pane="bottomRight" activeCell="A40" sqref="A40:B41"/>
    </sheetView>
  </sheetViews>
  <sheetFormatPr defaultRowHeight="15"/>
  <cols>
    <col min="1" max="1" width="5.28515625" style="2" customWidth="1"/>
    <col min="2" max="2" width="64.42578125" style="2" customWidth="1"/>
    <col min="3" max="3" width="17.140625" style="2" customWidth="1"/>
    <col min="4" max="4" width="26" style="2" customWidth="1"/>
    <col min="5" max="5" width="23.5703125" style="2" customWidth="1"/>
    <col min="6" max="16384" width="9.140625" style="2"/>
  </cols>
  <sheetData>
    <row r="1" spans="1:6">
      <c r="A1" s="2" t="s">
        <v>137</v>
      </c>
    </row>
    <row r="2" spans="1:6">
      <c r="A2" s="2" t="s">
        <v>90</v>
      </c>
    </row>
    <row r="4" spans="1:6" s="86" customFormat="1" ht="15.75">
      <c r="A4" s="223" t="str">
        <f>რეზერვები!B4</f>
        <v>კომპანიის დასახელება: ___________________________________</v>
      </c>
    </row>
    <row r="5" spans="1:6" s="86" customFormat="1" ht="15.75">
      <c r="A5" s="223" t="str">
        <f>რეზერვები!B5</f>
        <v>საანგარიშო თარიღი:    ___________________________________</v>
      </c>
    </row>
    <row r="6" spans="1:6">
      <c r="E6" s="39" t="s">
        <v>107</v>
      </c>
    </row>
    <row r="7" spans="1:6" ht="57.75" customHeight="1">
      <c r="A7" s="40" t="s">
        <v>13</v>
      </c>
      <c r="B7" s="42" t="s">
        <v>78</v>
      </c>
      <c r="C7" s="42" t="s">
        <v>31</v>
      </c>
      <c r="D7" s="42" t="s">
        <v>118</v>
      </c>
      <c r="E7" s="42" t="s">
        <v>28</v>
      </c>
      <c r="F7" s="43"/>
    </row>
    <row r="8" spans="1:6" ht="15.75" customHeight="1">
      <c r="A8" s="42">
        <v>1</v>
      </c>
      <c r="B8" s="42">
        <v>2</v>
      </c>
      <c r="C8" s="42">
        <v>3</v>
      </c>
      <c r="D8" s="42">
        <v>4</v>
      </c>
      <c r="E8" s="42">
        <v>5</v>
      </c>
      <c r="F8" s="43"/>
    </row>
    <row r="9" spans="1:6" s="48" customFormat="1">
      <c r="A9" s="44">
        <v>1</v>
      </c>
      <c r="B9" s="45" t="s">
        <v>46</v>
      </c>
      <c r="C9" s="45"/>
      <c r="D9" s="46"/>
      <c r="E9" s="84">
        <f>IF(D9&gt;'დასაშვები აქტივების სტრუქტურა'!$G$21,'დასაშვები აქტივების სტრუქტურა'!$G$21,D9)</f>
        <v>0</v>
      </c>
      <c r="F9" s="47"/>
    </row>
    <row r="10" spans="1:6" s="48" customFormat="1">
      <c r="A10" s="44">
        <v>2</v>
      </c>
      <c r="B10" s="45" t="s">
        <v>46</v>
      </c>
      <c r="C10" s="45"/>
      <c r="D10" s="46"/>
      <c r="E10" s="84">
        <f>IF(D10&gt;'დასაშვები აქტივების სტრუქტურა'!$G$21,'დასაშვები აქტივების სტრუქტურა'!$G$21,D10)</f>
        <v>0</v>
      </c>
      <c r="F10" s="47"/>
    </row>
    <row r="11" spans="1:6" s="48" customFormat="1">
      <c r="A11" s="44">
        <v>3</v>
      </c>
      <c r="B11" s="45" t="s">
        <v>46</v>
      </c>
      <c r="C11" s="45"/>
      <c r="D11" s="46"/>
      <c r="E11" s="84">
        <f>IF(D11&gt;'დასაშვები აქტივების სტრუქტურა'!$G$21,'დასაშვები აქტივების სტრუქტურა'!$G$21,D11)</f>
        <v>0</v>
      </c>
      <c r="F11" s="47"/>
    </row>
    <row r="12" spans="1:6" s="48" customFormat="1">
      <c r="A12" s="44">
        <v>4</v>
      </c>
      <c r="B12" s="45" t="s">
        <v>46</v>
      </c>
      <c r="C12" s="45"/>
      <c r="D12" s="46"/>
      <c r="E12" s="84">
        <f>IF(D12&gt;'დასაშვები აქტივების სტრუქტურა'!$G$21,'დასაშვები აქტივების სტრუქტურა'!$G$21,D12)</f>
        <v>0</v>
      </c>
      <c r="F12" s="47"/>
    </row>
    <row r="13" spans="1:6" s="48" customFormat="1">
      <c r="A13" s="44">
        <v>5</v>
      </c>
      <c r="B13" s="45" t="s">
        <v>46</v>
      </c>
      <c r="C13" s="45"/>
      <c r="D13" s="46"/>
      <c r="E13" s="84">
        <f>IF(D13&gt;'დასაშვები აქტივების სტრუქტურა'!$G$21,'დასაშვები აქტივების სტრუქტურა'!$G$21,D13)</f>
        <v>0</v>
      </c>
      <c r="F13" s="47"/>
    </row>
    <row r="14" spans="1:6" s="48" customFormat="1">
      <c r="A14" s="44">
        <v>6</v>
      </c>
      <c r="B14" s="45" t="s">
        <v>46</v>
      </c>
      <c r="C14" s="45"/>
      <c r="D14" s="46"/>
      <c r="E14" s="84">
        <f>IF(D14&gt;'დასაშვები აქტივების სტრუქტურა'!$G$21,'დასაშვები აქტივების სტრუქტურა'!$G$21,D14)</f>
        <v>0</v>
      </c>
      <c r="F14" s="47"/>
    </row>
    <row r="15" spans="1:6" s="48" customFormat="1">
      <c r="A15" s="44">
        <v>7</v>
      </c>
      <c r="B15" s="45" t="s">
        <v>46</v>
      </c>
      <c r="C15" s="45"/>
      <c r="D15" s="46"/>
      <c r="E15" s="84">
        <f>IF(D15&gt;'დასაშვები აქტივების სტრუქტურა'!$G$21,'დასაშვები აქტივების სტრუქტურა'!$G$21,D15)</f>
        <v>0</v>
      </c>
      <c r="F15" s="47"/>
    </row>
    <row r="16" spans="1:6" s="48" customFormat="1">
      <c r="A16" s="44">
        <v>8</v>
      </c>
      <c r="B16" s="45" t="s">
        <v>46</v>
      </c>
      <c r="C16" s="45"/>
      <c r="D16" s="46"/>
      <c r="E16" s="84">
        <f>IF(D16&gt;'დასაშვები აქტივების სტრუქტურა'!$G$21,'დასაშვები აქტივების სტრუქტურა'!$G$21,D16)</f>
        <v>0</v>
      </c>
      <c r="F16" s="47"/>
    </row>
    <row r="17" spans="1:6" s="48" customFormat="1">
      <c r="A17" s="44">
        <v>9</v>
      </c>
      <c r="B17" s="45" t="s">
        <v>46</v>
      </c>
      <c r="C17" s="45"/>
      <c r="D17" s="46"/>
      <c r="E17" s="84">
        <f>IF(D17&gt;'დასაშვები აქტივების სტრუქტურა'!$G$21,'დასაშვები აქტივების სტრუქტურა'!$G$21,D17)</f>
        <v>0</v>
      </c>
      <c r="F17" s="47"/>
    </row>
    <row r="18" spans="1:6" s="48" customFormat="1">
      <c r="A18" s="44">
        <v>10</v>
      </c>
      <c r="B18" s="45" t="s">
        <v>46</v>
      </c>
      <c r="C18" s="45"/>
      <c r="D18" s="46"/>
      <c r="E18" s="84">
        <f>IF(D18&gt;'დასაშვები აქტივების სტრუქტურა'!$G$21,'დასაშვები აქტივების სტრუქტურა'!$G$21,D18)</f>
        <v>0</v>
      </c>
      <c r="F18" s="47"/>
    </row>
    <row r="19" spans="1:6" s="48" customFormat="1">
      <c r="A19" s="44">
        <v>11</v>
      </c>
      <c r="B19" s="45" t="s">
        <v>46</v>
      </c>
      <c r="C19" s="45"/>
      <c r="D19" s="46"/>
      <c r="E19" s="84">
        <f>IF(D19&gt;'დასაშვები აქტივების სტრუქტურა'!$G$21,'დასაშვები აქტივების სტრუქტურა'!$G$21,D19)</f>
        <v>0</v>
      </c>
      <c r="F19" s="47"/>
    </row>
    <row r="20" spans="1:6" s="48" customFormat="1">
      <c r="A20" s="44">
        <v>12</v>
      </c>
      <c r="B20" s="45" t="s">
        <v>46</v>
      </c>
      <c r="C20" s="45"/>
      <c r="D20" s="46"/>
      <c r="E20" s="84">
        <f>IF(D20&gt;'დასაშვები აქტივების სტრუქტურა'!$G$21,'დასაშვები აქტივების სტრუქტურა'!$G$21,D20)</f>
        <v>0</v>
      </c>
      <c r="F20" s="47"/>
    </row>
    <row r="21" spans="1:6" s="48" customFormat="1">
      <c r="A21" s="44">
        <v>13</v>
      </c>
      <c r="B21" s="45" t="s">
        <v>46</v>
      </c>
      <c r="C21" s="45"/>
      <c r="D21" s="46"/>
      <c r="E21" s="84">
        <f>IF(D21&gt;'დასაშვები აქტივების სტრუქტურა'!$G$21,'დასაშვები აქტივების სტრუქტურა'!$G$21,D21)</f>
        <v>0</v>
      </c>
      <c r="F21" s="47"/>
    </row>
    <row r="22" spans="1:6" s="48" customFormat="1">
      <c r="A22" s="44">
        <v>14</v>
      </c>
      <c r="B22" s="45" t="s">
        <v>46</v>
      </c>
      <c r="C22" s="45"/>
      <c r="D22" s="46"/>
      <c r="E22" s="84">
        <f>IF(D22&gt;'დასაშვები აქტივების სტრუქტურა'!$G$21,'დასაშვები აქტივების სტრუქტურა'!$G$21,D22)</f>
        <v>0</v>
      </c>
      <c r="F22" s="47"/>
    </row>
    <row r="23" spans="1:6" s="48" customFormat="1">
      <c r="A23" s="44">
        <v>15</v>
      </c>
      <c r="B23" s="45" t="s">
        <v>46</v>
      </c>
      <c r="C23" s="45"/>
      <c r="D23" s="46"/>
      <c r="E23" s="84">
        <f>IF(D23&gt;'დასაშვები აქტივების სტრუქტურა'!$G$21,'დასაშვები აქტივების სტრუქტურა'!$G$21,D23)</f>
        <v>0</v>
      </c>
      <c r="F23" s="47"/>
    </row>
    <row r="24" spans="1:6" s="48" customFormat="1">
      <c r="A24" s="44">
        <v>16</v>
      </c>
      <c r="B24" s="45" t="s">
        <v>46</v>
      </c>
      <c r="C24" s="45"/>
      <c r="D24" s="46"/>
      <c r="E24" s="84">
        <f>IF(D24&gt;'დასაშვები აქტივების სტრუქტურა'!$G$21,'დასაშვები აქტივების სტრუქტურა'!$G$21,D24)</f>
        <v>0</v>
      </c>
      <c r="F24" s="47"/>
    </row>
    <row r="25" spans="1:6" s="48" customFormat="1">
      <c r="A25" s="44">
        <v>17</v>
      </c>
      <c r="B25" s="45" t="s">
        <v>46</v>
      </c>
      <c r="C25" s="45"/>
      <c r="D25" s="46"/>
      <c r="E25" s="84">
        <f>IF(D25&gt;'დასაშვები აქტივების სტრუქტურა'!$G$21,'დასაშვები აქტივების სტრუქტურა'!$G$21,D25)</f>
        <v>0</v>
      </c>
      <c r="F25" s="47"/>
    </row>
    <row r="26" spans="1:6" s="48" customFormat="1">
      <c r="A26" s="44">
        <v>18</v>
      </c>
      <c r="B26" s="45" t="s">
        <v>46</v>
      </c>
      <c r="C26" s="45"/>
      <c r="D26" s="46"/>
      <c r="E26" s="84">
        <f>IF(D26&gt;'დასაშვები აქტივების სტრუქტურა'!$G$21,'დასაშვები აქტივების სტრუქტურა'!$G$21,D26)</f>
        <v>0</v>
      </c>
      <c r="F26" s="47"/>
    </row>
    <row r="27" spans="1:6" s="48" customFormat="1">
      <c r="A27" s="44">
        <v>19</v>
      </c>
      <c r="B27" s="45" t="s">
        <v>46</v>
      </c>
      <c r="C27" s="45"/>
      <c r="D27" s="46"/>
      <c r="E27" s="84">
        <f>IF(D27&gt;'დასაშვები აქტივების სტრუქტურა'!$G$21,'დასაშვები აქტივების სტრუქტურა'!$G$21,D27)</f>
        <v>0</v>
      </c>
      <c r="F27" s="47"/>
    </row>
    <row r="28" spans="1:6" s="48" customFormat="1">
      <c r="A28" s="44">
        <v>20</v>
      </c>
      <c r="B28" s="45" t="s">
        <v>46</v>
      </c>
      <c r="C28" s="45"/>
      <c r="D28" s="46"/>
      <c r="E28" s="84">
        <f>IF(D28&gt;'დასაშვები აქტივების სტრუქტურა'!$G$21,'დასაშვები აქტივების სტრუქტურა'!$G$21,D28)</f>
        <v>0</v>
      </c>
      <c r="F28" s="47"/>
    </row>
    <row r="29" spans="1:6" s="35" customFormat="1" ht="18">
      <c r="A29" s="50"/>
      <c r="B29" s="50" t="s">
        <v>70</v>
      </c>
      <c r="C29" s="50"/>
      <c r="D29" s="51">
        <f>SUM(D9:D28)</f>
        <v>0</v>
      </c>
      <c r="E29" s="51">
        <f>IF(SUM(E9:E28)&gt;'დასაშვები აქტივების სტრუქტურა'!$E$21,'დასაშვები აქტივების სტრუქტურა'!$E$21,SUM(E9:E28))</f>
        <v>0</v>
      </c>
      <c r="F29" s="55"/>
    </row>
    <row r="31" spans="1:6" s="54" customFormat="1" ht="31.5" customHeight="1">
      <c r="A31" s="270" t="s">
        <v>115</v>
      </c>
      <c r="B31" s="270"/>
      <c r="C31" s="270"/>
      <c r="D31" s="270"/>
      <c r="E31" s="270"/>
    </row>
    <row r="33" spans="1:5" ht="15.75">
      <c r="A33" s="37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B33" s="37"/>
      <c r="C33" s="37"/>
      <c r="D33" s="3"/>
    </row>
    <row r="34" spans="1:5" ht="15.75">
      <c r="A34" s="37" t="str">
        <f>რეზერვები!B52</f>
        <v xml:space="preserve">                                                                                                      (სახელი გვარი)</v>
      </c>
      <c r="B34" s="37"/>
      <c r="C34" s="37"/>
      <c r="D34" s="3"/>
      <c r="E34" s="54"/>
    </row>
    <row r="35" spans="1:5" ht="15.75">
      <c r="A35" s="37"/>
      <c r="B35" s="37"/>
      <c r="C35" s="37"/>
      <c r="D35" s="3"/>
    </row>
    <row r="36" spans="1:5" ht="15.75">
      <c r="A36" s="37"/>
      <c r="B36" s="37"/>
      <c r="C36" s="37"/>
      <c r="D36" s="3"/>
    </row>
    <row r="37" spans="1:5" ht="15.75">
      <c r="A37" s="37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B37" s="37"/>
      <c r="C37" s="37"/>
      <c r="D37" s="3"/>
    </row>
    <row r="38" spans="1:5" ht="15.75">
      <c r="A38" s="37"/>
      <c r="B38" s="37" t="str">
        <f>'ინვ. დაქვ. რეზერვ. ოდენობა'!$B$43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38" s="37"/>
      <c r="D38" s="3"/>
    </row>
    <row r="39" spans="1:5">
      <c r="D39" s="3"/>
    </row>
    <row r="40" spans="1:5" ht="15.75">
      <c r="A40" s="37"/>
      <c r="D40" s="3"/>
    </row>
    <row r="41" spans="1:5" ht="15.75">
      <c r="A41" s="3"/>
      <c r="B41" s="38"/>
      <c r="D41" s="3"/>
    </row>
  </sheetData>
  <mergeCells count="1">
    <mergeCell ref="A31:E31"/>
  </mergeCells>
  <phoneticPr fontId="3" type="noConversion"/>
  <pageMargins left="0.19685039370078741" right="0.19685039370078741" top="0.39370078740157483" bottom="0.27559055118110237" header="0.15748031496062992" footer="0.15748031496062992"/>
  <pageSetup scale="8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theme="4" tint="-0.249977111117893"/>
  </sheetPr>
  <dimension ref="A1:F42"/>
  <sheetViews>
    <sheetView zoomScaleNormal="100" workbookViewId="0">
      <pane xSplit="1" ySplit="8" topLeftCell="B9" activePane="bottomRight" state="frozen"/>
      <selection pane="topRight" activeCell="B1" sqref="B1"/>
      <selection pane="bottomLeft" activeCell="A10" sqref="A10"/>
      <selection pane="bottomRight" activeCell="E10" sqref="E10"/>
    </sheetView>
  </sheetViews>
  <sheetFormatPr defaultRowHeight="15"/>
  <cols>
    <col min="1" max="1" width="4.85546875" style="2" customWidth="1"/>
    <col min="2" max="2" width="64.42578125" style="2" customWidth="1"/>
    <col min="3" max="3" width="17" style="2" customWidth="1"/>
    <col min="4" max="4" width="26" style="2" customWidth="1"/>
    <col min="5" max="5" width="22.28515625" style="2" customWidth="1"/>
    <col min="6" max="16384" width="9.140625" style="2"/>
  </cols>
  <sheetData>
    <row r="1" spans="1:6">
      <c r="A1" s="2" t="s">
        <v>138</v>
      </c>
    </row>
    <row r="2" spans="1:6">
      <c r="A2" s="2" t="s">
        <v>89</v>
      </c>
    </row>
    <row r="4" spans="1:6" s="86" customFormat="1" ht="15.75">
      <c r="A4" s="223" t="str">
        <f>რეზერვები!B4</f>
        <v>კომპანიის დასახელება: ___________________________________</v>
      </c>
    </row>
    <row r="5" spans="1:6" s="86" customFormat="1" ht="15.75">
      <c r="A5" s="223" t="str">
        <f>რეზერვები!B5</f>
        <v>საანგარიშო თარიღი:    ___________________________________</v>
      </c>
    </row>
    <row r="6" spans="1:6">
      <c r="E6" s="39" t="s">
        <v>107</v>
      </c>
    </row>
    <row r="7" spans="1:6" ht="75.75" customHeight="1">
      <c r="A7" s="40" t="s">
        <v>14</v>
      </c>
      <c r="B7" s="41" t="s">
        <v>108</v>
      </c>
      <c r="C7" s="42" t="s">
        <v>32</v>
      </c>
      <c r="D7" s="42" t="s">
        <v>118</v>
      </c>
      <c r="E7" s="42" t="s">
        <v>28</v>
      </c>
      <c r="F7" s="43"/>
    </row>
    <row r="8" spans="1:6" ht="15.75" customHeight="1">
      <c r="A8" s="42">
        <v>1</v>
      </c>
      <c r="B8" s="42">
        <v>2</v>
      </c>
      <c r="C8" s="42">
        <v>3</v>
      </c>
      <c r="D8" s="42">
        <v>4</v>
      </c>
      <c r="E8" s="42">
        <v>5</v>
      </c>
      <c r="F8" s="43"/>
    </row>
    <row r="9" spans="1:6" s="48" customFormat="1">
      <c r="A9" s="44">
        <v>1</v>
      </c>
      <c r="B9" s="45" t="s">
        <v>33</v>
      </c>
      <c r="C9" s="45"/>
      <c r="D9" s="46"/>
      <c r="E9" s="84">
        <f>IF(D9&gt;'დასაშვები აქტივების სტრუქტურა'!$G$22,'დასაშვები აქტივების სტრუქტურა'!$G$22,D9)</f>
        <v>0</v>
      </c>
      <c r="F9" s="47"/>
    </row>
    <row r="10" spans="1:6" s="48" customFormat="1">
      <c r="A10" s="44">
        <v>2</v>
      </c>
      <c r="B10" s="45" t="s">
        <v>46</v>
      </c>
      <c r="C10" s="45"/>
      <c r="D10" s="46"/>
      <c r="E10" s="84">
        <f>IF(D10&gt;'დასაშვები აქტივების სტრუქტურა'!$G$23,'დასაშვები აქტივების სტრუქტურა'!$G$23,D10)</f>
        <v>0</v>
      </c>
      <c r="F10" s="47"/>
    </row>
    <row r="11" spans="1:6" s="48" customFormat="1">
      <c r="A11" s="44">
        <v>3</v>
      </c>
      <c r="B11" s="45" t="s">
        <v>46</v>
      </c>
      <c r="C11" s="45"/>
      <c r="D11" s="46"/>
      <c r="E11" s="84">
        <f>IF(D11&gt;'დასაშვები აქტივების სტრუქტურა'!$G$23,'დასაშვები აქტივების სტრუქტურა'!$G$23,D11)</f>
        <v>0</v>
      </c>
      <c r="F11" s="47"/>
    </row>
    <row r="12" spans="1:6" s="48" customFormat="1">
      <c r="A12" s="44">
        <v>4</v>
      </c>
      <c r="B12" s="45" t="s">
        <v>46</v>
      </c>
      <c r="C12" s="45"/>
      <c r="D12" s="46"/>
      <c r="E12" s="84">
        <f>IF(D12&gt;'დასაშვები აქტივების სტრუქტურა'!$G$23,'დასაშვები აქტივების სტრუქტურა'!$G$23,D12)</f>
        <v>0</v>
      </c>
      <c r="F12" s="47"/>
    </row>
    <row r="13" spans="1:6" s="48" customFormat="1">
      <c r="A13" s="44">
        <v>5</v>
      </c>
      <c r="B13" s="45" t="s">
        <v>46</v>
      </c>
      <c r="C13" s="45"/>
      <c r="D13" s="46"/>
      <c r="E13" s="84">
        <f>IF(D13&gt;'დასაშვები აქტივების სტრუქტურა'!$G$23,'დასაშვები აქტივების სტრუქტურა'!$G$23,D13)</f>
        <v>0</v>
      </c>
      <c r="F13" s="47"/>
    </row>
    <row r="14" spans="1:6" s="48" customFormat="1">
      <c r="A14" s="44">
        <v>6</v>
      </c>
      <c r="B14" s="45" t="s">
        <v>46</v>
      </c>
      <c r="C14" s="45"/>
      <c r="D14" s="46"/>
      <c r="E14" s="84">
        <f>IF(D14&gt;'დასაშვები აქტივების სტრუქტურა'!$G$23,'დასაშვები აქტივების სტრუქტურა'!$G$23,D14)</f>
        <v>0</v>
      </c>
      <c r="F14" s="47"/>
    </row>
    <row r="15" spans="1:6" s="48" customFormat="1">
      <c r="A15" s="44">
        <v>7</v>
      </c>
      <c r="B15" s="45" t="s">
        <v>46</v>
      </c>
      <c r="C15" s="45"/>
      <c r="D15" s="46"/>
      <c r="E15" s="84">
        <f>IF(D15&gt;'დასაშვები აქტივების სტრუქტურა'!$G$23,'დასაშვები აქტივების სტრუქტურა'!$G$23,D15)</f>
        <v>0</v>
      </c>
      <c r="F15" s="47"/>
    </row>
    <row r="16" spans="1:6" s="48" customFormat="1">
      <c r="A16" s="44">
        <v>8</v>
      </c>
      <c r="B16" s="45" t="s">
        <v>46</v>
      </c>
      <c r="C16" s="45"/>
      <c r="D16" s="46"/>
      <c r="E16" s="84">
        <f>IF(D16&gt;'დასაშვები აქტივების სტრუქტურა'!$G$23,'დასაშვები აქტივების სტრუქტურა'!$G$23,D16)</f>
        <v>0</v>
      </c>
      <c r="F16" s="47"/>
    </row>
    <row r="17" spans="1:6" s="48" customFormat="1">
      <c r="A17" s="44">
        <v>9</v>
      </c>
      <c r="B17" s="45" t="s">
        <v>46</v>
      </c>
      <c r="C17" s="45"/>
      <c r="D17" s="46"/>
      <c r="E17" s="84">
        <f>IF(D17&gt;'დასაშვები აქტივების სტრუქტურა'!$G$23,'დასაშვები აქტივების სტრუქტურა'!$G$23,D17)</f>
        <v>0</v>
      </c>
      <c r="F17" s="47"/>
    </row>
    <row r="18" spans="1:6" s="48" customFormat="1">
      <c r="A18" s="44">
        <v>10</v>
      </c>
      <c r="B18" s="45" t="s">
        <v>46</v>
      </c>
      <c r="C18" s="45"/>
      <c r="D18" s="46"/>
      <c r="E18" s="84">
        <f>IF(D18&gt;'დასაშვები აქტივების სტრუქტურა'!$G$23,'დასაშვები აქტივების სტრუქტურა'!$G$23,D18)</f>
        <v>0</v>
      </c>
      <c r="F18" s="47"/>
    </row>
    <row r="19" spans="1:6" s="48" customFormat="1">
      <c r="A19" s="44">
        <v>11</v>
      </c>
      <c r="B19" s="45" t="s">
        <v>46</v>
      </c>
      <c r="C19" s="45"/>
      <c r="D19" s="46"/>
      <c r="E19" s="84">
        <f>IF(D19&gt;'დასაშვები აქტივების სტრუქტურა'!$G$23,'დასაშვები აქტივების სტრუქტურა'!$G$23,D19)</f>
        <v>0</v>
      </c>
      <c r="F19" s="47"/>
    </row>
    <row r="20" spans="1:6" s="48" customFormat="1">
      <c r="A20" s="44">
        <v>12</v>
      </c>
      <c r="B20" s="45" t="s">
        <v>46</v>
      </c>
      <c r="C20" s="45"/>
      <c r="D20" s="46"/>
      <c r="E20" s="84">
        <f>IF(D20&gt;'დასაშვები აქტივების სტრუქტურა'!$G$23,'დასაშვები აქტივების სტრუქტურა'!$G$23,D20)</f>
        <v>0</v>
      </c>
      <c r="F20" s="47"/>
    </row>
    <row r="21" spans="1:6" s="48" customFormat="1">
      <c r="A21" s="44">
        <v>13</v>
      </c>
      <c r="B21" s="45" t="s">
        <v>46</v>
      </c>
      <c r="C21" s="45"/>
      <c r="D21" s="46"/>
      <c r="E21" s="84">
        <f>IF(D21&gt;'დასაშვები აქტივების სტრუქტურა'!$G$23,'დასაშვები აქტივების სტრუქტურა'!$G$23,D21)</f>
        <v>0</v>
      </c>
      <c r="F21" s="47"/>
    </row>
    <row r="22" spans="1:6" s="48" customFormat="1">
      <c r="A22" s="44">
        <v>14</v>
      </c>
      <c r="B22" s="45" t="s">
        <v>46</v>
      </c>
      <c r="C22" s="45"/>
      <c r="D22" s="46"/>
      <c r="E22" s="84">
        <f>IF(D22&gt;'დასაშვები აქტივების სტრუქტურა'!$G$23,'დასაშვები აქტივების სტრუქტურა'!$G$23,D22)</f>
        <v>0</v>
      </c>
      <c r="F22" s="47"/>
    </row>
    <row r="23" spans="1:6" s="48" customFormat="1">
      <c r="A23" s="44">
        <v>15</v>
      </c>
      <c r="B23" s="45" t="s">
        <v>46</v>
      </c>
      <c r="C23" s="45"/>
      <c r="D23" s="46"/>
      <c r="E23" s="84">
        <f>IF(D23&gt;'დასაშვები აქტივების სტრუქტურა'!$G$23,'დასაშვები აქტივების სტრუქტურა'!$G$23,D23)</f>
        <v>0</v>
      </c>
      <c r="F23" s="47"/>
    </row>
    <row r="24" spans="1:6" s="48" customFormat="1">
      <c r="A24" s="44">
        <v>16</v>
      </c>
      <c r="B24" s="45" t="s">
        <v>46</v>
      </c>
      <c r="C24" s="45"/>
      <c r="D24" s="46"/>
      <c r="E24" s="84">
        <f>IF(D24&gt;'დასაშვები აქტივების სტრუქტურა'!$G$23,'დასაშვები აქტივების სტრუქტურა'!$G$23,D24)</f>
        <v>0</v>
      </c>
      <c r="F24" s="47"/>
    </row>
    <row r="25" spans="1:6" s="48" customFormat="1">
      <c r="A25" s="44">
        <v>17</v>
      </c>
      <c r="B25" s="45" t="s">
        <v>46</v>
      </c>
      <c r="C25" s="45"/>
      <c r="D25" s="46"/>
      <c r="E25" s="84">
        <f>IF(D25&gt;'დასაშვები აქტივების სტრუქტურა'!$G$23,'დასაშვები აქტივების სტრუქტურა'!$G$23,D25)</f>
        <v>0</v>
      </c>
      <c r="F25" s="47"/>
    </row>
    <row r="26" spans="1:6" s="48" customFormat="1">
      <c r="A26" s="44">
        <v>18</v>
      </c>
      <c r="B26" s="45" t="s">
        <v>46</v>
      </c>
      <c r="C26" s="45"/>
      <c r="D26" s="46"/>
      <c r="E26" s="84">
        <f>IF(D26&gt;'დასაშვები აქტივების სტრუქტურა'!$G$23,'დასაშვები აქტივების სტრუქტურა'!$G$23,D26)</f>
        <v>0</v>
      </c>
      <c r="F26" s="47"/>
    </row>
    <row r="27" spans="1:6" s="48" customFormat="1">
      <c r="A27" s="44">
        <v>19</v>
      </c>
      <c r="B27" s="45" t="s">
        <v>46</v>
      </c>
      <c r="C27" s="45"/>
      <c r="D27" s="46"/>
      <c r="E27" s="84">
        <f>IF(D27&gt;'დასაშვები აქტივების სტრუქტურა'!$G$23,'დასაშვები აქტივების სტრუქტურა'!$G$23,D27)</f>
        <v>0</v>
      </c>
      <c r="F27" s="47"/>
    </row>
    <row r="28" spans="1:6" s="48" customFormat="1">
      <c r="A28" s="44">
        <v>20</v>
      </c>
      <c r="B28" s="45" t="s">
        <v>46</v>
      </c>
      <c r="C28" s="45"/>
      <c r="D28" s="46"/>
      <c r="E28" s="84">
        <f>IF(D28&gt;'დასაშვები აქტივების სტრუქტურა'!$G$23,'დასაშვები აქტივების სტრუქტურა'!$G$23,D28)</f>
        <v>0</v>
      </c>
      <c r="F28" s="47"/>
    </row>
    <row r="29" spans="1:6" s="35" customFormat="1" ht="18">
      <c r="A29" s="49">
        <f>'დასაშვები აქტივების სტრუქტურა'!I22</f>
        <v>0</v>
      </c>
      <c r="B29" s="50" t="s">
        <v>70</v>
      </c>
      <c r="C29" s="50"/>
      <c r="D29" s="51">
        <f>SUM(D9:D28)</f>
        <v>0</v>
      </c>
      <c r="E29" s="51">
        <f>IF(SUM(E9:E28)&gt;'დასაშვები აქტივების სტრუქტურა'!$E$23,'დასაშვები აქტივების სტრუქტურა'!$E$23,SUM(E9:E28))</f>
        <v>0</v>
      </c>
      <c r="F29" s="52"/>
    </row>
    <row r="30" spans="1:6">
      <c r="E30" s="53"/>
    </row>
    <row r="31" spans="1:6" s="54" customFormat="1" ht="31.5" customHeight="1">
      <c r="A31" s="270" t="s">
        <v>116</v>
      </c>
      <c r="B31" s="270"/>
      <c r="C31" s="270"/>
      <c r="D31" s="270"/>
      <c r="E31" s="270"/>
    </row>
    <row r="32" spans="1:6" s="54" customFormat="1" ht="29.25" customHeight="1">
      <c r="A32" s="270" t="s">
        <v>80</v>
      </c>
      <c r="B32" s="270"/>
      <c r="C32" s="270"/>
      <c r="D32" s="270"/>
      <c r="E32" s="270"/>
    </row>
    <row r="34" spans="1:5" ht="15.75">
      <c r="A34" s="37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B34" s="37"/>
      <c r="C34" s="37"/>
      <c r="D34" s="3"/>
    </row>
    <row r="35" spans="1:5" ht="15.75">
      <c r="A35" s="37" t="str">
        <f>რეზერვები!B52</f>
        <v xml:space="preserve">                                                                                                      (სახელი გვარი)</v>
      </c>
      <c r="B35" s="37"/>
      <c r="C35" s="37"/>
      <c r="D35" s="3"/>
      <c r="E35" s="54"/>
    </row>
    <row r="36" spans="1:5" ht="15.75">
      <c r="A36" s="37"/>
      <c r="B36" s="37"/>
      <c r="C36" s="37"/>
      <c r="D36" s="3"/>
    </row>
    <row r="37" spans="1:5" ht="15.75">
      <c r="A37" s="37"/>
      <c r="B37" s="37"/>
      <c r="C37" s="37"/>
      <c r="D37" s="3"/>
    </row>
    <row r="38" spans="1:5" ht="15.75">
      <c r="A38" s="37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B38" s="37"/>
      <c r="C38" s="37"/>
      <c r="D38" s="3"/>
    </row>
    <row r="39" spans="1:5" ht="15.75">
      <c r="A39" s="37"/>
      <c r="B39" s="37" t="str">
        <f>'ინვ. დაქვ. რეზერვ. ოდენობა'!$B$43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C39" s="37"/>
      <c r="D39" s="3"/>
    </row>
    <row r="40" spans="1:5">
      <c r="D40" s="3"/>
    </row>
    <row r="41" spans="1:5" ht="15.75">
      <c r="A41" s="37"/>
      <c r="D41" s="3"/>
    </row>
    <row r="42" spans="1:5" ht="15.75">
      <c r="A42" s="3"/>
      <c r="B42" s="38"/>
      <c r="D42" s="3"/>
    </row>
  </sheetData>
  <mergeCells count="2">
    <mergeCell ref="A31:E31"/>
    <mergeCell ref="A32:E32"/>
  </mergeCells>
  <phoneticPr fontId="3" type="noConversion"/>
  <conditionalFormatting sqref="E29">
    <cfRule type="cellIs" dxfId="1" priority="1" stopIfTrue="1" operator="lessThan">
      <formula>$A$29</formula>
    </cfRule>
  </conditionalFormatting>
  <pageMargins left="0.19685039370078741" right="0.19685039370078741" top="0.39370078740157483" bottom="0.27559055118110237" header="0.15748031496062992" footer="0.15748031496062992"/>
  <pageSetup scale="78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1:G36"/>
  <sheetViews>
    <sheetView zoomScale="80" zoomScaleNormal="80" workbookViewId="0">
      <pane xSplit="2" ySplit="7" topLeftCell="C15" activePane="bottomRight" state="frozen"/>
      <selection pane="topRight" activeCell="C1" sqref="C1"/>
      <selection pane="bottomLeft" activeCell="A9" sqref="A9"/>
      <selection pane="bottomRight" activeCell="E22" sqref="E22"/>
    </sheetView>
  </sheetViews>
  <sheetFormatPr defaultRowHeight="15"/>
  <cols>
    <col min="1" max="1" width="2.140625" style="115" customWidth="1"/>
    <col min="2" max="2" width="5.42578125" style="115" customWidth="1"/>
    <col min="3" max="3" width="98.140625" style="115" customWidth="1"/>
    <col min="4" max="4" width="24.28515625" style="115" customWidth="1"/>
    <col min="5" max="5" width="24.5703125" style="115" customWidth="1"/>
    <col min="6" max="16384" width="9.140625" style="115"/>
  </cols>
  <sheetData>
    <row r="1" spans="2:7">
      <c r="B1" s="226" t="s">
        <v>125</v>
      </c>
    </row>
    <row r="2" spans="2:7" ht="38.25" customHeight="1">
      <c r="B2" s="274" t="s">
        <v>126</v>
      </c>
      <c r="C2" s="274"/>
      <c r="D2" s="274"/>
      <c r="E2" s="274"/>
    </row>
    <row r="4" spans="2:7" s="86" customFormat="1" ht="15.75">
      <c r="B4" s="223" t="str">
        <f>რეზერვები!B4</f>
        <v>კომპანიის დასახელება: ___________________________________</v>
      </c>
    </row>
    <row r="5" spans="2:7" s="86" customFormat="1" ht="15.75">
      <c r="B5" s="223" t="str">
        <f>რეზერვები!B5</f>
        <v>საანგარიშო თარიღი:    ___________________________________</v>
      </c>
    </row>
    <row r="6" spans="2:7" ht="15.75" thickBot="1">
      <c r="E6" s="117" t="s">
        <v>107</v>
      </c>
    </row>
    <row r="7" spans="2:7" ht="94.5" customHeight="1" thickBot="1">
      <c r="B7" s="225" t="s">
        <v>15</v>
      </c>
      <c r="C7" s="118" t="s">
        <v>41</v>
      </c>
      <c r="D7" s="119" t="s">
        <v>87</v>
      </c>
      <c r="E7" s="119" t="s">
        <v>88</v>
      </c>
    </row>
    <row r="8" spans="2:7" s="123" customFormat="1" ht="30.75" thickBot="1">
      <c r="B8" s="120" t="str">
        <f>'A1'!A7</f>
        <v>A1</v>
      </c>
      <c r="C8" s="121" t="str">
        <f>'A1'!B7</f>
        <v>საქართველოს, "ეგთო"–ს წევრი ქვეყნებისა და/ან განვითარებული ქვეყნების ცენტრალური მთავრობების მიერ გამოშვებული სასესხო ფასიანი ქაღალდები</v>
      </c>
      <c r="D8" s="122">
        <f>'A1'!E29</f>
        <v>0</v>
      </c>
      <c r="E8" s="276">
        <f>IF((D8+D9)&gt;'დასაშვები აქტივების სტრუქტურა'!E10,'დასაშვები აქტივების სტრუქტურა'!E10,D8+D9)</f>
        <v>0</v>
      </c>
    </row>
    <row r="9" spans="2:7" ht="30.75" thickBot="1">
      <c r="B9" s="120" t="str">
        <f>'A2'!A7</f>
        <v>A2</v>
      </c>
      <c r="C9" s="121" t="str">
        <f>'A2'!B7</f>
        <v>"ეგთო"–ს წევრი ქვეყნებისა და/ან განვითარებული ქვეყნების ადგილობრივი თვითმმართველობის ერთეულების შესაბამისი ორგანოების მიერ გამოშვებული სასესხო ფასიანი ქაღალდები</v>
      </c>
      <c r="D9" s="124">
        <f>'A2'!E29</f>
        <v>0</v>
      </c>
      <c r="E9" s="276"/>
    </row>
    <row r="10" spans="2:7" ht="45.75" thickBot="1">
      <c r="B10" s="120" t="str">
        <f>'A3'!A7</f>
        <v>A3</v>
      </c>
      <c r="C10" s="121" t="str">
        <f>'A3'!B7</f>
        <v>სასესხო ფასიანი ქაღალდები (ობლიგაციები) და პრივილეგირებული აქციები, რომელთა მიმოქცევა ხორციელდება საქართველოს, "ეგთო"–ს  წევრი ქვეყნების და/ან განვითარებული ქვეყნების ფასიანი ქაღალდების ორგანიზებულ ბაზარზე</v>
      </c>
      <c r="D10" s="124">
        <f>'A3'!F29</f>
        <v>0</v>
      </c>
      <c r="E10" s="276">
        <f>IF((D10+D11+D12+D13)&gt;'დასაშვები აქტივების სტრუქტურა'!E15,'დასაშვები აქტივების სტრუქტურა'!E15,D10+D11+D12+D13)</f>
        <v>0</v>
      </c>
    </row>
    <row r="11" spans="2:7" ht="60.75" thickBot="1">
      <c r="B11" s="120" t="str">
        <f>'A4'!A7</f>
        <v>A4</v>
      </c>
      <c r="C11" s="121" t="str">
        <f>'A4'!B7</f>
        <v>საქართველოში,  “ეგთო”–ს წევრ ქვეყნებში და/ან განვითარებულ ქვეყნებში რეგისტრირებული იურიდიული პირების მიერ გამოშვებული სასესხო ფასიანი ქაღალდები (ობლიგაციები) და პრივილეგირებული აქციები, რომელთა მიმოქცევა ხორციელდება ფასიანი ქაღალდების ორგანიზებული ბაზრის გარეთ</v>
      </c>
      <c r="D11" s="124">
        <f>'A4'!E29</f>
        <v>0</v>
      </c>
      <c r="E11" s="276"/>
      <c r="G11" s="123"/>
    </row>
    <row r="12" spans="2:7" ht="45.75" thickBot="1">
      <c r="B12" s="120" t="str">
        <f>'A5'!A7</f>
        <v>A5</v>
      </c>
      <c r="C12" s="121" t="str">
        <f>'A5'!B7</f>
        <v>წილობრივი ფასიანი ქაღალდები (გარდა პრივილეგირებული აქციებისა), რომელთა მიმოქცევა ხორციელდება საქართველოს, “ეგთო”–ს წევრი ქვეყნების და/ან განვითარებული ქვეყნების ფასიანი ქაღალდების ორგანიზებულ ბაზარზე</v>
      </c>
      <c r="D12" s="124">
        <f>'A5'!F29</f>
        <v>0</v>
      </c>
      <c r="E12" s="276"/>
    </row>
    <row r="13" spans="2:7" ht="45.75" thickBot="1">
      <c r="B13" s="120" t="str">
        <f>'A6'!A7</f>
        <v>A6</v>
      </c>
      <c r="C13" s="121" t="str">
        <f>'A6'!B7</f>
        <v xml:space="preserve">საქართველოში, “ეგთო”–ს წევრ ქვეყნებში და/ან განვითარებულ ქვეყნებში რეგისტრირებული იურიდიული პირების მიერ გამოშვებული წილობრივი ფასიანი ქაღალდები (გარდა პრივილეგირებული აქციებისა),  რომელთა მიმოქცევა ხორციელდება ფასიანი ქაღალდების ორგანიზებული ბაზრის გარეთ  </v>
      </c>
      <c r="D13" s="124">
        <f>'A6'!E29</f>
        <v>0</v>
      </c>
      <c r="E13" s="276"/>
    </row>
    <row r="14" spans="2:7" ht="30.75" thickBot="1">
      <c r="B14" s="120" t="str">
        <f>'A7'!A7</f>
        <v>A7</v>
      </c>
      <c r="C14" s="121" t="str">
        <f>'A7'!B7</f>
        <v>საქართველოში, “ეგთო”–ს წევრ ქვეყნებში და/ან განვითარებულ ქვეყნებში რეგისტრირებული ქონების უზრუნველყოფით  გაცემული იპოთეკური სესხები</v>
      </c>
      <c r="D14" s="124">
        <f>'A7'!E29</f>
        <v>0</v>
      </c>
      <c r="E14" s="276">
        <f>IF((D14+D15+D16)&gt;'დასაშვები აქტივების სტრუქტურა'!E19,'დასაშვები აქტივების სტრუქტურა'!E19,D14+D15+D16)</f>
        <v>0</v>
      </c>
    </row>
    <row r="15" spans="2:7" ht="30.75" thickBot="1">
      <c r="B15" s="120" t="str">
        <f>'A8'!A7</f>
        <v>A8</v>
      </c>
      <c r="C15" s="121" t="str">
        <f>'A8'!B7</f>
        <v>საქართველოს, "ეგთო"–ს წევრ ქვეყნებისა და/ან განვითარებული ქვეყნების შესაბამისი უფლებამოსილების მქონე ორგანოს მიერ ლიცენზირებული საბანკო დაწესებულებებისათვის გაცემული სესხები</v>
      </c>
      <c r="D15" s="124">
        <f>'A8'!E29</f>
        <v>0</v>
      </c>
      <c r="E15" s="276"/>
      <c r="G15" s="123"/>
    </row>
    <row r="16" spans="2:7" ht="15.75" thickBot="1">
      <c r="B16" s="120" t="str">
        <f>'A9'!A7</f>
        <v>A9</v>
      </c>
      <c r="C16" s="121" t="str">
        <f>'A9'!B7</f>
        <v>სესხები, რომლებიც უზრუნველყოფილია A1 და A2 მიმართულებით განსაზღვრული ფასიანი ქაღალდებით</v>
      </c>
      <c r="D16" s="124">
        <f>'A9'!E29</f>
        <v>0</v>
      </c>
      <c r="E16" s="276"/>
    </row>
    <row r="17" spans="2:5" ht="22.5" customHeight="1" thickBot="1">
      <c r="B17" s="120" t="str">
        <f>'A10'!A7</f>
        <v>A10</v>
      </c>
      <c r="C17" s="121" t="str">
        <f>'A10'!B7</f>
        <v>საქართველოში, “ეგთო”–ს წევრ ქვეყნებში და/ან განვითარებულ ქვეყნებში რეგისტრირებული უძრავი ქონება</v>
      </c>
      <c r="D17" s="124">
        <f>'A10'!E29</f>
        <v>0</v>
      </c>
      <c r="E17" s="125">
        <f>IF(D17&gt;'დასაშვები აქტივების სტრუქტურა'!E20,'დასაშვები აქტივების სტრუქტურა'!E20,D17)</f>
        <v>0</v>
      </c>
    </row>
    <row r="18" spans="2:5" ht="15.75" thickBot="1">
      <c r="B18" s="120" t="str">
        <f>'A11'!A7</f>
        <v>A11</v>
      </c>
      <c r="C18" s="121" t="str">
        <f>'A11'!B7</f>
        <v>დეპოზიტები საბანკო დაწესებულებებში</v>
      </c>
      <c r="D18" s="124">
        <f>'A11'!E29</f>
        <v>0</v>
      </c>
      <c r="E18" s="125">
        <f>IF(D18&gt;'დასაშვები აქტივების სტრუქტურა'!E21,'დასაშვები აქტივების სტრუქტურა'!E21,D18)</f>
        <v>0</v>
      </c>
    </row>
    <row r="19" spans="2:5" ht="15.75" thickBot="1">
      <c r="B19" s="120" t="str">
        <f>'A12'!A7</f>
        <v>A12</v>
      </c>
      <c r="C19" s="121" t="str">
        <f>'A12'!B7</f>
        <v xml:space="preserve">ფული სალაროში და საბანკო დაწესებულებებში გახსნილ მიმდინარე ანგარიშებზე  </v>
      </c>
      <c r="D19" s="124">
        <f>'A12'!E29</f>
        <v>0</v>
      </c>
      <c r="E19" s="125">
        <f>IF(D19&gt;'დასაშვები აქტივების სტრუქტურა'!E23,'დასაშვები აქტივების სტრუქტურა'!E23,D19)</f>
        <v>0</v>
      </c>
    </row>
    <row r="20" spans="2:5" ht="15.75" thickBot="1">
      <c r="B20" s="85">
        <f>'ინვ. დაქვ. რეზერვ. ოდენობა'!D35</f>
        <v>0</v>
      </c>
      <c r="C20" s="126" t="s">
        <v>117</v>
      </c>
      <c r="D20" s="124">
        <f>SUM(D8:D19)</f>
        <v>0</v>
      </c>
      <c r="E20" s="124">
        <f>E8+E10+E14+E17+E18+E19</f>
        <v>0</v>
      </c>
    </row>
    <row r="21" spans="2:5" ht="15.75" thickBot="1">
      <c r="B21" s="127"/>
      <c r="C21" s="128"/>
    </row>
    <row r="22" spans="2:5" ht="31.5" customHeight="1" thickBot="1">
      <c r="B22" s="250" t="s">
        <v>37</v>
      </c>
      <c r="C22" s="272" t="s">
        <v>191</v>
      </c>
      <c r="D22" s="275"/>
      <c r="E22" s="125">
        <f>'ინვ. დაქვ. რეზერვ. ოდენობა'!D10</f>
        <v>0</v>
      </c>
    </row>
    <row r="23" spans="2:5" ht="15.75" thickBot="1">
      <c r="B23" s="250" t="s">
        <v>38</v>
      </c>
      <c r="C23" s="272" t="s">
        <v>39</v>
      </c>
      <c r="D23" s="275"/>
      <c r="E23" s="125">
        <f>'ინვ. დაქვ. რეზერვ. ოდენობა'!D9+'ინვ. დაქვ. რეზერვ. ოდენობა'!D17+'ინვ. დაქვ. რეზერვ. ოდენობა'!D33</f>
        <v>0</v>
      </c>
    </row>
    <row r="24" spans="2:5" ht="31.5" customHeight="1" thickBot="1">
      <c r="B24" s="250" t="s">
        <v>173</v>
      </c>
      <c r="C24" s="272" t="s">
        <v>175</v>
      </c>
      <c r="D24" s="273"/>
      <c r="E24" s="125">
        <f>'ინვ. დაქვ. რეზერვ. ოდენობა'!D18-'ინვ. დაქვ. რეზერვ. ოდენობა'!D19</f>
        <v>0</v>
      </c>
    </row>
    <row r="25" spans="2:5" ht="15" customHeight="1" thickBot="1">
      <c r="B25" s="251">
        <f>'ინვ. დაქვ. რეზერვ. ოდენობა'!D8+'ინვ. დაქვ. რეზერვ. ოდენობა'!D16+'ინვ. დაქვ. რეზერვ. ოდენობა'!D24+'ინვ. დაქვ. რეზერვ. ოდენობა'!D29+'ინვ. დაქვ. რეზერვ. ოდენობა'!D32</f>
        <v>0</v>
      </c>
      <c r="C25" s="252" t="s">
        <v>111</v>
      </c>
      <c r="D25" s="253"/>
      <c r="E25" s="124">
        <f>E20+E22+E23+E24</f>
        <v>0</v>
      </c>
    </row>
    <row r="26" spans="2:5">
      <c r="B26" s="127"/>
      <c r="C26" s="128"/>
    </row>
    <row r="27" spans="2:5">
      <c r="B27" s="127"/>
      <c r="C27" s="128"/>
    </row>
    <row r="28" spans="2:5" ht="15.75">
      <c r="B28" s="114" t="str">
        <f>'ინვ. დაქვ. რეზერვ. ოდენობა'!$B$38</f>
        <v xml:space="preserve">გენერალური დირექტორი (დირექტორი) _____________________________ </v>
      </c>
      <c r="C28" s="114"/>
      <c r="D28" s="114"/>
      <c r="E28" s="129"/>
    </row>
    <row r="29" spans="2:5" ht="15.75">
      <c r="B29" s="114" t="str">
        <f>რეზერვები!B52</f>
        <v xml:space="preserve">                                                                                                      (სახელი გვარი)</v>
      </c>
      <c r="C29" s="114"/>
      <c r="D29" s="114"/>
      <c r="E29" s="86"/>
    </row>
    <row r="30" spans="2:5" ht="15.75">
      <c r="B30" s="114"/>
      <c r="C30" s="114"/>
      <c r="D30" s="114"/>
      <c r="E30" s="86"/>
    </row>
    <row r="31" spans="2:5" ht="15.75">
      <c r="B31" s="114"/>
      <c r="C31" s="114"/>
      <c r="D31" s="114"/>
      <c r="E31" s="86"/>
    </row>
    <row r="32" spans="2:5" ht="15.75">
      <c r="B32" s="114" t="str">
        <f>'ინვ. დაქვ. რეზერვ. ოდენობა'!$B$42</f>
        <v>ანგარიშგებაზე პასუხისმგებელი პირი    ________________________________________________________________</v>
      </c>
      <c r="C32" s="114"/>
      <c r="E32" s="86"/>
    </row>
    <row r="33" spans="2:5" ht="15.75">
      <c r="B33" s="114" t="str">
        <f>'ინვ. დაქვ. რეზერვ. ოდენობა'!$B$43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</row>
    <row r="34" spans="2:5" ht="15.75">
      <c r="C34" s="114"/>
    </row>
    <row r="35" spans="2:5" ht="15.75">
      <c r="B35" s="114"/>
      <c r="C35" s="130"/>
      <c r="E35" s="86"/>
    </row>
    <row r="36" spans="2:5">
      <c r="B36" s="86"/>
      <c r="E36" s="86"/>
    </row>
  </sheetData>
  <sheetProtection password="CF74" sheet="1" formatCells="0" formatColumns="0" formatRows="0" insertColumns="0" insertRows="0" insertHyperlinks="0" deleteColumns="0" deleteRows="0" sort="0" autoFilter="0" pivotTables="0"/>
  <mergeCells count="7">
    <mergeCell ref="C24:D24"/>
    <mergeCell ref="B2:E2"/>
    <mergeCell ref="C22:D22"/>
    <mergeCell ref="C23:D23"/>
    <mergeCell ref="E8:E9"/>
    <mergeCell ref="E10:E13"/>
    <mergeCell ref="E14:E16"/>
  </mergeCells>
  <phoneticPr fontId="3" type="noConversion"/>
  <conditionalFormatting sqref="E20">
    <cfRule type="cellIs" dxfId="0" priority="3" stopIfTrue="1" operator="lessThan">
      <formula>$B$20</formula>
    </cfRule>
  </conditionalFormatting>
  <pageMargins left="0.15748031496062992" right="0.15748031496062992" top="0.28000000000000003" bottom="0.21" header="0.15748031496062992" footer="0.15748031496062992"/>
  <pageSetup scale="6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რეზერვები</vt:lpstr>
      <vt:lpstr>ინვ. დაქვ. რეზერვ. ოდენობა</vt:lpstr>
      <vt:lpstr>დასაშვები აქტივების სტრუქტურა</vt:lpstr>
      <vt:lpstr>A1</vt:lpstr>
      <vt:lpstr>A2</vt:lpstr>
      <vt:lpstr>A3</vt:lpstr>
      <vt:lpstr>A4</vt:lpstr>
      <vt:lpstr>A5</vt:lpstr>
      <vt:lpstr>A6</vt:lpstr>
      <vt:lpstr>A7</vt:lpstr>
      <vt:lpstr>A8</vt:lpstr>
      <vt:lpstr>A9</vt:lpstr>
      <vt:lpstr>A10</vt:lpstr>
      <vt:lpstr>A11</vt:lpstr>
      <vt:lpstr>A12</vt:lpstr>
      <vt:lpstr>ინვესტირება</vt:lpstr>
      <vt:lpstr>'A1'!Print_Area</vt:lpstr>
      <vt:lpstr>'A10'!Print_Area</vt:lpstr>
      <vt:lpstr>'A11'!Print_Area</vt:lpstr>
      <vt:lpstr>'A12'!Print_Area</vt:lpstr>
      <vt:lpstr>'A2'!Print_Area</vt:lpstr>
      <vt:lpstr>'A3'!Print_Area</vt:lpstr>
      <vt:lpstr>'A4'!Print_Area</vt:lpstr>
      <vt:lpstr>'A5'!Print_Area</vt:lpstr>
      <vt:lpstr>'A6'!Print_Area</vt:lpstr>
      <vt:lpstr>'A7'!Print_Area</vt:lpstr>
      <vt:lpstr>'A8'!Print_Area</vt:lpstr>
      <vt:lpstr>'A9'!Print_Area</vt:lpstr>
      <vt:lpstr>'დასაშვები აქტივების სტრუქტურა'!Print_Area</vt:lpstr>
      <vt:lpstr>'ინვ. დაქვ. რეზერვ. ოდენობა'!Print_Area</vt:lpstr>
      <vt:lpstr>ინვესტირება!Print_Area</vt:lpstr>
      <vt:lpstr>რეზერვები!Print_Area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2009-03-26T13:57:59Z</cp:lastPrinted>
  <dcterms:created xsi:type="dcterms:W3CDTF">2006-09-16T00:00:00Z</dcterms:created>
  <dcterms:modified xsi:type="dcterms:W3CDTF">2018-05-17T07:26:56Z</dcterms:modified>
</cp:coreProperties>
</file>